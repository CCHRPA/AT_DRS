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fileSharing userName="Sabine URBAN" algorithmName="SHA-512" hashValue="sy4AkGzW1HuJRZTMOc7FVzwUelMRXMspBy2aXFLy9A3A6B7Cgfe33iEG6/RxaoOax3WllyDm/mG5pVWV8c+TUw==" saltValue="DdDthcH1Op9yO2pQSB5DqA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Marketing\Marketing 2026\Master Data\SKU Dashboard\"/>
    </mc:Choice>
  </mc:AlternateContent>
  <xr:revisionPtr revIDLastSave="0" documentId="13_ncr:10001_{2B5DB0C8-CD11-4E06-9BCC-98DDEDA01B71}" xr6:coauthVersionLast="47" xr6:coauthVersionMax="47" xr10:uidLastSave="{00000000-0000-0000-0000-000000000000}"/>
  <bookViews>
    <workbookView xWindow="-120" yWindow="-120" windowWidth="51840" windowHeight="21120" tabRatio="613" activeTab="5" xr2:uid="{00000000-000D-0000-FFFF-FFFF00000000}"/>
  </bookViews>
  <sheets>
    <sheet name="Portfolio AT" sheetId="9" r:id="rId1"/>
    <sheet name="Portfolio Displays" sheetId="5" r:id="rId2"/>
    <sheet name="Portfolio Export &amp; Div." sheetId="4" r:id="rId3"/>
    <sheet name="Marketing Materials" sheetId="1" r:id="rId4"/>
    <sheet name="DRS" sheetId="10" r:id="rId5"/>
    <sheet name="DRS_CoPacking" sheetId="11" r:id="rId6"/>
    <sheet name="Promo SKUs_CoPacking" sheetId="12" r:id="rId7"/>
  </sheets>
  <externalReferences>
    <externalReference r:id="rId8"/>
  </externalReferences>
  <definedNames>
    <definedName name="_xlnm._FilterDatabase" localSheetId="4" hidden="1">DRS!$A$1:$T$224</definedName>
    <definedName name="_xlnm._FilterDatabase" localSheetId="5" hidden="1">DRS_CoPacking!$A$1:$Q$306</definedName>
    <definedName name="_xlnm._FilterDatabase" localSheetId="3" hidden="1">'Marketing Materials'!$G$1:$G$3</definedName>
    <definedName name="_xlnm._FilterDatabase" localSheetId="0" hidden="1">'Portfolio AT'!$F$2:$L$7</definedName>
    <definedName name="_xlnm._FilterDatabase" localSheetId="1" hidden="1">'Portfolio Displays'!$K$1:$K$112</definedName>
    <definedName name="_xlnm._FilterDatabase" localSheetId="6" hidden="1">'Promo SKUs_CoPacking'!$B$2:$P$3</definedName>
    <definedName name="Step">'[1] Mapping - ABP'!$B$2:$B$29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2" i="11" l="1"/>
  <c r="K441" i="11"/>
  <c r="K287" i="11"/>
  <c r="K264" i="11" l="1"/>
  <c r="K261" i="11" l="1"/>
  <c r="K260" i="11"/>
  <c r="D1" i="11" l="1" a="1"/>
  <c r="D1" i="11" s="1"/>
  <c r="K209" i="11"/>
  <c r="K208" i="11"/>
  <c r="G136" i="11" l="1"/>
  <c r="K133" i="11" l="1"/>
  <c r="K128" i="11"/>
  <c r="K127" i="11"/>
  <c r="K126" i="11"/>
  <c r="K123" i="11"/>
  <c r="K121" i="11"/>
  <c r="K120" i="11"/>
  <c r="K110" i="11"/>
  <c r="K107" i="11"/>
  <c r="K89" i="11"/>
  <c r="K38" i="11"/>
  <c r="K35" i="11"/>
  <c r="K31" i="11"/>
  <c r="K27" i="11"/>
  <c r="K25" i="11"/>
  <c r="K1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Sabine Puwein</author>
    <author>Johanna Haunschmid</author>
    <author>Sabine URBAN</author>
  </authors>
  <commentList>
    <comment ref="K2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Sabine Puwein:</t>
        </r>
        <r>
          <rPr>
            <sz val="9"/>
            <color indexed="81"/>
            <rFont val="Segoe UI"/>
            <family val="2"/>
          </rPr>
          <t xml:space="preserve">
50% Shelf life erreicht am 
</t>
        </r>
      </text>
    </comment>
    <comment ref="R2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ab Donnerstag in Vorwoche können Bestellungen angenommen werden</t>
        </r>
      </text>
    </comment>
    <comment ref="H287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Limited Edition
Artikel noch aktiv und beplant für 2026
10.09.2025</t>
        </r>
      </text>
    </comment>
    <comment ref="B632" authorId="2" shapeId="0" xr:uid="{2B67FD0D-BF81-4744-A4E5-A21A3D3FC1FC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Mail Christian Starkl 10.09.2025</t>
        </r>
      </text>
    </comment>
    <comment ref="X681" authorId="2" shapeId="0" xr:uid="{96F84792-DFBD-4510-BE8E-DE55A477D840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17.4.26</t>
        </r>
      </text>
    </comment>
    <comment ref="X682" authorId="2" shapeId="0" xr:uid="{B535311E-8C91-4A22-88F0-EA4CEEB4F802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17.4.26</t>
        </r>
      </text>
    </comment>
    <comment ref="X687" authorId="2" shapeId="0" xr:uid="{6A8B0960-8199-4F3E-8B03-D2B5E6F26B6B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27.03.26</t>
        </r>
      </text>
    </comment>
    <comment ref="X691" authorId="2" shapeId="0" xr:uid="{097EB63E-C4DD-40E4-9C23-75BF8CEB3DE9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13.03.26</t>
        </r>
      </text>
    </comment>
    <comment ref="X697" authorId="2" shapeId="0" xr:uid="{D1E1EE82-3E79-4378-AC7D-ABD1F6A01449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17.4.26</t>
        </r>
      </text>
    </comment>
    <comment ref="X698" authorId="2" shapeId="0" xr:uid="{672BDB99-6E74-499E-B3FB-F7A799FAC38F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12.06.26</t>
        </r>
      </text>
    </comment>
    <comment ref="X699" authorId="2" shapeId="0" xr:uid="{36F0D82E-A204-48DA-8145-CC977A7FCE56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12.06.26</t>
        </r>
      </text>
    </comment>
    <comment ref="X704" authorId="2" shapeId="0" xr:uid="{281D6D41-A3E0-441A-B34D-612FE32B242B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13.05.26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Haunschmid</author>
    <author>Sabine URBAN</author>
  </authors>
  <commentList>
    <comment ref="N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ab Donnerstag in Vorwoche können Bestellungen angenommen werden</t>
        </r>
      </text>
    </comment>
    <comment ref="U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ab Donnerstag in Vorwoche können Bestellungen angenommen werden</t>
        </r>
      </text>
    </comment>
    <comment ref="L179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Description wurde geändert</t>
        </r>
      </text>
    </comment>
    <comment ref="L183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Description wurde geändert</t>
        </r>
      </text>
    </comment>
    <comment ref="L602" authorId="1" shapeId="0" xr:uid="{3CE275B6-C60E-4E61-AA38-11A4ECC0D23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Abmessung fehlen!</t>
        </r>
      </text>
    </comment>
    <comment ref="T830" authorId="1" shapeId="0" xr:uid="{3375F1EB-AF24-4E6C-BCD1-31F569C2E4D7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06.02.2026</t>
        </r>
      </text>
    </comment>
    <comment ref="T831" authorId="1" shapeId="0" xr:uid="{DEF0D6E3-6B71-490F-B3FD-B12A3B2A23E2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06.02.2026</t>
        </r>
      </text>
    </comment>
    <comment ref="T832" authorId="1" shapeId="0" xr:uid="{06CEAC0B-1EBA-4D2E-B9DA-2ED064E49116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06.02.2026</t>
        </r>
      </text>
    </comment>
    <comment ref="T833" authorId="1" shapeId="0" xr:uid="{7015B0C4-E82F-4832-A854-35B7342B4F98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06.02.2026</t>
        </r>
      </text>
    </comment>
    <comment ref="T834" authorId="1" shapeId="0" xr:uid="{C0E23C34-6563-44BE-AE15-B893B5CD4065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06.02.2026</t>
        </r>
      </text>
    </comment>
    <comment ref="T835" authorId="1" shapeId="0" xr:uid="{D7A0137E-037D-4E96-B8DA-8348A2BB703D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06.02.2026</t>
        </r>
      </text>
    </comment>
    <comment ref="T836" authorId="1" shapeId="0" xr:uid="{E5A7BB81-FB56-4A7B-8797-DD5134FCCE98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06.02.2026</t>
        </r>
      </text>
    </comment>
    <comment ref="T837" authorId="1" shapeId="0" xr:uid="{7DE75128-0890-4413-8773-98B53C56F442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06.02.2026</t>
        </r>
      </text>
    </comment>
    <comment ref="T838" authorId="1" shapeId="0" xr:uid="{88E09E39-22DD-493C-B714-6E9E7C01542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06.02.2026</t>
        </r>
      </text>
    </comment>
    <comment ref="T839" authorId="1" shapeId="0" xr:uid="{9E750245-12D2-4377-8218-BA35E6609B62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19.02.2026</t>
        </r>
      </text>
    </comment>
    <comment ref="T840" authorId="1" shapeId="0" xr:uid="{51450BD1-0ECA-4294-8EB9-1AC6B313D863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19.02.2026</t>
        </r>
      </text>
    </comment>
    <comment ref="T841" authorId="1" shapeId="0" xr:uid="{C825F240-4043-4F11-BB3B-BF283A1FF7D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19.02.2026</t>
        </r>
      </text>
    </comment>
    <comment ref="T842" authorId="1" shapeId="0" xr:uid="{FA75D1C8-0ACE-4A22-A18F-021660DA6D02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19.02.2026</t>
        </r>
      </text>
    </comment>
    <comment ref="T843" authorId="1" shapeId="0" xr:uid="{3F37BE18-7953-461B-9465-3B7D38867AE2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19.02.2026</t>
        </r>
      </text>
    </comment>
    <comment ref="T844" authorId="1" shapeId="0" xr:uid="{1F24626F-9EDE-4DEE-ADF1-D7A0477E564D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19.02.2026</t>
        </r>
      </text>
    </comment>
    <comment ref="T845" authorId="1" shapeId="0" xr:uid="{02C7FA87-2B9D-48A0-B5B1-BA3CABEFFFB5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19.02.2026</t>
        </r>
      </text>
    </comment>
    <comment ref="T846" authorId="1" shapeId="0" xr:uid="{48D8BF0C-31E0-4884-864E-51957024FA74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19.02.2026</t>
        </r>
      </text>
    </comment>
    <comment ref="T847" authorId="1" shapeId="0" xr:uid="{CE07F2AA-0FAD-49FF-BFDF-578A2E4F2221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19.02.2026</t>
        </r>
      </text>
    </comment>
    <comment ref="T848" authorId="1" shapeId="0" xr:uid="{096188F9-4084-4C59-904A-D341902F9DE7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06.03.2026</t>
        </r>
      </text>
    </comment>
    <comment ref="T849" authorId="1" shapeId="0" xr:uid="{A10D67A5-80D3-4B19-93FC-FA5AEE0108E5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06.03.2026</t>
        </r>
      </text>
    </comment>
    <comment ref="T850" authorId="1" shapeId="0" xr:uid="{7FBEEF16-C037-47E5-A87E-0EF453FD7B16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19.02.2026</t>
        </r>
      </text>
    </comment>
    <comment ref="T851" authorId="1" shapeId="0" xr:uid="{3ABB5A99-7C01-4739-ADAE-B74F1BA051B1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19.02.2026</t>
        </r>
      </text>
    </comment>
    <comment ref="T852" authorId="1" shapeId="0" xr:uid="{D6BE03C7-8E5E-48BA-B19F-B8EB3F28649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19.02.2026</t>
        </r>
      </text>
    </comment>
    <comment ref="T853" authorId="1" shapeId="0" xr:uid="{7C460244-483C-47DF-9E00-882F70DFC714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06.03.2026</t>
        </r>
      </text>
    </comment>
    <comment ref="T854" authorId="1" shapeId="0" xr:uid="{B6BAFC2C-FB34-419D-9724-E155311792A3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06.03.2026</t>
        </r>
      </text>
    </comment>
    <comment ref="T855" authorId="1" shapeId="0" xr:uid="{A4F539F8-0554-47B6-9F15-D47C97373FFF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06.03.2026</t>
        </r>
      </text>
    </comment>
    <comment ref="T856" authorId="1" shapeId="0" xr:uid="{F76E81EE-D80F-489D-92E8-BC7A6D624EFE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06.03.2026</t>
        </r>
      </text>
    </comment>
    <comment ref="T857" authorId="1" shapeId="0" xr:uid="{AAF2E4E5-13F5-4F99-9A55-66FAD0AE2B8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06.03.2026</t>
        </r>
      </text>
    </comment>
    <comment ref="T858" authorId="1" shapeId="0" xr:uid="{5D8AC619-0E36-44A3-AD2C-E4AED0795AA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06.03.2026</t>
        </r>
      </text>
    </comment>
    <comment ref="T859" authorId="1" shapeId="0" xr:uid="{EDF48409-2840-49F2-ACEF-E382D23CBBF7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06.03.2026</t>
        </r>
      </text>
    </comment>
    <comment ref="T860" authorId="1" shapeId="0" xr:uid="{FF2E85D5-47A7-4C64-B244-C57E02A3D1BD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06.03.2026</t>
        </r>
      </text>
    </comment>
    <comment ref="T861" authorId="1" shapeId="0" xr:uid="{E2EB8385-7CEC-491F-B16A-A447AB6AC14E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06.03.2026</t>
        </r>
      </text>
    </comment>
    <comment ref="T862" authorId="1" shapeId="0" xr:uid="{95E73495-CBDF-4E19-AF38-775C139758CF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06.03.2026</t>
        </r>
      </text>
    </comment>
    <comment ref="T863" authorId="1" shapeId="0" xr:uid="{819DAC87-ED44-408C-AD92-A44CC7AB9401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06.03.2026</t>
        </r>
      </text>
    </comment>
    <comment ref="T864" authorId="1" shapeId="0" xr:uid="{F9381AA6-CDB3-485A-B092-BE8B86A9E3E5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06.03.2026</t>
        </r>
      </text>
    </comment>
    <comment ref="T865" authorId="1" shapeId="0" xr:uid="{3644E389-0058-42A7-9C3D-263568A3B68B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06.03.2026</t>
        </r>
      </text>
    </comment>
    <comment ref="T866" authorId="1" shapeId="0" xr:uid="{528AE87F-B000-4D05-924B-CFE55982D5CF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23.03.2026</t>
        </r>
      </text>
    </comment>
    <comment ref="T867" authorId="1" shapeId="0" xr:uid="{2DBA16CB-8320-4EF6-BF27-07A75C3F4F01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23.03.2026</t>
        </r>
      </text>
    </comment>
    <comment ref="T868" authorId="1" shapeId="0" xr:uid="{DEA52CA7-1CFD-40D9-9534-A85857D3BAA9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23.03.2026</t>
        </r>
      </text>
    </comment>
    <comment ref="T869" authorId="1" shapeId="0" xr:uid="{25423868-FD55-45BC-8036-0B6277951D75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23.03.2026</t>
        </r>
      </text>
    </comment>
    <comment ref="T870" authorId="1" shapeId="0" xr:uid="{C4A2B498-5538-4626-8A89-A20E5F20234D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23.03.2026</t>
        </r>
      </text>
    </comment>
    <comment ref="T871" authorId="1" shapeId="0" xr:uid="{F9484EAC-5C2F-4129-A869-FD5B7AC711BB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23.03.2026</t>
        </r>
      </text>
    </comment>
    <comment ref="T872" authorId="1" shapeId="0" xr:uid="{9E298204-4FDB-4C17-B22C-68F735B7A7E7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23.03.2026</t>
        </r>
      </text>
    </comment>
    <comment ref="T873" authorId="1" shapeId="0" xr:uid="{2EB61EA6-1222-4436-BBC5-A49C42A10E60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23.03.2026</t>
        </r>
      </text>
    </comment>
    <comment ref="T874" authorId="1" shapeId="0" xr:uid="{625A73E0-7814-4B14-BC7B-AD377BCA7C25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23.03.2026</t>
        </r>
      </text>
    </comment>
    <comment ref="T875" authorId="1" shapeId="0" xr:uid="{FC7758AC-5B12-415C-97C4-168C532A747C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23.03.2026</t>
        </r>
      </text>
    </comment>
    <comment ref="T876" authorId="1" shapeId="0" xr:uid="{6B376C38-F280-4E12-B5CD-891BDEE48B12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23.03.2026</t>
        </r>
      </text>
    </comment>
    <comment ref="T877" authorId="1" shapeId="0" xr:uid="{FD7DE86F-0630-4656-8393-6E03483E1B7D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23.03.2026</t>
        </r>
      </text>
    </comment>
    <comment ref="T878" authorId="1" shapeId="0" xr:uid="{66C02AD2-A6A3-45F0-A7E4-01694773C4C5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23.03.2026</t>
        </r>
      </text>
    </comment>
    <comment ref="T879" authorId="1" shapeId="0" xr:uid="{1E059A9D-1EAF-4C78-B555-52E974595DEE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23.03.2026</t>
        </r>
      </text>
    </comment>
    <comment ref="T880" authorId="1" shapeId="0" xr:uid="{1F9435C9-C1CE-4A8E-A657-2838168FBD24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23.03.2026</t>
        </r>
      </text>
    </comment>
    <comment ref="T881" authorId="1" shapeId="0" xr:uid="{EE628ED4-21D8-4C7E-B6D4-132BDB1E35CF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02.04.2026</t>
        </r>
      </text>
    </comment>
    <comment ref="T882" authorId="1" shapeId="0" xr:uid="{1B0C3821-F8D7-49B8-B3C0-B628FC131CBB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02.04.2026</t>
        </r>
      </text>
    </comment>
    <comment ref="T883" authorId="1" shapeId="0" xr:uid="{4F14CB2F-5FB9-4E1C-B5DA-71DEF5369A3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02.04.2026</t>
        </r>
      </text>
    </comment>
    <comment ref="T884" authorId="1" shapeId="0" xr:uid="{3F8F41A1-1A85-4C83-8288-CDB73F5AAFE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02.04.2026</t>
        </r>
      </text>
    </comment>
    <comment ref="T885" authorId="1" shapeId="0" xr:uid="{20F47189-475E-4CF9-AC1B-711580FDBC5D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02.04.2026</t>
        </r>
      </text>
    </comment>
    <comment ref="T886" authorId="1" shapeId="0" xr:uid="{43982B2C-A5D2-4152-A5DB-9A0B492C75ED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02.04.2026</t>
        </r>
      </text>
    </comment>
    <comment ref="T887" authorId="1" shapeId="0" xr:uid="{A8724AE6-546A-4FA6-956D-C2EDF15015F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02.04.2026</t>
        </r>
      </text>
    </comment>
    <comment ref="T888" authorId="1" shapeId="0" xr:uid="{BD90BA5D-3FA5-43DE-AF2A-5B21F306C02D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17.04.2026</t>
        </r>
      </text>
    </comment>
    <comment ref="T889" authorId="1" shapeId="0" xr:uid="{CDB8083C-3CDB-49A5-A356-CFC70FEC63B7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17.04.2026</t>
        </r>
      </text>
    </comment>
    <comment ref="T890" authorId="1" shapeId="0" xr:uid="{98E2664F-FE45-463C-93D0-7046F9261CCC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30.04.2026</t>
        </r>
      </text>
    </comment>
    <comment ref="T891" authorId="1" shapeId="0" xr:uid="{D2C5ADCC-1D83-4686-A734-62BA4ED7F94F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30.04.2026</t>
        </r>
      </text>
    </comment>
    <comment ref="T892" authorId="1" shapeId="0" xr:uid="{41B3A8AD-40CD-4609-8A5E-729B0E7C2BE8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30.04.2026</t>
        </r>
      </text>
    </comment>
    <comment ref="T893" authorId="1" shapeId="0" xr:uid="{61118E37-E475-474F-9490-CED07AECE768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24.04.2026</t>
        </r>
      </text>
    </comment>
    <comment ref="T894" authorId="1" shapeId="0" xr:uid="{D3D0EAE6-90D8-49AE-BAFD-B837B5F623F3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24.04.2026</t>
        </r>
      </text>
    </comment>
    <comment ref="T895" authorId="1" shapeId="0" xr:uid="{BCCE704B-850E-41AC-91B4-9A83CE41CE68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30.04.2026</t>
        </r>
      </text>
    </comment>
    <comment ref="T896" authorId="1" shapeId="0" xr:uid="{38900817-6868-4566-9B4C-3057A14CCFD2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30.04.2026</t>
        </r>
      </text>
    </comment>
    <comment ref="T897" authorId="1" shapeId="0" xr:uid="{08650F24-0DC0-4EDE-B3F5-609B153A2C1D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30.04.2026</t>
        </r>
      </text>
    </comment>
    <comment ref="T898" authorId="1" shapeId="0" xr:uid="{5D71330E-B0A3-48F1-9C65-69B2E65ABCEF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30.04.2026</t>
        </r>
      </text>
    </comment>
    <comment ref="T899" authorId="1" shapeId="0" xr:uid="{497DEDD1-E3B2-4790-97EF-DD78E0A8DF3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30.04.2026</t>
        </r>
      </text>
    </comment>
    <comment ref="T900" authorId="1" shapeId="0" xr:uid="{DAE09A62-0617-4AEC-9C6F-CE09502EDFE7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30.04.2026</t>
        </r>
      </text>
    </comment>
    <comment ref="T901" authorId="1" shapeId="0" xr:uid="{13AEE7DE-366A-4ADB-A54C-75AA55BB13DD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13.05.2026</t>
        </r>
      </text>
    </comment>
    <comment ref="T902" authorId="1" shapeId="0" xr:uid="{87A2D805-717C-462D-9D44-05E76937258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13.05.2026</t>
        </r>
      </text>
    </comment>
    <comment ref="T903" authorId="1" shapeId="0" xr:uid="{DE6684D8-7A06-45CC-89C6-EA62122B579F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08.05.2026</t>
        </r>
      </text>
    </comment>
    <comment ref="T904" authorId="1" shapeId="0" xr:uid="{D056807A-451A-466D-89DF-FDC36C1BB318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08.05.2026</t>
        </r>
      </text>
    </comment>
    <comment ref="T905" authorId="1" shapeId="0" xr:uid="{0A64D950-DF33-4021-A744-8A842485CFCB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08.05.2026</t>
        </r>
      </text>
    </comment>
    <comment ref="T906" authorId="1" shapeId="0" xr:uid="{A0007145-4F81-4C55-8661-A508D1C4A96E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08.05.2026</t>
        </r>
      </text>
    </comment>
    <comment ref="T907" authorId="1" shapeId="0" xr:uid="{F780F968-D983-4CD5-BB5E-43DB4A3E9744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20.05.2026</t>
        </r>
      </text>
    </comment>
    <comment ref="T908" authorId="1" shapeId="0" xr:uid="{9CB4F939-1CA8-41BF-9889-BFFB969C192E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20.05.2026</t>
        </r>
      </text>
    </comment>
    <comment ref="T909" authorId="1" shapeId="0" xr:uid="{B69EAEF7-1B6B-4C7B-A6A4-54AB4F896A1B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20.05.2026</t>
        </r>
      </text>
    </comment>
    <comment ref="T910" authorId="1" shapeId="0" xr:uid="{137796D0-73CB-4ACD-A10F-06166F3BF28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20.05.2026</t>
        </r>
      </text>
    </comment>
    <comment ref="T911" authorId="1" shapeId="0" xr:uid="{3B5A6776-E184-45B9-9EC0-6E27EB802AC6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20.05.2026</t>
        </r>
      </text>
    </comment>
    <comment ref="T912" authorId="1" shapeId="0" xr:uid="{F5F1937A-169B-4C0A-B162-D2C4ABDE4F43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20.05.2026</t>
        </r>
      </text>
    </comment>
    <comment ref="T913" authorId="1" shapeId="0" xr:uid="{A1637D98-BD00-4CA3-9753-AF1576432063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08.06.2026</t>
        </r>
      </text>
    </comment>
    <comment ref="T914" authorId="1" shapeId="0" xr:uid="{03C2E31F-F109-400D-883D-29E0975CB324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08.06.2026</t>
        </r>
      </text>
    </comment>
    <comment ref="T915" authorId="1" shapeId="0" xr:uid="{0FFD6757-5B19-4F8D-9551-55D0CDE618A0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08.06.2026</t>
        </r>
      </text>
    </comment>
    <comment ref="T916" authorId="1" shapeId="0" xr:uid="{A7B85F6D-B815-4976-9E06-A3813EDC182B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08.06.2026</t>
        </r>
      </text>
    </comment>
    <comment ref="T917" authorId="1" shapeId="0" xr:uid="{7F000BD6-011A-4239-A514-FD3D13AF0A92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08.06.2026</t>
        </r>
      </text>
    </comment>
    <comment ref="T918" authorId="1" shapeId="0" xr:uid="{2AC2EAC0-D4A7-4B9E-A0E7-EF9017BD9049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08.06.2026</t>
        </r>
      </text>
    </comment>
    <comment ref="T919" authorId="1" shapeId="0" xr:uid="{28826537-27D8-4DA3-83FF-F3550ECC833D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03.06.2026</t>
        </r>
      </text>
    </comment>
    <comment ref="T920" authorId="1" shapeId="0" xr:uid="{4749ECB2-5972-4426-9A3F-A8B2415ED00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03.06.2026</t>
        </r>
      </text>
    </comment>
    <comment ref="T921" authorId="1" shapeId="0" xr:uid="{0D749D82-C985-40D5-B9E7-9731F6E8CB31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12.06.2026</t>
        </r>
      </text>
    </comment>
    <comment ref="T922" authorId="1" shapeId="0" xr:uid="{D824DA32-B657-413B-A14F-A910F1E9D758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12.06.2026</t>
        </r>
      </text>
    </comment>
    <comment ref="T923" authorId="1" shapeId="0" xr:uid="{A5A62EFA-0472-43FE-94CA-84CD9AA61EC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12.06.2026</t>
        </r>
      </text>
    </comment>
    <comment ref="T924" authorId="1" shapeId="0" xr:uid="{687B29BB-551D-460F-95D1-ED363F8D4D42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12.06.2026</t>
        </r>
      </text>
    </comment>
    <comment ref="T925" authorId="1" shapeId="0" xr:uid="{EE20D9DC-E22E-4825-94F5-528F418F8E8C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12.06.2026</t>
        </r>
      </text>
    </comment>
    <comment ref="T926" authorId="1" shapeId="0" xr:uid="{387E8D53-8F3C-4B4D-899C-558B589C71A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12.06.2026</t>
        </r>
      </text>
    </comment>
    <comment ref="T927" authorId="1" shapeId="0" xr:uid="{60CB8245-470B-4ACB-AFF0-B0420F612185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12.06.2026</t>
        </r>
      </text>
    </comment>
    <comment ref="T928" authorId="1" shapeId="0" xr:uid="{76FD1615-BD55-453D-B3C7-E8E53B0DF9F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12.06.2026</t>
        </r>
      </text>
    </comment>
    <comment ref="T929" authorId="1" shapeId="0" xr:uid="{94B0860E-7346-4CA9-9470-3E0332D7F652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12.06.2026</t>
        </r>
      </text>
    </comment>
    <comment ref="T930" authorId="1" shapeId="0" xr:uid="{00533669-A9F4-4BE3-BA61-E56CFB1D302B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12.06.2026</t>
        </r>
      </text>
    </comment>
    <comment ref="T931" authorId="1" shapeId="0" xr:uid="{B15E8F26-E284-4459-9617-CB68B8112B09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29.06.2026</t>
        </r>
      </text>
    </comment>
    <comment ref="T932" authorId="1" shapeId="0" xr:uid="{9B4F5B10-3798-46C1-A39F-53CF66B7C3BE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29.06.2026</t>
        </r>
      </text>
    </comment>
    <comment ref="T933" authorId="1" shapeId="0" xr:uid="{DF320328-9FD0-4C3E-B122-409B5278B176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Block check 29.06.2026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Haunschmid</author>
  </authors>
  <commentList>
    <comment ref="O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ab Donnerstag in Vorwoche können Bestellungen angenommen werden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Sabine URBAN</author>
  </authors>
  <commentList>
    <comment ref="J27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doppelt im System</t>
        </r>
      </text>
    </comment>
    <comment ref="J600" authorId="0" shapeId="0" xr:uid="{B17C40BD-9105-4BCA-94EA-FC44FA15C9AE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MARKETING-00009637
The material already exists (10110228) and will be extended. Trying to change: 10098544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Sabine URBAN</author>
  </authors>
  <commentList>
    <comment ref="R165" authorId="0" shapeId="0" xr:uid="{8718879A-C6D7-4A37-A7F3-128DA0744F8D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Warten auf Ökologisierungsüberprüfung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Sabine URBAN</author>
  </authors>
  <commentList>
    <comment ref="J20" authorId="0" shapeId="0" xr:uid="{7DA1DDFB-D94C-4A45-B92A-952C27600BCA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Änderung lt. Katja Stolbova 11.12.2024</t>
        </r>
      </text>
    </comment>
    <comment ref="J138" authorId="0" shapeId="0" xr:uid="{0E159DB3-88F4-4FC1-89D8-E9D0367D1039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Änderung lt. Katja Stolbova 11.12.2024</t>
        </r>
      </text>
    </comment>
    <comment ref="J177" authorId="0" shapeId="0" xr:uid="{D4E5D6A5-760C-4890-9EAB-0098A17C758C}">
      <text>
        <r>
          <rPr>
            <b/>
            <sz val="9"/>
            <color indexed="81"/>
            <rFont val="Tahoma"/>
            <family val="2"/>
          </rPr>
          <t>Sabine URBAN:</t>
        </r>
        <r>
          <rPr>
            <sz val="9"/>
            <color indexed="81"/>
            <rFont val="Tahoma"/>
            <family val="2"/>
          </rPr>
          <t xml:space="preserve">
Änderung Description&amp;BOM 090126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Haunschmid</author>
  </authors>
  <commentList>
    <comment ref="P2" authorId="0" shapeId="0" xr:uid="{9785478F-5C77-462A-8DC3-87B5D2D165D0}">
      <text>
        <r>
          <rPr>
            <b/>
            <sz val="9"/>
            <color indexed="81"/>
            <rFont val="Tahoma"/>
            <family val="2"/>
          </rPr>
          <t>ab Donnerstag in Vorwoche können Bestellungen angenommen werden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<sst xmlns="http://schemas.openxmlformats.org/spreadsheetml/2006/main" count="24300" uniqueCount="3843">
  <si>
    <t>Internal use only</t>
  </si>
  <si>
    <t>Old Material</t>
  </si>
  <si>
    <t>New Material</t>
  </si>
  <si>
    <t>Category</t>
  </si>
  <si>
    <t>Overall
Status</t>
  </si>
  <si>
    <t>Date of Change</t>
  </si>
  <si>
    <t>Brand</t>
  </si>
  <si>
    <t>Material</t>
  </si>
  <si>
    <t>Material Desc</t>
  </si>
  <si>
    <t>Auslistungs Datum</t>
  </si>
  <si>
    <t>Vending Article Y/N</t>
  </si>
  <si>
    <t>Verkaufsfähig bis</t>
  </si>
  <si>
    <t>FCST Delete
 in APO</t>
  </si>
  <si>
    <t>DTM</t>
  </si>
  <si>
    <t>First Production/
Import</t>
  </si>
  <si>
    <t>FCST
Input into APO</t>
  </si>
  <si>
    <t>Winshuttle
SKU# availability</t>
  </si>
  <si>
    <t>Completion Winshuttle</t>
  </si>
  <si>
    <t xml:space="preserve">SAP Creation 
</t>
  </si>
  <si>
    <t>Orderblock</t>
  </si>
  <si>
    <t>Anmerkung</t>
  </si>
  <si>
    <t>FSV</t>
  </si>
  <si>
    <t>Production</t>
  </si>
  <si>
    <t>Demand Planning</t>
  </si>
  <si>
    <t>Mktg/SC</t>
  </si>
  <si>
    <t>Production/Haulage</t>
  </si>
  <si>
    <t>Daisy Meeting</t>
  </si>
  <si>
    <t>Abtausch</t>
  </si>
  <si>
    <t>Erledigt</t>
  </si>
  <si>
    <t>Adez</t>
  </si>
  <si>
    <t>800 PET X12 ADEZ ROCKIN RICE ATHURSRU</t>
  </si>
  <si>
    <t>N</t>
  </si>
  <si>
    <t>KW19</t>
  </si>
  <si>
    <t>available</t>
  </si>
  <si>
    <t>Completed</t>
  </si>
  <si>
    <t>done</t>
  </si>
  <si>
    <t>no</t>
  </si>
  <si>
    <t>Abtausch wegen neuem BBD</t>
  </si>
  <si>
    <t>800 PET X12 ADEZ ROCKIN RICE ATCH</t>
  </si>
  <si>
    <t>KW32</t>
  </si>
  <si>
    <t>Abtausch wegen neuem Cluster</t>
  </si>
  <si>
    <t>RQ</t>
  </si>
  <si>
    <t>750 PET X6 RQ FRUITY LEMON CUCUMBER AT</t>
  </si>
  <si>
    <t>1.0 PET X6 RQ FRUITY LEMON CUCUMBER AT</t>
  </si>
  <si>
    <t>KW31</t>
  </si>
  <si>
    <t>750 PET X6 RQ FRUITY PEAR BLACKBRRY AT</t>
  </si>
  <si>
    <t>1.0 PET X6 RQ FRUITY PEAR BLACKBERRY AT</t>
  </si>
  <si>
    <t>Listung</t>
  </si>
  <si>
    <t>Fanta</t>
  </si>
  <si>
    <t>500 PET X24 FANTA BLACK BLOOD ORANGE AT</t>
  </si>
  <si>
    <t>Y</t>
  </si>
  <si>
    <t>KW35/45</t>
  </si>
  <si>
    <t>1.5 PET X4 FANTA BLACK BLOOD ORANGE AT</t>
  </si>
  <si>
    <t>KW38/45</t>
  </si>
  <si>
    <t>1.0 PET X6 RQ EM APPLE CINNAMON LE AT</t>
  </si>
  <si>
    <t>KW40</t>
  </si>
  <si>
    <t>2.0 PET X4 FANTA LEMON ZERO AT</t>
  </si>
  <si>
    <t>Coca-Cola</t>
  </si>
  <si>
    <t>250 CAN X24 CC PLUS COFFEE NS AT</t>
  </si>
  <si>
    <t>KW39</t>
  </si>
  <si>
    <t>500 PET X24 FANTA ZERO LEMON PROMO AT</t>
  </si>
  <si>
    <t>KW22</t>
  </si>
  <si>
    <t>Famta</t>
  </si>
  <si>
    <t>500 PET X24 FANTA GRPFRT ZERO PROMO AT</t>
  </si>
  <si>
    <t>Monster</t>
  </si>
  <si>
    <t>500 CAN 6X4 MONSTER GREEN AT</t>
  </si>
  <si>
    <t>500 CAN 6X4 MONSTER EN ULTRA WHITE AT</t>
  </si>
  <si>
    <t>KW33</t>
  </si>
  <si>
    <t xml:space="preserve">500 CAN 6X4 MONSTER JUICE MANGO LOCO AT </t>
  </si>
  <si>
    <t>Fuzetea</t>
  </si>
  <si>
    <t>1.5 PET X6 FUZE TEA BT PLUM AT</t>
  </si>
  <si>
    <t>Honest</t>
  </si>
  <si>
    <t>330 NRG X12 HONEST PINK LEMONADE  ATCH</t>
  </si>
  <si>
    <t>KW10</t>
  </si>
  <si>
    <t>Auslistung</t>
  </si>
  <si>
    <t>550 PET X12 MONST HYDRO TROP THUNDER AT</t>
  </si>
  <si>
    <t>KW13</t>
  </si>
  <si>
    <t>CAPPY</t>
  </si>
  <si>
    <t>800 PET X6 CAPPY PLUS COOL SMILE CITRUS</t>
  </si>
  <si>
    <t>800 PET X6 CAPPY PLS ANTI BER BEET ATRO</t>
  </si>
  <si>
    <t>800 PET X6 CAPPY PLUS GS MULTIFRUIT ATHU</t>
  </si>
  <si>
    <t>500 PET X24 FANTA ZERO RSP LIM BAO LE AT</t>
  </si>
  <si>
    <t>250 PET X12 ADEZ AMAZING ALMOND</t>
  </si>
  <si>
    <t>250 PET X12 ADEZ CHILLI COCONUT</t>
  </si>
  <si>
    <t>250 PET X12  ADEZ OAT STRABERRY BANANA</t>
  </si>
  <si>
    <t>1.0 PET X6 RQ EM MANGO ACAI LE AT</t>
  </si>
  <si>
    <t>Mezzo Mix</t>
  </si>
  <si>
    <t>2.0 PET X4 MEZZO SPECIALITY MIX AT</t>
  </si>
  <si>
    <t>250 RGB X24 FUZETEA GT MANGO CHAMOM AT</t>
  </si>
  <si>
    <t xml:space="preserve">Honest </t>
  </si>
  <si>
    <t>330 NRG X12 HONEST LEMON LEMONADE ATCH</t>
  </si>
  <si>
    <t>avialable</t>
  </si>
  <si>
    <t>open</t>
  </si>
  <si>
    <t>330 NRG X12 HONEST RSPB BSL BIO ATCHITHU</t>
  </si>
  <si>
    <t>completed</t>
  </si>
  <si>
    <t>Freestyle</t>
  </si>
  <si>
    <t xml:space="preserve">18.0 BIB X1 FISUGAR AT </t>
  </si>
  <si>
    <t>Abtausch wegen Lieferanten wechsel</t>
  </si>
  <si>
    <t>215 NRG X12 HONEST CLD BRW COFFEE ATCHGR</t>
  </si>
  <si>
    <t>250 NRG X12 FANTA KLASSIK ATCH</t>
  </si>
  <si>
    <t>New material number, no longer I&amp;G product</t>
  </si>
  <si>
    <t>200 RGB X24 COCA COLA AT</t>
  </si>
  <si>
    <t>yes</t>
  </si>
  <si>
    <t>Kinley</t>
  </si>
  <si>
    <t>200 NRG X24 KINLEY TONIC WATER CH IT</t>
  </si>
  <si>
    <t>Aquarius</t>
  </si>
  <si>
    <t>400 PET X12 AQ MG BLOOD ORANGE ATCHHU</t>
  </si>
  <si>
    <t>postponed to 2021</t>
  </si>
  <si>
    <t>Launch postponed to 2021</t>
  </si>
  <si>
    <t>400 PET X12 AQ ZN LEMON ATCHHU</t>
  </si>
  <si>
    <t>500 PET X24 FANTA GRAPEFRUIT ZERO AT</t>
  </si>
  <si>
    <t>last delivery to market KW10</t>
  </si>
  <si>
    <t>Sprite</t>
  </si>
  <si>
    <t>1.5 PET X4 SPRITE ZERO CUCUMBR WTRMLN AT</t>
  </si>
  <si>
    <t>KW05</t>
  </si>
  <si>
    <t>aproximatly end of March 2020</t>
  </si>
  <si>
    <t>1.5 PET X4 FANTA ZERO RSP LIM BAOB LE AT</t>
  </si>
  <si>
    <t>250 PETX12 ADEZ ALM MANGO PSSNFRT ATCH</t>
  </si>
  <si>
    <t>1.0 PET X6 RQ EM GB BLACKCURRANT AT</t>
  </si>
  <si>
    <t>KW17</t>
  </si>
  <si>
    <t xml:space="preserve">1.5 PET X6 FUZE TEA GT POMEGR ACAI AT </t>
  </si>
  <si>
    <t>KW14</t>
  </si>
  <si>
    <t xml:space="preserve">500 PET X12 FUZE TEA GT POMEGR ACAI AT </t>
  </si>
  <si>
    <t>250 CAN X12 COKE ENERGY NO SUGAR ATCH</t>
  </si>
  <si>
    <t>KW 9</t>
  </si>
  <si>
    <t>250 CAN X12 COKE ENERGY ATCH</t>
  </si>
  <si>
    <t>Rebull</t>
  </si>
  <si>
    <t>250 CAN X24 RED BULL SUGARFREE AT</t>
  </si>
  <si>
    <t>Honest Tea</t>
  </si>
  <si>
    <t>Old article number will be switched with the new one</t>
  </si>
  <si>
    <t>250 CAN X12 MONSTER ESPRESSO MILK AT</t>
  </si>
  <si>
    <t>KW 5</t>
  </si>
  <si>
    <t>Available</t>
  </si>
  <si>
    <t>250 CAN X12 MONSTER ESPRESSO VANILLA AT</t>
  </si>
  <si>
    <t>KW  5</t>
  </si>
  <si>
    <t>500 PET X24 FANTA ZERO APPL LECA AT</t>
  </si>
  <si>
    <t>KW 13</t>
  </si>
  <si>
    <t>1.5 PET X4 FANTA ZERO APPL LECA AT</t>
  </si>
  <si>
    <t>1.0 PET X4 COCA-COLA ZERO LEMON AT</t>
  </si>
  <si>
    <t>KW 12</t>
  </si>
  <si>
    <t>500 PET X24 COCA-COLA ZERO LEMON AT</t>
  </si>
  <si>
    <t>1.0 PET X4 RQ BIOLIMO HERBAL AT</t>
  </si>
  <si>
    <t>375 PET X12 RQ BIOLIMO HERBAL AT</t>
  </si>
  <si>
    <t>1.5 PET X4 FANTA GRAPEFRUIT ZERO AT</t>
  </si>
  <si>
    <t>1.5 PET X6 FUZE GT BLUEBERRY JASM AT</t>
  </si>
  <si>
    <t>KW 14</t>
  </si>
  <si>
    <t>500 PET X12 FUZE GT BLUEBERRY JASM AT</t>
  </si>
  <si>
    <t>800 PET X12 ADEZ MLTGR OAT NUTS ATCHIT</t>
  </si>
  <si>
    <t>Canceled</t>
  </si>
  <si>
    <t>canceled</t>
  </si>
  <si>
    <t>KW07</t>
  </si>
  <si>
    <t xml:space="preserve">Fuzetea </t>
  </si>
  <si>
    <t>1.5 PET X6 FUZE TEA BT PLUM AT auslistung KW 14</t>
  </si>
  <si>
    <t>500 CAN X24 MONSTER LH44 HAMILTON AT</t>
  </si>
  <si>
    <t>500 CAN X24 MONSTER ENERGY ULTRA RED AT</t>
  </si>
  <si>
    <t>KW20</t>
  </si>
  <si>
    <t>AdeZ</t>
  </si>
  <si>
    <t>Zico</t>
  </si>
  <si>
    <t>330 BRK X12 ZICO NATURAL IT</t>
  </si>
  <si>
    <t>500 CAN X24 MONSTER ULT PARADISE AT</t>
  </si>
  <si>
    <t>KW 17</t>
  </si>
  <si>
    <t>500 PET X12 FUZE TEA GT MANGO CHAMOM AT</t>
  </si>
  <si>
    <t>1.5 PET X6 FUZE TEA GT MANGO CHAMOM AT</t>
  </si>
  <si>
    <t>550 PET X12 MONSTER HYDRO MANIC MELON AT</t>
  </si>
  <si>
    <t>550 PET X12 MONSTER HYDRO MEAN GREEN AT</t>
  </si>
  <si>
    <t>330 CAN 6X4 FUZETEA BT LEMON LEMGRS AT</t>
  </si>
  <si>
    <t>RQ Emotion</t>
  </si>
  <si>
    <t>1.0 RGB 2X6 RQ EM BLACKBERRY LIME AT</t>
  </si>
  <si>
    <t>KW 36</t>
  </si>
  <si>
    <t>Old Material number: 161401</t>
  </si>
  <si>
    <t>1.0 RGB 2X6 RQ EM PEAR CAR AT</t>
  </si>
  <si>
    <t>Old Material number: 860001</t>
  </si>
  <si>
    <t>500 CAN X12 MONSTER MULE GINGER BREW AT</t>
  </si>
  <si>
    <t>330 CAN SLEEK 4X6 COCA-COLA KEELCLP AT</t>
  </si>
  <si>
    <t>330 CAN SLEEK 4X6 COKE ZERO KEELCLP AT</t>
  </si>
  <si>
    <t>330 CAN SLEEK 4X6 FANTAORANGE KEELCLP AT</t>
  </si>
  <si>
    <t xml:space="preserve">RQ </t>
  </si>
  <si>
    <t xml:space="preserve">1.0 RGB 2X6 RÖMERQUELLE STILL AT       </t>
  </si>
  <si>
    <t xml:space="preserve">1.0 RGB 2X6 RQ MEDIUM CARB AT           </t>
  </si>
  <si>
    <t xml:space="preserve">1.0 RGB 2X6 RÖMERQUELLE CARB AT      </t>
  </si>
  <si>
    <t>330 CAN 6X4 FUZETEA BT PEACH HIBIS AT</t>
  </si>
  <si>
    <t>1.0 RGB X12 COCA-COLA AT</t>
  </si>
  <si>
    <t xml:space="preserve">Kinley </t>
  </si>
  <si>
    <t>1.0 PET X14 KINLEY HERBAL GASTRO AT</t>
  </si>
  <si>
    <t>9.0 TNK PMX KINLEY HERBAL 63.0 AT</t>
  </si>
  <si>
    <t>Nemiroff</t>
  </si>
  <si>
    <t>50 NRG X1 NEMIROFF DE LUXE 40P AT</t>
  </si>
  <si>
    <t>Änderung Artikelbezeichnung</t>
  </si>
  <si>
    <t>700 NRG X1 NEMIROFF DE LUXE 40P AT</t>
  </si>
  <si>
    <t>1.75 NRG X1 NEMIROFF DE LUXE 40P AT</t>
  </si>
  <si>
    <t>50 NRG X1 NEMIROFF DL HONEY PEP 40P AT</t>
  </si>
  <si>
    <t>700 NRG X1 NEMIROFF DL HONEY PEPR 40P AT</t>
  </si>
  <si>
    <t>700 NRG X1 NEMIROF DL WLD CRANBE 40P AT</t>
  </si>
  <si>
    <t>700 NRG X1 NEMIROFF DL BURN PEAR 40P AT</t>
  </si>
  <si>
    <t>700 NRG X1 NEMIROFF DL BOLD ORAN 40P AT</t>
  </si>
  <si>
    <t>700 NRG X6 NEMIROFF LEX 40P A AT</t>
  </si>
  <si>
    <t>Änderung Artikelbezeichnung / Artikelnummer korrigiert</t>
  </si>
  <si>
    <t>700 NRG X1 NEMIROFF DL REST BARL 40P AT</t>
  </si>
  <si>
    <t>Glendalough</t>
  </si>
  <si>
    <t>700 NRG X1 GLENDALOUGH DB WHISKEY 42P AT</t>
  </si>
  <si>
    <t>700 NRG X1 GLENDALOUGH PS WHISKEY 43P AT</t>
  </si>
  <si>
    <t>700 NRG X1 GLENDALOUGH WILD B GIN 41P AT</t>
  </si>
  <si>
    <t>700 NRG X1 GLENDALOUGH ROSE GIN 37.5P AT</t>
  </si>
  <si>
    <t>Lucano</t>
  </si>
  <si>
    <t>700 NRG X1 LUCANO COR CAFFE ANNIV 26P AT</t>
  </si>
  <si>
    <t>750 NRG X1 LUCANO VERMOUTH CAV 18P AT</t>
  </si>
  <si>
    <t>Änderung Artikelbezeichnung /EAN Code CHG-MAT-000006630</t>
  </si>
  <si>
    <t>500 NRG X1 LUCANO LIMONC SORR 30P AT</t>
  </si>
  <si>
    <t>Änderung Artikelbezeichnung /EAN CodeCHG-MAT-000006857</t>
  </si>
  <si>
    <t>700 NRG X1 LUCANO AMAR  ANNIV 34P AT</t>
  </si>
  <si>
    <t>700 NRG X1 LUCANO SAMBUCA ANNIV 40P AT</t>
  </si>
  <si>
    <r>
      <t xml:space="preserve">Änderung Artikelbezeichnung / </t>
    </r>
    <r>
      <rPr>
        <b/>
        <sz val="11"/>
        <color theme="1"/>
        <rFont val="Calibri"/>
        <family val="2"/>
        <scheme val="minor"/>
      </rPr>
      <t>EAN Code CHG-MAT-000007323</t>
    </r>
  </si>
  <si>
    <t>1.0 NRG X1 LUCANO AMARO 28P AT</t>
  </si>
  <si>
    <t>700 NRG X1 LUCANO AMARO 28P AT</t>
  </si>
  <si>
    <t>800 PET X12 ADEZ COCONUT ATCH</t>
  </si>
  <si>
    <t>330 NRG X12 HONEST LEM ORNG BIO ATCHITHU</t>
  </si>
  <si>
    <t xml:space="preserve">Fanta </t>
  </si>
  <si>
    <t>21-08.20</t>
  </si>
  <si>
    <t>330 CAN SLEEK 4X6 COKE ZERO AT</t>
  </si>
  <si>
    <t>Tonka Gin</t>
  </si>
  <si>
    <t>500 NRG X1 TONKA GIN 47P AT</t>
  </si>
  <si>
    <t xml:space="preserve">completed </t>
  </si>
  <si>
    <t>800 PET X12 ADEZ ALMOND ATCH</t>
  </si>
  <si>
    <t>330 CAN SLEEK 4X6 COCA - COLA AT</t>
  </si>
  <si>
    <t>50 NRG X1 TONKA GIN 47P AT</t>
  </si>
  <si>
    <t>330 CAN 4X6 FANTA ORANGE SLEEK AT</t>
  </si>
  <si>
    <t>Topo Chico</t>
  </si>
  <si>
    <t>330 CAN X12 TC TANGY LEM LIM 4.7P ATCH</t>
  </si>
  <si>
    <t>330 CAN X12 TC CHERRY ACAI ATCH</t>
  </si>
  <si>
    <t>330 CAN X12 TC TROPIC MNG ATCH</t>
  </si>
  <si>
    <t>750 PET X6 RQ EM PEAR MELISSA AT</t>
  </si>
  <si>
    <t>KW9</t>
  </si>
  <si>
    <t>750 PET X6 RQ EM BLACKBERRY LIME AT</t>
  </si>
  <si>
    <t>750 PET X6 RQ EM APRICOT ELDERFLO AT</t>
  </si>
  <si>
    <t>750 PET X6 RQ EM PINEAPPLE LEMON AT</t>
  </si>
  <si>
    <t>750 PET X6 RQ EM LEMONGRAS AT</t>
  </si>
  <si>
    <t>750 PET X6 RQ EM APP RDCURNT AT</t>
  </si>
  <si>
    <t>750 PET X6 RQ FRESH LEMON AT</t>
  </si>
  <si>
    <t>330 CAN X24 RQ EM PEAR AT</t>
  </si>
  <si>
    <t>330 CAN X24 RQ EM BLACKBERRY LIME AT</t>
  </si>
  <si>
    <t>330 CAN X24 RQ EM APRICOT ELDERFL AT</t>
  </si>
  <si>
    <t>750 PET X6 RQ EM GUARANA AT</t>
  </si>
  <si>
    <t>500 CAN X24 MONSTER ULTRA PARADISE AT</t>
  </si>
  <si>
    <t>KW51</t>
  </si>
  <si>
    <t>neue Artikelnummer,Abtausch 1841404</t>
  </si>
  <si>
    <t xml:space="preserve">Costa </t>
  </si>
  <si>
    <t>5.7 PKG 8X10 COSTA NCC SIG BL LUNGO</t>
  </si>
  <si>
    <t>KW48</t>
  </si>
  <si>
    <t>5.7 PKG 8X10 COSTA NCC SIG BL ESPRESSO</t>
  </si>
  <si>
    <t>5.7 PKG 8X10 COSTA NCC BRIGHT BL ESPRES</t>
  </si>
  <si>
    <t>5.7 PKG 8X10 COSTA NCC COLOMBIA ESPRESSO</t>
  </si>
  <si>
    <t>1.0 BAG X10 COSTA AH SIG BLD MED RST BN</t>
  </si>
  <si>
    <t>500 BAG X6 COSTA AH SIG BLD MED RST</t>
  </si>
  <si>
    <t>500 PET X24 FANTA SHOKATA AT</t>
  </si>
  <si>
    <t>Aktivierung neue BBN (Formel)</t>
  </si>
  <si>
    <t>1.5 PET X4 FANTA SHOKATA (C) AT</t>
  </si>
  <si>
    <t>250 RGB X24 KINLEY TONIC AT</t>
  </si>
  <si>
    <t>KW17/18</t>
  </si>
  <si>
    <t>250 RGB X24 KINLEY BITTER LEMON AT</t>
  </si>
  <si>
    <t>250 RGB X24 KINLEY GINGER ALE AT</t>
  </si>
  <si>
    <t>250 RGB X24 KINLEY BITTER ROSE AT</t>
  </si>
  <si>
    <t>1.0 BAG X10 COSTA AH SIG BLD DRK RST BN</t>
  </si>
  <si>
    <t>500 BAG X6 COSTA AH BRIGHT BLEND BN</t>
  </si>
  <si>
    <t>200 PKG X8 COSTA AH BRIGHT BLEND RNG</t>
  </si>
  <si>
    <t>200 PKG X8 COSTA AH SIG BL DRK RST RNG</t>
  </si>
  <si>
    <t xml:space="preserve">Padre Azul </t>
  </si>
  <si>
    <t xml:space="preserve">50 NRG X1 PADRE AZUL BLANCO 40P AT </t>
  </si>
  <si>
    <t>KW2</t>
  </si>
  <si>
    <t xml:space="preserve">50 NRG X1 PADRE AZUL REPOSADO 40P AT </t>
  </si>
  <si>
    <t>50 NRG X1 PADRE AZUL ANEJO 40P AT</t>
  </si>
  <si>
    <t xml:space="preserve">700 NRG X1 PADRE AZUL BLANCO 40P AT </t>
  </si>
  <si>
    <t>700 NRG X1 PADRE AZUL REPOSADO 40P AT</t>
  </si>
  <si>
    <t xml:space="preserve">700 NRG X1 PADRE AZUL ANEJO 40P AT </t>
  </si>
  <si>
    <t xml:space="preserve">3.0 NRG X1 PADRE AZUL BLANCO 40P AT </t>
  </si>
  <si>
    <t>3.0 NRG X1 PADRE AZUL REPOSADO 40P AT</t>
  </si>
  <si>
    <t>3.0 NRG X1 PADRE AZUL ANEJO 40P AT</t>
  </si>
  <si>
    <t>700 NRG X1 PADRE AZUL CHRISTALINO 38P AT</t>
  </si>
  <si>
    <t>50 NRG X1 XIAMAN MEZCAL ARTESANAL 44P AT</t>
  </si>
  <si>
    <t>700 NRG X1 XIAMAN MEZCAL ARTESANAL 44P AT</t>
  </si>
  <si>
    <t>18-12.20</t>
  </si>
  <si>
    <t>500 PET X24 KINLEY HERBAL AT</t>
  </si>
  <si>
    <t>1.0 PET X12 KINLEY TONIC WATER LS PL</t>
  </si>
  <si>
    <t>KW36</t>
  </si>
  <si>
    <t xml:space="preserve">Artikel extended </t>
  </si>
  <si>
    <t>1.0 PET X12 KINLEY BITTER LEMON LS PL</t>
  </si>
  <si>
    <t xml:space="preserve">Edrington </t>
  </si>
  <si>
    <t>700 NRG X1 NAKED BLENDED MALT 40P AT</t>
  </si>
  <si>
    <t>KW18</t>
  </si>
  <si>
    <t xml:space="preserve">Description wird geändert / Brand und BBP Code </t>
  </si>
  <si>
    <t>700 NRG X1 FAMOUS GROUSE 40P AT</t>
  </si>
  <si>
    <t>Whiskey</t>
  </si>
  <si>
    <t>1.0 NRG X1 FAMOUS GROUSE 40P AT</t>
  </si>
  <si>
    <t>700 NRG X1 PADRE AZUL SINGLE BARL 40P AT</t>
  </si>
  <si>
    <t>Supressed</t>
  </si>
  <si>
    <t>150 NRG X1 PADRE AZUL TASTING SET 40P AT</t>
  </si>
  <si>
    <t>1.5 PET X4 FANTA ZERO BLACKCURRANT AT</t>
  </si>
  <si>
    <t>1.0 PET X6 RQ LEMON MILD AT</t>
  </si>
  <si>
    <t>Cappy</t>
  </si>
  <si>
    <t>1.0 PET X6 CAPPY BLACKCURRANT ATCZSK</t>
  </si>
  <si>
    <t>1.0 PET X6 CAPPY APPLE JC HU</t>
  </si>
  <si>
    <t>1.0 PET X6 CAPPY ORANGE JC HUATCH</t>
  </si>
  <si>
    <t>500 PET X12 RQ EM PINEAPPLE LEMON AT</t>
  </si>
  <si>
    <t>1.0 PET X6 RQ EM BLACKBERRY LIME AT</t>
  </si>
  <si>
    <t>1.0 PET X6 RQ EM PINEAPPLE LEMON AT</t>
  </si>
  <si>
    <t>1.0 PET X6 RQ FRESH RASPBERRY AT</t>
  </si>
  <si>
    <t>500 CAN X12 MONSTER REHAB AT</t>
  </si>
  <si>
    <t>1.0 PET X6 RQ EM PEAR CAR AT</t>
  </si>
  <si>
    <t>Smartwater</t>
  </si>
  <si>
    <t>600 PET X12 GLACEAU SMARTWATER AT</t>
  </si>
  <si>
    <t>700 NRG X1 NEMIROFF ORIGINAL 40P AT</t>
  </si>
  <si>
    <t>Costa</t>
  </si>
  <si>
    <t>5.7 PKG 10X10 COSTA NCC SIG BL ESPRESSO</t>
  </si>
  <si>
    <t>5.7 PKG 10X10 COSTA NCC SIG BL LUNGO</t>
  </si>
  <si>
    <t>5.7 PKG 10X10 COSTA NCC BRIGHT BL ESPRES</t>
  </si>
  <si>
    <t>5.7 PKG 10X10 COSTA NCC COLMBIA ESPRESSO</t>
  </si>
  <si>
    <t>2.1 NRG X1 PADRE AZUL SUITCASE AT</t>
  </si>
  <si>
    <t>900 NRG X1 PADRE AZUL TASTING SET 40P AT</t>
  </si>
  <si>
    <t>500 PET X12 RQ FRESH LEMON AT</t>
  </si>
  <si>
    <t>Royal Bliss</t>
  </si>
  <si>
    <t>200 NRG X12 ROYAL BLISS BERRY ATCH</t>
  </si>
  <si>
    <t>330 NRG X12 FANTA ORANGE SYRUP 5.0 AT</t>
  </si>
  <si>
    <t xml:space="preserve">330 NRG X12 MEZZOMIX SYRUP 5.0 AT </t>
  </si>
  <si>
    <t>330 NRG X12 SPRITE SYRUP 5.0 AT</t>
  </si>
  <si>
    <t>500 PET X12 RQ EM APP RDCURNT AT</t>
  </si>
  <si>
    <t>1.0 PET X6 RQ EM APP RDCURNT AT</t>
  </si>
  <si>
    <t>700 NRG X1 FAMOUS GROUSE ONPACK 40P AT</t>
  </si>
  <si>
    <t>Co-Packing Artikel (Geschenkverpackung)</t>
  </si>
  <si>
    <t>1.5 PET X6 FUZE TEA FORREST FRUIT AT</t>
  </si>
  <si>
    <t>500 PET X12 FUZE T FORREST FRUIT AT</t>
  </si>
  <si>
    <t>Barcelo Rum</t>
  </si>
  <si>
    <t>700 NRG X1 RON BARCELO IMPERIAL 38P AT</t>
  </si>
  <si>
    <t>700 NRG X1 RON BARCELO ORGANIC 37.5P AT</t>
  </si>
  <si>
    <t>700 NRG X1 RON BARCELO IMP ONYX 38P AT</t>
  </si>
  <si>
    <t>1.0 NRG X1 BARCELO RUM BLANCO 37.5P AT</t>
  </si>
  <si>
    <t>1.0 NRG X1 BARCELO RUM DORADO 37.5P AT</t>
  </si>
  <si>
    <t>700 NRG X1 BARCELO RUM IMP 38P X-MAS AT</t>
  </si>
  <si>
    <t xml:space="preserve">700 NRG X1 BARCELO RUM ONYX 38P X-MAS AT </t>
  </si>
  <si>
    <t>1.5 PET X6 FUZE TEA GT POMEGR ACAI AT</t>
  </si>
  <si>
    <t>Padre Azul</t>
  </si>
  <si>
    <t>700 NRG X1 PADRE AZUL ANEJO 40P LTD E AT</t>
  </si>
  <si>
    <t>500 PET X12 FUZE TEA GT PMGR ACAI AT</t>
  </si>
  <si>
    <t>700 NRG X1 NEMIROFF DE LUXE 40P &amp;GLAS AT</t>
  </si>
  <si>
    <t>1.5 PET X6 FUZE TEA BT LEMON LEMGRS AT</t>
  </si>
  <si>
    <t>1.5 PET X6 FZ TEA BT LEMON LEMGRS NEW AT</t>
  </si>
  <si>
    <t>KW50</t>
  </si>
  <si>
    <t>1.5 PET X6 FUZE TEA BT PEACH HIBIS AT</t>
  </si>
  <si>
    <t xml:space="preserve">1.5 PET X6 FZ TEA BT PEACH HIBIS NEW AT </t>
  </si>
  <si>
    <t>500 PET X12 FUZE TEA BT LEMON LEMGRS AT</t>
  </si>
  <si>
    <t>500 PET X12 FUZE TEA BT LN LEMGRS NEW AT</t>
  </si>
  <si>
    <t>500 PET X12 FUZE TEA BT PEACH HIBIS AT</t>
  </si>
  <si>
    <t>500 PET X12 FZ TEA BT PEACH HIBS NEW AT</t>
  </si>
  <si>
    <t>250 RGB X24 FUZETEA BT LEMON LEMGRS AT</t>
  </si>
  <si>
    <t>250 RGB X24 FUZETEA BT PEACH HIBS NEW AT</t>
  </si>
  <si>
    <t>250 RGB X24 FUZETEA BT PEACH HIBIS AT</t>
  </si>
  <si>
    <t>250 RGB X24 FUZETEA BT LMN LMGRS NEW AT</t>
  </si>
  <si>
    <t>5.7 PKG 10X10 COSTA NCC COLOMBIA ESPRESSO</t>
  </si>
  <si>
    <t>ab sofort verfügbar</t>
  </si>
  <si>
    <t>derzeit alter SKU (8X10) + neue SKUs verfügbar</t>
  </si>
  <si>
    <t>1.0 BAG X6 COSTA AH SIG BLD MED RST BN</t>
  </si>
  <si>
    <t>derzeit alter SKU (X10) + neue SKUs verfügbar</t>
  </si>
  <si>
    <t>1.0 BAG X6 COSTA AH SIG BLD DRK RST BN</t>
  </si>
  <si>
    <t>derzeit alter SKU (X6) + neuer SKU verfügbar</t>
  </si>
  <si>
    <t xml:space="preserve">330 CAN X24 FANTA EXOTIC AT </t>
  </si>
  <si>
    <t>330 CAN X24 FANTA ZERO RASPBERRY AT</t>
  </si>
  <si>
    <t>250 CAN X24 KINLEY TONIC WATER LS PL</t>
  </si>
  <si>
    <t>250 CAN X24 KINLEY BITTER ROSE LS PL</t>
  </si>
  <si>
    <t>700 NRG X1 GLENDALOUGH SBC DB WH 42P AT</t>
  </si>
  <si>
    <t>Geschenkverpackung</t>
  </si>
  <si>
    <t>Römerquelle</t>
  </si>
  <si>
    <t>750 PET X6 RQ EM BLUEBERRY POMEGRANAT AT</t>
  </si>
  <si>
    <t>KW15</t>
  </si>
  <si>
    <t xml:space="preserve">Änderung der BOM noch nötig, aktuell ABP Rohmaterials </t>
  </si>
  <si>
    <t>500 PET X24 FANTA MANGO AT</t>
  </si>
  <si>
    <t>1.5 PET X4 FANTA MANGO AT</t>
  </si>
  <si>
    <t>1.0 PET X4 SPRITE AT</t>
  </si>
  <si>
    <t>Full sugar</t>
  </si>
  <si>
    <t>500 PET X24 FANTA ZERO WTF ACAI BOWL AT</t>
  </si>
  <si>
    <t>1.5 PET X4 FANTA ZERO WTF ACAI BOWL AT</t>
  </si>
  <si>
    <t>330 CAN X24 SPRITE FRESH SLEEK AT</t>
  </si>
  <si>
    <t>330 CAN X24 SPRITE SLEEK AT</t>
  </si>
  <si>
    <t>500 CAN 6X4 MONSTER ENERGY AT</t>
  </si>
  <si>
    <t>400 RGB X20 COCA-COLA AT</t>
  </si>
  <si>
    <t>tbd</t>
  </si>
  <si>
    <t>1.0 RGB X12 COCA-COLA ZERO AT</t>
  </si>
  <si>
    <t>400 RGB X20 COKE ZERO AT</t>
  </si>
  <si>
    <t>500 PET X24 SPRITE ZERO AT</t>
  </si>
  <si>
    <t>1.5 PET X4 SPRITE ZERO AT</t>
  </si>
  <si>
    <t>500 NRG X1 TONKA GIN FASSLAG 40P AT</t>
  </si>
  <si>
    <t>1.5 PET X6 FANTA MANGO AT</t>
  </si>
  <si>
    <t>KW16</t>
  </si>
  <si>
    <t>1.5 PET X6 FANTA ZERO WTF ACAI BOWL AT</t>
  </si>
  <si>
    <t>1.0 PET X6 COKE ZERO LEMON AT</t>
  </si>
  <si>
    <t>700 NRG X1 GLENDALOUGH MIZUNAR WH 46P AT</t>
  </si>
  <si>
    <t>330 CAN SLEEK 3X8 COCA-COLA KEELCLP AT</t>
  </si>
  <si>
    <t>330 CAN SLEEK 3X8 FANTAORANGE KEELCLP AT</t>
  </si>
  <si>
    <t>330 CAN SLEEK 3X8 COKE ZERO KEELCLP AT</t>
  </si>
  <si>
    <t>700 NRG X1 FAMOUSE GROUSE SHERR F 40P AT</t>
  </si>
  <si>
    <t>700 NRG X1 BARCELO RUM GR ANEJO 37.5P AT</t>
  </si>
  <si>
    <t xml:space="preserve">700 NRG X1 BARCELO RUM IMP PBL AN 43P AT </t>
  </si>
  <si>
    <t>1.75 NRG X1 BARCELO RUM IMPERIAL 38P AT</t>
  </si>
  <si>
    <t>850 NRG X1 NEMIROF DE LUX INK MIN 40P AT</t>
  </si>
  <si>
    <t>Padre / Xaiman</t>
  </si>
  <si>
    <t>1200 NRG X1 PADRE XIAMAN T SET 40 44P AT</t>
  </si>
  <si>
    <t>1.5 PET X6 SPRITE ZERO AT</t>
  </si>
  <si>
    <t>1.5 PET X4 FANTA ORANGE ZERO AT</t>
  </si>
  <si>
    <t>1.5 PET X6 FANTA ORANGE ZERO AT</t>
  </si>
  <si>
    <t>1.5 PET X4 FANTA ORANGE AT</t>
  </si>
  <si>
    <t>1.5 PET X6 FANTA ORANGE AT</t>
  </si>
  <si>
    <t>1.5 PET X4 FANTA ZERO LEMON AT</t>
  </si>
  <si>
    <t>1.5 PET X6 FANTA ZERO LEMON AT</t>
  </si>
  <si>
    <t>1.5 PET X4 SPRITE FRESH AT</t>
  </si>
  <si>
    <t>1.5 PET X6 SPRITE AT</t>
  </si>
  <si>
    <t>Full Sugar</t>
  </si>
  <si>
    <t>1.5 PET X4 MEZZO MIX AT</t>
  </si>
  <si>
    <t>1.5 PET X6 MEZZO SPECIALITY MIX AT</t>
  </si>
  <si>
    <t>1.5 PET X4 COKE LIGHT AT</t>
  </si>
  <si>
    <t>1.5 PET X6 COKE LIGHT AT</t>
  </si>
  <si>
    <t>1.5 PET X4 COKE ZERO AT</t>
  </si>
  <si>
    <t>1.5 PET X6 COKE ZERO AT</t>
  </si>
  <si>
    <t>1.5 PET X4 COCA COLA AT</t>
  </si>
  <si>
    <t>1.5 PET X6 COCA-COLA AT</t>
  </si>
  <si>
    <t>330 RGB X24 SPRITE FRESH AT</t>
  </si>
  <si>
    <t>330 RGB X24 SPRITE AT</t>
  </si>
  <si>
    <t>1.0 PET X4 FANTA ORANGE AT</t>
  </si>
  <si>
    <t>1.0 PET X6 FANTA ORANGE AT</t>
  </si>
  <si>
    <t>1.0 PET X4 COCA-COLA LIGHT AT</t>
  </si>
  <si>
    <t>1.0 PET X6 COKE LIGHT AT</t>
  </si>
  <si>
    <t>1.0 PET X4 COCA-COLA AT</t>
  </si>
  <si>
    <t>1.0 PET X6 COCA COLA AT</t>
  </si>
  <si>
    <t>1.0 PET X4 SPRITE FRESH AT</t>
  </si>
  <si>
    <t>1.0 PET X6 SPRITE AT</t>
  </si>
  <si>
    <t>1.0 PET X4 COCA-COLA ZERO AT</t>
  </si>
  <si>
    <t>1.0 PET X6 COKE ZERO AT</t>
  </si>
  <si>
    <t>50 NRG X1 NAKED BLENDED MALT 40P AT</t>
  </si>
  <si>
    <t>2.0 PET X4 SPRITE FRESH AT</t>
  </si>
  <si>
    <t>2.0 PET X4 SPRITE AT</t>
  </si>
  <si>
    <t>1.0 PET X14 SPRITE FRESH GASTRO NEW AT</t>
  </si>
  <si>
    <t>1.0 PET X14 SPRITE GASTRO NEW AT</t>
  </si>
  <si>
    <t>500 PET X24 SPRITE FRESH AT</t>
  </si>
  <si>
    <t>500 PET X24 SPRITE AT</t>
  </si>
  <si>
    <t>500 CAN X24 MONSTER PIPELIN PUNCH AT</t>
  </si>
  <si>
    <t>500 CAN X24 MONSTER ULTRA FIESTA MNG AT</t>
  </si>
  <si>
    <t>150 CAN X12 COCA COLA CHAT</t>
  </si>
  <si>
    <t>500 PET X24 CAPPY APPLE SCHORLE NECT AT</t>
  </si>
  <si>
    <t>330 CAN 6X4 KINLEY BITTER ROSE CZSK</t>
  </si>
  <si>
    <t>330 CAN 6X4 KINLEY TONIC WATER CZSK</t>
  </si>
  <si>
    <t>EAN Codes bleiben gleich</t>
  </si>
  <si>
    <t>5.7 PKG 10X10 COSTA NCC WARMING BL LUNGO</t>
  </si>
  <si>
    <t>5.7 PKG 10X10 COSTA NCC LIVELY BL RISTR</t>
  </si>
  <si>
    <t xml:space="preserve">Sprite </t>
  </si>
  <si>
    <t>20.0 BIB PMX SPRITE ZERO 128.0 MCD AT</t>
  </si>
  <si>
    <t>500 CAN X12 MONSTER PIPLINE PUNCH AT</t>
  </si>
  <si>
    <t>Abtausch auf 12er Tray (EAN Codes bleiben gleich)</t>
  </si>
  <si>
    <t>355 CAN X12 MONSTER ENERGY AT</t>
  </si>
  <si>
    <t>355 CAN X12 MONSTER EN ZERO ULTRA AT</t>
  </si>
  <si>
    <t>500 CAN X24 MONSTER REHAB PEACH AT</t>
  </si>
  <si>
    <t>500 CAN X24 MONSTER ENRG THE DOCTOR AT</t>
  </si>
  <si>
    <t>2245401</t>
  </si>
  <si>
    <t>330 CAN 6X4 KINLEY BITTER ROSE KC CZSKAT</t>
  </si>
  <si>
    <t>Neue Artikelnummern für Kinley 330 CAN 6X4 - extended</t>
  </si>
  <si>
    <t>2245501</t>
  </si>
  <si>
    <t>330 CAN 6X4 KINLEY TONIC WATER KC CZSKAT</t>
  </si>
  <si>
    <t>150 CAN 2X12 COCA COLA CHAT</t>
  </si>
  <si>
    <t>500 NRG X1 TONKA GIN 47P &amp;GLAS AT</t>
  </si>
  <si>
    <t>700 NRG X1 PADRECITO TEQ BLANCO 40P AT</t>
  </si>
  <si>
    <t>330 NRG X12 MEZZOMIX SYRUP 5.0 AT</t>
  </si>
  <si>
    <t>700 NRG X1 BARCELO IMP PORTO CASK 40P AT</t>
  </si>
  <si>
    <t>BAN 2431400</t>
  </si>
  <si>
    <t>700 NRG X1 LUCANO AMARO ESSENZA 34P AT</t>
  </si>
  <si>
    <t>BAN 2439500</t>
  </si>
  <si>
    <t>KW44</t>
  </si>
  <si>
    <t>500 PET X12 FUZE TEA BT LN LEMGRS RAK AT</t>
  </si>
  <si>
    <t>BAN 1676400</t>
  </si>
  <si>
    <t>KW41</t>
  </si>
  <si>
    <t>500 PET X12 FZ TEA BT PEACH HIBS RAK AT</t>
  </si>
  <si>
    <t>BAN 1676500</t>
  </si>
  <si>
    <t>500 PET X12 FUZETEA PCH ROSE ZERO AT</t>
  </si>
  <si>
    <t>KW46</t>
  </si>
  <si>
    <t>500 PET X12 FT BT PEACH ROSE ZERO RAK AT</t>
  </si>
  <si>
    <t>BAN 1986700</t>
  </si>
  <si>
    <t>500 CAN X12 MONSTER LH44 ZERO AT</t>
  </si>
  <si>
    <t>BAN 2431700</t>
  </si>
  <si>
    <t>250 RGB X24 KINLEY YANG BERRY MIXER AT</t>
  </si>
  <si>
    <t>BAN 2444100</t>
  </si>
  <si>
    <t>250 RGB X24 KINLEY YANG TONIC WATER AT</t>
  </si>
  <si>
    <t>BAN 524800</t>
  </si>
  <si>
    <t>250 RGB X24 KINLEY YANG BITTER LEMON AT</t>
  </si>
  <si>
    <t>BAN 142500</t>
  </si>
  <si>
    <t xml:space="preserve">250 RGB X24 KINLEY YANG GINGER ALE AT </t>
  </si>
  <si>
    <t>BAN 698400</t>
  </si>
  <si>
    <t>500 CAN X12 MONSTER ULTR WATERMELON AT</t>
  </si>
  <si>
    <t>BAN 2403800</t>
  </si>
  <si>
    <t>Powerade</t>
  </si>
  <si>
    <t>500 PET X12 POWERADE BLOOD ORANGE ATCH</t>
  </si>
  <si>
    <t>BAN 989100</t>
  </si>
  <si>
    <t>330 CAN 6X4 KINLEY GINGERALE Y KC CZSKAT</t>
  </si>
  <si>
    <t>BAN 2244604</t>
  </si>
  <si>
    <t>330 CAN 6X4 KINLEY TONIC WAT Y KC CZSKAT</t>
  </si>
  <si>
    <t>BAN 2245500</t>
  </si>
  <si>
    <t xml:space="preserve">330 CAN 6X4 KINLEY PINKBERRY Y KC CZSKAT </t>
  </si>
  <si>
    <t>BAN 2449800</t>
  </si>
  <si>
    <t>150 CAN X12 COCA COLA PAL CHAT</t>
  </si>
  <si>
    <t>KW1</t>
  </si>
  <si>
    <r>
      <t xml:space="preserve">BAN 961400 </t>
    </r>
    <r>
      <rPr>
        <sz val="11"/>
        <rFont val="Calibri"/>
        <family val="2"/>
        <scheme val="minor"/>
      </rPr>
      <t>/</t>
    </r>
    <r>
      <rPr>
        <b/>
        <sz val="11"/>
        <color rgb="FF0070C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neue Palettisierung EANs bleiben gleich</t>
    </r>
  </si>
  <si>
    <t>1.5 PET X6 COCA COLA LITETOP AT</t>
  </si>
  <si>
    <t>KW35</t>
  </si>
  <si>
    <t>BAN 592000</t>
  </si>
  <si>
    <t>1.5 PET X6 COKE LIGHT LITETOP AT</t>
  </si>
  <si>
    <t>BAN 592300</t>
  </si>
  <si>
    <t>1.5 PET X6 COKE ZERO LITETOP AT</t>
  </si>
  <si>
    <t>BAN 298100</t>
  </si>
  <si>
    <t>1.5 PET X6 FANTA ORANGE LITETOP AT</t>
  </si>
  <si>
    <t>BAN 592100</t>
  </si>
  <si>
    <t>1.5 PET X6 SPRITE LITETOP AT</t>
  </si>
  <si>
    <t>BAN 592200</t>
  </si>
  <si>
    <t>1.5 PET X6 FANTA ZERO LEMON LITETOP AT</t>
  </si>
  <si>
    <t>BAN 1785800</t>
  </si>
  <si>
    <t>1.5 PET X6 SPRITE ZERO LITETOP AT</t>
  </si>
  <si>
    <t>BAN 1025800</t>
  </si>
  <si>
    <t>1.5 PET X6 MEZZO MIX LITETOP AT</t>
  </si>
  <si>
    <t>BAN 1007500</t>
  </si>
  <si>
    <t>1.5 PET X6 FANTA MANGO LITETOP AT</t>
  </si>
  <si>
    <t>BAN 280500</t>
  </si>
  <si>
    <t>1.5 PET X6 FANTA ORANGE ZERO LITETOP AT</t>
  </si>
  <si>
    <t>BAN 400400</t>
  </si>
  <si>
    <t>1.5 PET X6 FANTA EXOTIC ZERO LITETOP AT</t>
  </si>
  <si>
    <t>BAN 2286900</t>
  </si>
  <si>
    <t>500 PET X24 FANTA EXOTIC ZERO AT</t>
  </si>
  <si>
    <t>BAN 1718100</t>
  </si>
  <si>
    <t xml:space="preserve">330 CAN X24 COKE ZERO VANILLA AT </t>
  </si>
  <si>
    <t>BAN 2062200</t>
  </si>
  <si>
    <t>250 CAN X24 COKE ZERO LEMON ATCH</t>
  </si>
  <si>
    <t xml:space="preserve"> 330 CAN X24 COKE ZERO LEMON AT</t>
  </si>
  <si>
    <t>BAN 1775200</t>
  </si>
  <si>
    <t>250 CAN X24 VANILLA COKE CHAT</t>
  </si>
  <si>
    <t>330 CAN X24 VANILLA COKE AT</t>
  </si>
  <si>
    <t>BAN 485500</t>
  </si>
  <si>
    <t>330 NRG X12 HONEST TEA PCH ROSMRY AT</t>
  </si>
  <si>
    <t>330 NRG X12 HONEST LEMON LEM ORG ATCH</t>
  </si>
  <si>
    <t>330 NRG X12 HONEST PINK LEM ORG ATCH</t>
  </si>
  <si>
    <t>330 CAN SLEEK X24 CCZ CAFF FREE AT</t>
  </si>
  <si>
    <t>BAN 1319000</t>
  </si>
  <si>
    <t>1.0 PET X6 COKE ZERO CAFF FREE AT</t>
  </si>
  <si>
    <t>BAN 2435300</t>
  </si>
  <si>
    <t xml:space="preserve">1.0 RGB X12 FANTA ORANGE AT </t>
  </si>
  <si>
    <t>KW29</t>
  </si>
  <si>
    <t>BAN 1027100</t>
  </si>
  <si>
    <t>1.0 RGB X12 SPRITE AT</t>
  </si>
  <si>
    <t>BAN 1025600</t>
  </si>
  <si>
    <t>1.0 RGB 2X6 FANTA ORANGE AT</t>
  </si>
  <si>
    <t>BAN 2439000</t>
  </si>
  <si>
    <t>1.0 RGB 2X6 SPRITE AT</t>
  </si>
  <si>
    <t>BAN 2438900</t>
  </si>
  <si>
    <t>1.0 RGB 2X6 COCA-COLA AT</t>
  </si>
  <si>
    <t>BAN 2438800</t>
  </si>
  <si>
    <t>1.0 RGB 2X6 COCA-COLA ZERO AT</t>
  </si>
  <si>
    <t>BAN 2279300</t>
  </si>
  <si>
    <t>1.5 PET X6 FUZETEA BT PEACH ROSE ZERO AT</t>
  </si>
  <si>
    <t>750 PET X6 RQ EM BLOOD OR LEMON AT</t>
  </si>
  <si>
    <t>KW12</t>
  </si>
  <si>
    <t>BAN 2450200</t>
  </si>
  <si>
    <t>750 PET X6 RQ EM PEACH WATERMELON AT</t>
  </si>
  <si>
    <t>BAN 2450300</t>
  </si>
  <si>
    <t>750 PET X6 RQ LEMON LIME AT</t>
  </si>
  <si>
    <t>BAN 2450400</t>
  </si>
  <si>
    <t>750 PET X6 RQ GRAPEFR CRANBERRY AT</t>
  </si>
  <si>
    <t>BAN 2450500</t>
  </si>
  <si>
    <t>150 CAN X12 COCA COLA ZERO PAL CHAT</t>
  </si>
  <si>
    <t>BAN 1312300</t>
  </si>
  <si>
    <t>700 NRG X1 GLENDALOUGH WB GIN NEW 41P AT</t>
  </si>
  <si>
    <t>BAN 2196000</t>
  </si>
  <si>
    <t>700 NRG X1 GLENDL ROSE GIN NEW 37.5P AT</t>
  </si>
  <si>
    <t>BAN 2196100</t>
  </si>
  <si>
    <t>680 CRG X1 CCZ /COKE ZERO CF P2 IEND</t>
  </si>
  <si>
    <t>Freestyle SKU</t>
  </si>
  <si>
    <t>500 CRG X1 COKE ZERO C/FREE P1 IEND</t>
  </si>
  <si>
    <t>1.0 PET X 6 KINLEY TONIC WATER YANG ATPL</t>
  </si>
  <si>
    <t>BAN 270900</t>
  </si>
  <si>
    <t>1.0 PET X 6 KINLEY BITTER LEMON YAN ATPL</t>
  </si>
  <si>
    <t>BAN 1374900</t>
  </si>
  <si>
    <t>1.5 PET X6 FZ TEA BT PEACH HIBIS NEW AT</t>
  </si>
  <si>
    <t>330 CAN X12 TC TANGY LEM LIM 4,7P ATCH</t>
  </si>
  <si>
    <t xml:space="preserve">330 CAN X12 TC TROPIC MNG ATCH              </t>
  </si>
  <si>
    <t>1.0 RGB X12 COCA-COLA NEW AT</t>
  </si>
  <si>
    <t>BAN 1001000</t>
  </si>
  <si>
    <t>500 CAN X12 MONSTER UL GOLD PINEAPPLE AT</t>
  </si>
  <si>
    <t>Q4</t>
  </si>
  <si>
    <t>BAN 2310000</t>
  </si>
  <si>
    <t>1.5 PET X6 FANTA EXOTIC ZERO AT</t>
  </si>
  <si>
    <t>250 RGB X24 CAPPY MULTIVITAMIN NC 50 AT</t>
  </si>
  <si>
    <t>5.7 PKG 10X10 COSTA NCC COLMBIA ESPR NP</t>
  </si>
  <si>
    <t xml:space="preserve">BAN 2242600 </t>
  </si>
  <si>
    <t>5.7 PKG 10X10 COSTA NCC SIG BL LUNGO NP</t>
  </si>
  <si>
    <t>BAN 2242800</t>
  </si>
  <si>
    <t>5.7 PKG 10X10 COSTA NCC SIG BL ESPR NP</t>
  </si>
  <si>
    <t>BAN 2242700</t>
  </si>
  <si>
    <t>5.7 PKG 10X10 COSTA NCC BRIGHT BL ESP NP</t>
  </si>
  <si>
    <t>BAN 2242400</t>
  </si>
  <si>
    <t>5.7 PKG 10X10 COSTA NCC WARM BL LUNGO NP</t>
  </si>
  <si>
    <t>BAN 2242300</t>
  </si>
  <si>
    <t>1.0 PET X12 KINLEY BITTER LEMON LS PLAT</t>
  </si>
  <si>
    <t>500 BAG X6 COSTA AH SIG BLD MED RST NP</t>
  </si>
  <si>
    <t>BAN 2095800</t>
  </si>
  <si>
    <t>500 BAG X6 COSTA AH BRIGHT BLEND BN NP</t>
  </si>
  <si>
    <t>BAN 2096000</t>
  </si>
  <si>
    <t>1.0 PET X12 KINLEY TONIC WATER LS PLAT</t>
  </si>
  <si>
    <t>suppressed</t>
  </si>
  <si>
    <t>700 NRG X1 BARCELO IMP MAPLE CASK 40P AT</t>
  </si>
  <si>
    <t>BAN 2511000</t>
  </si>
  <si>
    <t>1.0 PET X14 FANTA ORANGE GASTRO NEW AT</t>
  </si>
  <si>
    <t>1.0 PET X14 COCA COLA GASTRO NEW AT</t>
  </si>
  <si>
    <t>700 NRG X1 PADRE AZUL ANEJO 40P &amp;GLAS AT</t>
  </si>
  <si>
    <t>BAN 2226700</t>
  </si>
  <si>
    <t>700 NRG X1 GLENDAL DB GP POSTER 42P AT</t>
  </si>
  <si>
    <t>BAN 2191100</t>
  </si>
  <si>
    <t>Jack&amp;Coke</t>
  </si>
  <si>
    <t>330 CAN X12 JACK&amp;COKE HUATITCH DRS</t>
  </si>
  <si>
    <t>BAN 2462600</t>
  </si>
  <si>
    <t>250 CAN X24 COKE CREATIONS KWAVE ATCH</t>
  </si>
  <si>
    <t>KW5</t>
  </si>
  <si>
    <t>BAN 2513900</t>
  </si>
  <si>
    <t>250 RGB X24 CAPPY BLACK CURRANT (NC) AT</t>
  </si>
  <si>
    <t>500 PET X24 COKE ZERO CAFF FREE AT</t>
  </si>
  <si>
    <t>BAN 2282100</t>
  </si>
  <si>
    <t>500 PET X12 POWERADE GL MANGO ATRS</t>
  </si>
  <si>
    <t>BAN 1142400</t>
  </si>
  <si>
    <t> 500 PET X12 POWERADE ZERO MBLAST ATGR</t>
  </si>
  <si>
    <t>BAN 2010700</t>
  </si>
  <si>
    <t>750 PET X6 RQ EM PLUS APPLE ACAI AT</t>
  </si>
  <si>
    <t>BAN 2511700</t>
  </si>
  <si>
    <t>750 PET X6 RQ EM PLUS MANGO ACEROLA AT</t>
  </si>
  <si>
    <t>BAN 2574200</t>
  </si>
  <si>
    <t>250 RGB X24 KINLEY Y GINGER BEER AT</t>
  </si>
  <si>
    <t>BAN 2515600</t>
  </si>
  <si>
    <t>500 CAN X12 MONSTER ENERGY ZERO AT</t>
  </si>
  <si>
    <t>BAN 1545100</t>
  </si>
  <si>
    <t>500 CAN X12 MONSTER ULTRA ROSA AT</t>
  </si>
  <si>
    <t>Q3</t>
  </si>
  <si>
    <t>BAN 2431600</t>
  </si>
  <si>
    <t>700 NRG X1 PADRE AZUL REPOSAD LTD 40P AT</t>
  </si>
  <si>
    <t>BAN 2224400</t>
  </si>
  <si>
    <t>1.0 PET X6 KINLEY BITTER LEMON ATCH</t>
  </si>
  <si>
    <t>500 PET X12 FUZE T FORREST FRUIT NP AT</t>
  </si>
  <si>
    <t>BAN 2274700</t>
  </si>
  <si>
    <t>250 CAN X12 KINLEY TONIC WATER AT</t>
  </si>
  <si>
    <t>BAN 2561100</t>
  </si>
  <si>
    <t>250 CAN X12 KINLEY LIME MINT AT</t>
  </si>
  <si>
    <t>BAN 2473800</t>
  </si>
  <si>
    <t>250 CAN X12 KINLEY PINK GRAPFRUIT AT</t>
  </si>
  <si>
    <t>BAN 2561700</t>
  </si>
  <si>
    <t>Finlandia</t>
  </si>
  <si>
    <t>700 NRG X1 FINLANDIA CUCMB MINT 30P AT</t>
  </si>
  <si>
    <t>BAN 2236700</t>
  </si>
  <si>
    <t>700 NRG X1 FINLANDIA REDBRY 37.5P AT</t>
  </si>
  <si>
    <t>BAN 2546500</t>
  </si>
  <si>
    <t>700 NRG X1 FINLANDIA WLDBRY ROSE 30P AT</t>
  </si>
  <si>
    <t>BAN 2546600</t>
  </si>
  <si>
    <t>700 NRG X1 FINLANDIA VODKA 40P AT</t>
  </si>
  <si>
    <t>BAN 2546400</t>
  </si>
  <si>
    <t>50 NRG X1 FINLANDIA VODKA 40P AT</t>
  </si>
  <si>
    <t>BAN 2546300</t>
  </si>
  <si>
    <t>1.75 NRG X1 FINLANDIA VODKA 40P AT</t>
  </si>
  <si>
    <t>BAN 2546200</t>
  </si>
  <si>
    <t>1.0 PET X6 MEZZO MIX AT</t>
  </si>
  <si>
    <t>?</t>
  </si>
  <si>
    <t>BAN 2558300</t>
  </si>
  <si>
    <t>1.0 PET X6 KINLEY TONIC WATER Y AT</t>
  </si>
  <si>
    <t>BAN 408100</t>
  </si>
  <si>
    <t>1.0 PET X6 KINLEY PINK BERRY Y AT</t>
  </si>
  <si>
    <t>BAN 2566500</t>
  </si>
  <si>
    <t>330 CAN X24 COKE ZERO CHERRY CH</t>
  </si>
  <si>
    <t>KW23</t>
  </si>
  <si>
    <t>BAN 2493400</t>
  </si>
  <si>
    <t xml:space="preserve">Powerade </t>
  </si>
  <si>
    <t>500 PET X12 POWERADE BLOOD ORANGE AT</t>
  </si>
  <si>
    <t>500 PET X12 POWERADE BLOOD OR DRS HUAT</t>
  </si>
  <si>
    <t>250 RGB X24 CAPPY ORANGE NECT AT</t>
  </si>
  <si>
    <t>250 RGB X24 CAPPY APRICOT (NC) AT</t>
  </si>
  <si>
    <t>9.0 TNK PMX CAPPY APPLE NECT 54.0 AT</t>
  </si>
  <si>
    <t>330 CAN 6X4 KINLEY PINKBERRY Y KC CZSKAT</t>
  </si>
  <si>
    <t xml:space="preserve">	2513801</t>
  </si>
  <si>
    <t>250 CAN X24 COKE CREATIONS OREO ATCH</t>
  </si>
  <si>
    <t>BAN 2587700</t>
  </si>
  <si>
    <t>330 CAN X24 FANTA ZERO BJUICE SLEEK AT</t>
  </si>
  <si>
    <t>KW34</t>
  </si>
  <si>
    <t>BAN 2595000</t>
  </si>
  <si>
    <t>330 CAN X24 CAPPY ORANGE NECT SLEEK ATBA</t>
  </si>
  <si>
    <t>680 CRG X1 COKE ZERO CF P1 AT</t>
  </si>
  <si>
    <t>700 NRG X1 GLEND DB WHISKY VP GLAS 42 AT</t>
  </si>
  <si>
    <t>500 CAN X24 MONSTER ENERGY AT</t>
  </si>
  <si>
    <t>500 CAN X24 MONSTER ENERGY 24 AT</t>
  </si>
  <si>
    <t>BAN 1139200</t>
  </si>
  <si>
    <t>500 CAN X24 MONSTER ULTRA PARADISE 24 AT</t>
  </si>
  <si>
    <t>KW38</t>
  </si>
  <si>
    <t>BAN 2109400</t>
  </si>
  <si>
    <t>500 CAN X12 MONSTER ULTR WTRMLN 24 AT</t>
  </si>
  <si>
    <t>end of year</t>
  </si>
  <si>
    <t>500 CAN X24 MONSTER EN ZERO ULTRA AT</t>
  </si>
  <si>
    <t>500 CAN X24 MONSTER EN ZERO ULTRA 24 AT</t>
  </si>
  <si>
    <t>BAN 1561400</t>
  </si>
  <si>
    <t>500 CAN X12 MONSTER LH44 ZERO 24 AT</t>
  </si>
  <si>
    <t>KW42</t>
  </si>
  <si>
    <t>500 CAN X12 MONSTER ENERGY ZERO 24 AT</t>
  </si>
  <si>
    <t>500 CAN X12 MONSTER ULTRA ROSA 24 AT</t>
  </si>
  <si>
    <t>500 CAN X12 MONSTER JUI AUSS LEMADE AT</t>
  </si>
  <si>
    <t>500 CAN X12 MONSTER JUI AUS LEMADE 24 AT</t>
  </si>
  <si>
    <t>BAN 2431300</t>
  </si>
  <si>
    <t>1.0 BAG X6 COSTA AH SIGN BLEND MED BN</t>
  </si>
  <si>
    <t>BAN 2241400</t>
  </si>
  <si>
    <t>1.0 BAG X6 COSTA PRO MIT BLD MED RST BN</t>
  </si>
  <si>
    <t>1.0 BAG X6 COSTA PRO SIGNATURE MED BN</t>
  </si>
  <si>
    <t>BAN 2241100</t>
  </si>
  <si>
    <t>1.0 BAG X6 BARISTA BROS BL BN</t>
  </si>
  <si>
    <t>1.0 BAG X6 COSTA BARISTA BROS NO1 BN</t>
  </si>
  <si>
    <t>BAN 2376700</t>
  </si>
  <si>
    <t>1.0 BAG X6 COSTA AH SIGN BLEND DARK BN</t>
  </si>
  <si>
    <t>BAN 2241600</t>
  </si>
  <si>
    <t>1.0 BAG X6 COSTA PRO MIT DARK RST BN</t>
  </si>
  <si>
    <t>1.0 BAG X6 COSTA PRO SIGNATURE DARK BN</t>
  </si>
  <si>
    <t>BAN 2241300</t>
  </si>
  <si>
    <t>500 BAG X6 COSTA AH SIGNATURE BL MED BN</t>
  </si>
  <si>
    <t>5.7 PKG 10X10 COSTA AH NCC SIGN MED ESPR</t>
  </si>
  <si>
    <t xml:space="preserve">5.7 PKG 10X10 COSTA AH NCC AROM WARM BL </t>
  </si>
  <si>
    <t>5.7 PKG 10X10 COSTA AH NCC BCOL SIG ORG</t>
  </si>
  <si>
    <t>BAN 2242600</t>
  </si>
  <si>
    <t>5.7 PKG 10X10 COSTA AH NCC SIG MED LUNGO</t>
  </si>
  <si>
    <t>1.0 BAG X6 COSTA PRO CREMA GOLD BN</t>
  </si>
  <si>
    <t>BAN 2584100</t>
  </si>
  <si>
    <t>500 BAG X6 COSTA AH SIGNATURE BL DARK BN</t>
  </si>
  <si>
    <t>BAN 2096200</t>
  </si>
  <si>
    <t>113930</t>
  </si>
  <si>
    <t>500 CAN X24 MONSTER ENERGY (A)24 AT</t>
  </si>
  <si>
    <t>Call of Duty Promo / BAN 1139200</t>
  </si>
  <si>
    <t>1561421</t>
  </si>
  <si>
    <t>500 CAN X24 MONSTER EN ZR ULTRA (A)24 AT</t>
  </si>
  <si>
    <t>Call of Duty Promo / BAN 1561400</t>
  </si>
  <si>
    <t xml:space="preserve">500 CAN X24 MONSTER ULTRA PARADISE AT </t>
  </si>
  <si>
    <t>330 CAN X24 COKE ZERO CHERRY AT</t>
  </si>
  <si>
    <t>Three Cents</t>
  </si>
  <si>
    <t>200 NRG X24 THR CENTS AEGEAN TON AT</t>
  </si>
  <si>
    <t>BAN 2459600</t>
  </si>
  <si>
    <t>200 NRG X24 THREE CENTS CHRY SODA AT</t>
  </si>
  <si>
    <t>BAN 2459700</t>
  </si>
  <si>
    <t>200 NRG X24 THREE CENTS DRY TONIC AT</t>
  </si>
  <si>
    <t>BAN 2459900</t>
  </si>
  <si>
    <t>200 NRG X24 THREE CENTS GING BEER AT</t>
  </si>
  <si>
    <t>BAN 2460100</t>
  </si>
  <si>
    <t>200 NRG X24 THREE CENTS LEM TONIC AT</t>
  </si>
  <si>
    <t>BAN 2460200</t>
  </si>
  <si>
    <t>200 NRG X24 THR CEN MAND BERG SOD AT</t>
  </si>
  <si>
    <t>BAN 2460300</t>
  </si>
  <si>
    <t>200 NRG X24 THREE CENTS PINAP SOD AT</t>
  </si>
  <si>
    <t>BAN 2460500</t>
  </si>
  <si>
    <t>200 NRG X24 THREE CENTS PNKGRP SD AT</t>
  </si>
  <si>
    <t>BAN 2460600</t>
  </si>
  <si>
    <t>200 NRG X24 THREE CENTS SPRK LMND AT</t>
  </si>
  <si>
    <t>BAN 2460800</t>
  </si>
  <si>
    <t>200 NRG X24 THREE CENTS TONIC WTR AT</t>
  </si>
  <si>
    <t>BAN 2460900</t>
  </si>
  <si>
    <t>200 NRG X24 THREE CENTS 2 CNTS PL AT</t>
  </si>
  <si>
    <t>BAN 2461100</t>
  </si>
  <si>
    <t>330 CAN SLEEK X24 COKE ZERO LIME DRS AT</t>
  </si>
  <si>
    <t>KW7</t>
  </si>
  <si>
    <t>BAN 2603100</t>
  </si>
  <si>
    <t>750 PET X6 RQ EM PLUS LEMON CACTUS DRS AT</t>
  </si>
  <si>
    <t>BAN 2574300</t>
  </si>
  <si>
    <t>700 NRG X1 NEMIROFF LEX 40P A AT</t>
  </si>
  <si>
    <t>500 PET X24 FANTA LEMON DRS AT</t>
  </si>
  <si>
    <t>BAN 501300</t>
  </si>
  <si>
    <t>1.5 PET X6 FANTA LEMON LITETOP DRS AT</t>
  </si>
  <si>
    <t>BAN 592400</t>
  </si>
  <si>
    <t>330 CAN SLEEK 4X6 FAO ZERO KEELCP DRS AT</t>
  </si>
  <si>
    <t>BAN 1963400</t>
  </si>
  <si>
    <t>1.0 PET X6 CHERRY COKE DRS AT</t>
  </si>
  <si>
    <t>BAN 444100</t>
  </si>
  <si>
    <t>500 PET X24 CHERRY COKE DRS AT</t>
  </si>
  <si>
    <t>BAN 509800</t>
  </si>
  <si>
    <t>330 CAN SLEEK X24 CHERRY COKE DRS AT</t>
  </si>
  <si>
    <t>BAN 1004400</t>
  </si>
  <si>
    <t>330 CAN SLEEK 6X4 COKE ZER KEELCP DRS AT</t>
  </si>
  <si>
    <t>BAN 1257200</t>
  </si>
  <si>
    <t>330 CAN SLEEK 6X4 COKE KEELCLP DRS AT</t>
  </si>
  <si>
    <t>BAN 1180800</t>
  </si>
  <si>
    <t>330 CAN SLEEK 6X4 FANTA OR KEELCP DRS AT</t>
  </si>
  <si>
    <t>BAN 1011000</t>
  </si>
  <si>
    <t>500 PET X12 PWD BLACKCURRANT ZR DRS AT</t>
  </si>
  <si>
    <t>BAN 2631700</t>
  </si>
  <si>
    <t>500 PET X12 POWERADE CHERRY DRS AT</t>
  </si>
  <si>
    <t>BAN 956700</t>
  </si>
  <si>
    <t>700 NRG X1 PADRE AZUL PINK TQ JOV 40P AT</t>
  </si>
  <si>
    <t>BAN 2641700</t>
  </si>
  <si>
    <t>1.0 BAG X6 COSTA PRO BRAZILIAN BN</t>
  </si>
  <si>
    <t>BAN 2584200</t>
  </si>
  <si>
    <t>8.5 PKG X48 COSTA CAFFITALY COLUMB</t>
  </si>
  <si>
    <t>H1 2025</t>
  </si>
  <si>
    <t>Ende 2024</t>
  </si>
  <si>
    <t>330 CAN X24 FAN TUTTI FRUTTI ZERO DRS AT</t>
  </si>
  <si>
    <t>BAN 2633100</t>
  </si>
  <si>
    <t>250 RGB X24 KINLEY PURPLE AT</t>
  </si>
  <si>
    <t>BAN 2645900</t>
  </si>
  <si>
    <t>Bacardi&amp;Coke</t>
  </si>
  <si>
    <t>250 CAN X12 BACARDI&amp;COKE DRS AT</t>
  </si>
  <si>
    <t>BAN 2646900</t>
  </si>
  <si>
    <t>500 CAN X12 MONSTER TOP SPEED DRS AT</t>
  </si>
  <si>
    <t>BAN 2651300</t>
  </si>
  <si>
    <t>20.0 BIB PMX CCZ HIRATIO 180.0 MCD AT</t>
  </si>
  <si>
    <t>10.0 BIB PMX FAOZ FENX HIR 90.0 MCD AT</t>
  </si>
  <si>
    <t>10.0 BIB PMX FAOZ FENX HIR 90.0 ATCHHR</t>
  </si>
  <si>
    <t>Xiaman</t>
  </si>
  <si>
    <t>700 NRG X1 XBY XIAMAN MEZCAL 40P AT</t>
  </si>
  <si>
    <t>500 CAN X12 MONSTER U STRAWBER DRS AT</t>
  </si>
  <si>
    <t>BAN 2563300</t>
  </si>
  <si>
    <t>500 PET X24 COKE ZERO LEMON AT</t>
  </si>
  <si>
    <t>Vergnano</t>
  </si>
  <si>
    <t>500 BAG X6 VERGNANO BN ANTICABOTTEGA</t>
  </si>
  <si>
    <t>BAN 2291900</t>
  </si>
  <si>
    <t>500 BAG X6 VERGNANO BN ESPRESSO</t>
  </si>
  <si>
    <t>BAN 2292100</t>
  </si>
  <si>
    <t>250 PKG X12 VERGNANOGR ARABICA 100 MOKA</t>
  </si>
  <si>
    <t>BAN 2293400</t>
  </si>
  <si>
    <t>250 PKG X6 VERGNANO WIC BEANS</t>
  </si>
  <si>
    <t>BAN 2376100</t>
  </si>
  <si>
    <t>250 PKG X12 VERGNANO WIC GROUND TIN</t>
  </si>
  <si>
    <t>BAN 2376200</t>
  </si>
  <si>
    <t>500 PET X24 ROEMERQUELLE STILL AT</t>
  </si>
  <si>
    <t>500 PETX12 CAPPY IF MULTI ST AT</t>
  </si>
  <si>
    <t>500 PET X24 MEZZO MIX AT</t>
  </si>
  <si>
    <t>500 PET X12 POWERADE ZERO MBLAST ATGR</t>
  </si>
  <si>
    <t>750 PET X6 ROEMERQUELLE SPORTS STILL AT</t>
  </si>
  <si>
    <t>1.0 PET X4 RQ BIOLIMO LIME MINT AT</t>
  </si>
  <si>
    <t>500 PET X8 ROEMERQUELLE CARB AT</t>
  </si>
  <si>
    <t>2.0 PET X4 COCA COLA ZERO AT</t>
  </si>
  <si>
    <t>200 CAN X24 COCA COLA DRS AT</t>
  </si>
  <si>
    <t>BAN 1366500</t>
  </si>
  <si>
    <t>200 CAN X24 COCA COLA ZERO DRS AT</t>
  </si>
  <si>
    <t>BAN 1374500</t>
  </si>
  <si>
    <t>1.0 PET X6 ROEMERQUELLE MW CARB AT</t>
  </si>
  <si>
    <t>1.5 PET X6 ROEMERQUELLE MED AT</t>
  </si>
  <si>
    <t>330 CAN X24 COKE ZERO LEMON AT</t>
  </si>
  <si>
    <t>500 PET X24 ROEMERQUELLE SPARKL CARB AT</t>
  </si>
  <si>
    <t>1.5 PET X6 ROEMERQUELLE STILL AT</t>
  </si>
  <si>
    <t>330 CAN SLEEK X24 FANTA OR ZERO DRS AT</t>
  </si>
  <si>
    <t>500 PET X12 FUZE TEA VIBES COCONUT DRS AT</t>
  </si>
  <si>
    <t>BAN 2648100</t>
  </si>
  <si>
    <t>500 PET X12 POWERADE MOUNTAIN BLAST ATBG</t>
  </si>
  <si>
    <t>500 NRG X1 LUCANO LIMONC CREMA 17P AT</t>
  </si>
  <si>
    <t>BAN 2672200</t>
  </si>
  <si>
    <t>700 NRG X1 LUCANO AMARO ZERO 0P AT</t>
  </si>
  <si>
    <t>500 CAN X24 MONSTER JUICE MANGO LOCO AT</t>
  </si>
  <si>
    <t>500 CAN X12 MONSTER BAD APPLE DRS AT</t>
  </si>
  <si>
    <t>BAN 2563400</t>
  </si>
  <si>
    <t>500 PET X12 FUZE T FORREST FRUIT DRS AT</t>
  </si>
  <si>
    <t>500 PET 6X4 POWERADE MOUNTAIN BLAST AT</t>
  </si>
  <si>
    <t>KW27</t>
  </si>
  <si>
    <t>BAN 958500</t>
  </si>
  <si>
    <t>1.0 PET X6 MEZZO MIX DRS AT</t>
  </si>
  <si>
    <t>500 CAN X12 MONSTER LANDO NORRIS DRS AT</t>
  </si>
  <si>
    <t>BAN 2633900</t>
  </si>
  <si>
    <t>500 CAN X12 MONSTER RIO PUNCH DRS AT</t>
  </si>
  <si>
    <t>exklusiv REWE</t>
  </si>
  <si>
    <t>BAN 2605800</t>
  </si>
  <si>
    <t>2680401</t>
  </si>
  <si>
    <t>500 PET X24 RQ BIOLIMO LIME MINT DRS AT</t>
  </si>
  <si>
    <t>BAN 2680400</t>
  </si>
  <si>
    <t>2680501</t>
  </si>
  <si>
    <t>500 PET X24 RQ BIOLIMO OR MAN PSF DRS AT</t>
  </si>
  <si>
    <t>BAN 2680500</t>
  </si>
  <si>
    <t>2460011</t>
  </si>
  <si>
    <t>200 NRG X24 THREE CENTS FIG LEAF SODA AT</t>
  </si>
  <si>
    <t>Mai</t>
  </si>
  <si>
    <t>BAN 2460000</t>
  </si>
  <si>
    <t>500 PET X24 FANTA ZERO LEMON DRS AT</t>
  </si>
  <si>
    <t>500 PET X12 POWERADE BLOOD ORANGE DRS AT</t>
  </si>
  <si>
    <t>500 PET X24 FANTA EXOTIC ZERO DRS AT</t>
  </si>
  <si>
    <t>500 CAN X24 COCA COLA AT</t>
  </si>
  <si>
    <t>330 CAN X24 FANTA HALLOWEEN WBZ DRS AT</t>
  </si>
  <si>
    <t>BAN 2687200</t>
  </si>
  <si>
    <t>1561431</t>
  </si>
  <si>
    <t>500 CAN X24 MONSTER ZERO ULTR DRS (C) AT</t>
  </si>
  <si>
    <t>Call of Duty Promo KW40?</t>
  </si>
  <si>
    <t>1527224</t>
  </si>
  <si>
    <t>500 CAN X24 MONSTER ENERGY DRS (C) AT</t>
  </si>
  <si>
    <t>1938219</t>
  </si>
  <si>
    <t>500 CAN X24 MONSTER MANGO LCO DRS (C) AT</t>
  </si>
  <si>
    <t>BAN 1938200</t>
  </si>
  <si>
    <t>1.0 PET X4 RQ BIOLIMO LIME MINT DRS AT</t>
  </si>
  <si>
    <t>375 PET X12 RQ BIOLIMO OR MAN PSF DRS AT</t>
  </si>
  <si>
    <t>330 CAN SLEEK X24 COCA - COLA PR1 DRS AT</t>
  </si>
  <si>
    <t>PROMO SKU (Co-Packing)</t>
  </si>
  <si>
    <t>BAN 1188000</t>
  </si>
  <si>
    <t>1.0 PET X6 KINLEY PURPLE DRS AT</t>
  </si>
  <si>
    <t>KW43</t>
  </si>
  <si>
    <t>BAN 2660800</t>
  </si>
  <si>
    <t>1.0 PET X4 RQ BIOLIMO OR MAN PSF DRS AT</t>
  </si>
  <si>
    <t>671024</t>
  </si>
  <si>
    <t>2.0 PET X4 COCA COLA PROMO DRS AT</t>
  </si>
  <si>
    <t>BAN 671000</t>
  </si>
  <si>
    <t>613809</t>
  </si>
  <si>
    <t>2.0 PET X4 COKE ZERO PROMO DRS AT</t>
  </si>
  <si>
    <t>BAN 613800</t>
  </si>
  <si>
    <t>465607</t>
  </si>
  <si>
    <t>2.0 PET X4 FANTA ORANGE PROMO DRS AT</t>
  </si>
  <si>
    <t>BAN 465600</t>
  </si>
  <si>
    <t>465706</t>
  </si>
  <si>
    <t>2.0 PET X4 SPRITE PROMO DRS AT</t>
  </si>
  <si>
    <t>BAN 465700</t>
  </si>
  <si>
    <t>2566627</t>
  </si>
  <si>
    <t>8OZ CUP 37X25 COSTA</t>
  </si>
  <si>
    <t>BAN 2566600</t>
  </si>
  <si>
    <t>200 CRG X1 CLEAR CHERRY 680CRG</t>
  </si>
  <si>
    <t>350 CRG X1 CLEAR CHERRY</t>
  </si>
  <si>
    <t>BAN 2685700</t>
  </si>
  <si>
    <t>200 CRG X1 BERRIES 680CRG</t>
  </si>
  <si>
    <t>350 CRG X1 BERRIES AT</t>
  </si>
  <si>
    <t>BAN 2685500</t>
  </si>
  <si>
    <t>225358</t>
  </si>
  <si>
    <t>330 CAN SLEEK 4X6 CCZ KEELCP PROM DRS AT</t>
  </si>
  <si>
    <t>BAN 225300</t>
  </si>
  <si>
    <t>2505013</t>
  </si>
  <si>
    <t>330 CAN SLEEK 4X6 CCR KEELCP PROM DRS AT</t>
  </si>
  <si>
    <t>BAN 2505000</t>
  </si>
  <si>
    <t>399502</t>
  </si>
  <si>
    <t>330 CAN SLEEK 4X6 FAO KEELCP PROM DRS AT</t>
  </si>
  <si>
    <t>BAN 399500</t>
  </si>
  <si>
    <t>2742401</t>
  </si>
  <si>
    <t>1.0 PKG X1 POWDER HOT CHOC AT</t>
  </si>
  <si>
    <t>BAN 2742400</t>
  </si>
  <si>
    <t>10.0 BIB PMX SPRITE FENIX 54.0 AT</t>
  </si>
  <si>
    <t>Feb.</t>
  </si>
  <si>
    <t>BAN 37500</t>
  </si>
  <si>
    <t>9.0 TNK PMX SPRITE FENIX 48.6 AT</t>
  </si>
  <si>
    <t>März</t>
  </si>
  <si>
    <t>BAN 504800</t>
  </si>
  <si>
    <t>18.0 TNK PRE SPRITE FENIX AT</t>
  </si>
  <si>
    <t>BAN 57900</t>
  </si>
  <si>
    <t>8.5 PKG X48 COSTA CAFFITALY MI MED NP</t>
  </si>
  <si>
    <t>BAN 2231200</t>
  </si>
  <si>
    <t>8.5 PKG X48 COSTA CAFFITALY MI DRK SM NP</t>
  </si>
  <si>
    <t>BAN 2231300</t>
  </si>
  <si>
    <t>500 PET X12 PWRD ACTV PCH APPL DRS AT</t>
  </si>
  <si>
    <t>KW6</t>
  </si>
  <si>
    <t>BAN 2708100</t>
  </si>
  <si>
    <t>500 PET X12 PWRD ACTV LMN LIM DRS AT</t>
  </si>
  <si>
    <t>BAN 2708200</t>
  </si>
  <si>
    <t>500 PET X12 PWRD FIFA ATTACK DRS AT</t>
  </si>
  <si>
    <t>BAN 2707600</t>
  </si>
  <si>
    <t>500 PET X12 PWRD FIFA DEFEND DRS AT</t>
  </si>
  <si>
    <t>BAN 2707700</t>
  </si>
  <si>
    <t>500 PET X12 PWRD FIFA MIDFLD DRS AT</t>
  </si>
  <si>
    <t>BAN 2707800</t>
  </si>
  <si>
    <t>330 CAN SLEEK X24 POW MOUNT BLAST DRS AT</t>
  </si>
  <si>
    <t>BAN 2706100</t>
  </si>
  <si>
    <t>500 PET X24 COKE ZERO LIME DRS AT</t>
  </si>
  <si>
    <t>kein Launch</t>
  </si>
  <si>
    <t>1.0 PET X6 COKE ZERO LIME DRS AT</t>
  </si>
  <si>
    <t>500 PET X24 MEZZO MIX ZERO DRS AT</t>
  </si>
  <si>
    <t>BAN 1929600</t>
  </si>
  <si>
    <t>1.0 PET X6 MEZZO MIX ZERO DRS AT</t>
  </si>
  <si>
    <t>BAN 2723200</t>
  </si>
  <si>
    <t>500 PET X12 FZ TEA STRW MEL DRS AT</t>
  </si>
  <si>
    <t>BAN 2708000</t>
  </si>
  <si>
    <t>1.0 PET X6 FANTA WANTA CRIM CHRY DRS AT</t>
  </si>
  <si>
    <t>BAN 2711500</t>
  </si>
  <si>
    <t>330 CAN SLK X24 FANTA W CRIM CHRY DRS AT</t>
  </si>
  <si>
    <t>BAN 2705600</t>
  </si>
  <si>
    <t>1.0 PET X6 SPRITE CHILL Z DRS AT</t>
  </si>
  <si>
    <t>KW8</t>
  </si>
  <si>
    <t>BAN 2712000</t>
  </si>
  <si>
    <t>330 CAN SLK X24 SPRITE CHILL Z DRS AT</t>
  </si>
  <si>
    <t>BAN 2706000</t>
  </si>
  <si>
    <t>330 CAN SLEEK X24 FANTA EXOTIC DRS AT</t>
  </si>
  <si>
    <t>BAN 729500</t>
  </si>
  <si>
    <t>330 CAN SLEEK X24 FANTA LEMON DRS AT</t>
  </si>
  <si>
    <t>BAN 478700</t>
  </si>
  <si>
    <t>330 CAN SLEEK X24 FANTA MANGO DRS AT</t>
  </si>
  <si>
    <t>Project stopped</t>
  </si>
  <si>
    <t>BAN 2743800</t>
  </si>
  <si>
    <r>
      <t>150 CAN X</t>
    </r>
    <r>
      <rPr>
        <b/>
        <sz val="11"/>
        <rFont val="Calibri"/>
        <family val="2"/>
        <scheme val="minor"/>
      </rPr>
      <t>12</t>
    </r>
    <r>
      <rPr>
        <b/>
        <sz val="11"/>
        <color theme="1"/>
        <rFont val="Calibri"/>
        <family val="2"/>
        <scheme val="minor"/>
      </rPr>
      <t xml:space="preserve"> COKE Z CAFF FREE DRS AT</t>
    </r>
  </si>
  <si>
    <t>SAMPLING SKU</t>
  </si>
  <si>
    <t>BAN 2701100</t>
  </si>
  <si>
    <t>250 RGB X24 KINLEY CHERRY PEPPER AT</t>
  </si>
  <si>
    <t>BAN 2702500</t>
  </si>
  <si>
    <t>500 CAN X12 MONS ROSSI Z SUG DRS AT</t>
  </si>
  <si>
    <t>BAN 2687800</t>
  </si>
  <si>
    <t>500 CAN X12 MONS VKNG BRRY DRS AT</t>
  </si>
  <si>
    <t>BAN 2698900</t>
  </si>
  <si>
    <t>500 CAN X12 MONS ULTRA RUBY RED DRS AT</t>
  </si>
  <si>
    <t>BAN 2626900</t>
  </si>
  <si>
    <t>1.0 NRG X1 LUCANO LIMONCELLO 25P AT</t>
  </si>
  <si>
    <t>BAN 2723400</t>
  </si>
  <si>
    <t>200 NRG X24 THREE CENT GINGER ALE</t>
  </si>
  <si>
    <t>BAN 2692800</t>
  </si>
  <si>
    <t>20.0 BIB PMX FAOZ 108.0 MCD AT</t>
  </si>
  <si>
    <t>BAN 2058500</t>
  </si>
  <si>
    <t>330 RGB X24 COKE Z CAFF FREE AT</t>
  </si>
  <si>
    <t>BAN 2701000</t>
  </si>
  <si>
    <t>1.5 PET X6 COKE ZERO CAFF FREE DRS AT</t>
  </si>
  <si>
    <t>BAN 2122600</t>
  </si>
  <si>
    <t>1.5 PET X6 COKE Z CAF FRE LITETOP DRS AT</t>
  </si>
  <si>
    <t>500 PET X24 MEZZO MIX RASP ROMAN DRS AT</t>
  </si>
  <si>
    <t>September</t>
  </si>
  <si>
    <t>BAN 2765000</t>
  </si>
  <si>
    <t>330 CAN X12 JACK&amp;COKE SLK DRS AT</t>
  </si>
  <si>
    <t>330 CAN X10 FAO FRIDGE PACK DRS AT</t>
  </si>
  <si>
    <t>April/Mai</t>
  </si>
  <si>
    <t>BAN 2757400</t>
  </si>
  <si>
    <t>330 CAN X10 CCZ FRIDGE PACK DRS AT</t>
  </si>
  <si>
    <t>BAN 1630200</t>
  </si>
  <si>
    <t>330 CAN X10 CCR FRIDGE PACK DRS AT</t>
  </si>
  <si>
    <t>BAN 1131800</t>
  </si>
  <si>
    <t xml:space="preserve">1.5 PET 3X2 CCR DRS AT </t>
  </si>
  <si>
    <t>BAN 401000</t>
  </si>
  <si>
    <t>1.5 PET 3X2 CCZ DRS AT</t>
  </si>
  <si>
    <t>BAN 826600</t>
  </si>
  <si>
    <t>WIP</t>
  </si>
  <si>
    <t>500 PET X24 COKE FIFA DRS AT</t>
  </si>
  <si>
    <t>BAN 195700</t>
  </si>
  <si>
    <t>500 PET X24 COKE Z FIFA DRS AT</t>
  </si>
  <si>
    <t>BAN 225200</t>
  </si>
  <si>
    <t xml:space="preserve">20.0 BIB PMX FAOZ 180.0 MCD HIGH RATIO AT </t>
  </si>
  <si>
    <t>1.0 PET X6 KINLEY BITTER LEMON DRS AT</t>
  </si>
  <si>
    <t>1.5 PET X6 FANTA MANGO LITETOP DRS AT</t>
  </si>
  <si>
    <t>500 PET X12 CIF MULTIVITAMIN NEW DRS AT</t>
  </si>
  <si>
    <t>KW15/16</t>
  </si>
  <si>
    <t>BAN 250100</t>
  </si>
  <si>
    <t>500 PET X12 POWERADE GL MANGO DRS AT</t>
  </si>
  <si>
    <t>1.0 RGB 2X6 RQ EM PEAR MELISSA CAR AT</t>
  </si>
  <si>
    <t>10.0 BIB PMX FAOZ V2FNX HIR 90.0 MCD AT</t>
  </si>
  <si>
    <t>BAN 1461400</t>
  </si>
  <si>
    <t>10.0 BIB PMX SPRITE 54.0 AT</t>
  </si>
  <si>
    <t xml:space="preserve">Vergnano </t>
  </si>
  <si>
    <t>5 PKG 12X10 VERGNANO E CAP NSP NAPOL CMP</t>
  </si>
  <si>
    <t>5 PKG X50 VERGN E CAP NSP NAPOLI</t>
  </si>
  <si>
    <t>330 CAN X12 J&amp;C CHRY SLK DRS STICKER AT</t>
  </si>
  <si>
    <t>ev. über Co-Packing / DRS Label = Sticker</t>
  </si>
  <si>
    <t>330 CAN X12 J&amp;C ZERO SLK DRS STICKER AT</t>
  </si>
  <si>
    <t>Famous Grouse</t>
  </si>
  <si>
    <t>500 PET X12 CAPPY IF MULTIVITAMIN DRS AT</t>
  </si>
  <si>
    <t>500 PET X12 FUZE TEA VIB COCONUT DRS AT</t>
  </si>
  <si>
    <t>500 PET X12 CIF MULTIVITAMIN V2 DRS AT</t>
  </si>
  <si>
    <r>
      <t>neue Formel ab September /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BAN 250100</t>
    </r>
  </si>
  <si>
    <t>330 CAN X12 JACK&amp;COKE DRS AT</t>
  </si>
  <si>
    <t>9.0 TNK PMX SPRITE 48.6 AT</t>
  </si>
  <si>
    <t>18.0 TNK PRE SPRITE AT</t>
  </si>
  <si>
    <t>500 PET X24 FANTA MANGO DRS AT</t>
  </si>
  <si>
    <t>750 PET X6 RQ LEMON LIME DRS AT</t>
  </si>
  <si>
    <t>500 CAN X12 MONSTER ULTRA ROSA DRS AT</t>
  </si>
  <si>
    <t>Daisy
SKU# availability</t>
  </si>
  <si>
    <t>Completion
Daisy</t>
  </si>
  <si>
    <t>1.5 PET 48X4 22CCZ 14CCL 12MM HP AT</t>
  </si>
  <si>
    <t>Hofer West-Split</t>
  </si>
  <si>
    <t>250 NRG 50X6 COCA-COLA DOLLY AT</t>
  </si>
  <si>
    <t>250 NRG 50X6 COCA-COLA CHEP AT</t>
  </si>
  <si>
    <t>500 PET X270 90CCR60CCZCCLMM DOLLY AT</t>
  </si>
  <si>
    <t>500 PET X270 90CCR60CCZCCLMM CHEP AT</t>
  </si>
  <si>
    <t>500 CAN X160 MONS 60EN40ULML20RPE DOL AT</t>
  </si>
  <si>
    <t>500 CAN X120 MONSTER 40ENULML DOLLY AT</t>
  </si>
  <si>
    <t>500 CAN X160 MONS 60EN40ULML20RPE CHE AT</t>
  </si>
  <si>
    <t>500 CAN X160 MONSTER 60ENML40UL CHEP AT</t>
  </si>
  <si>
    <t>500 CAN X120 MONSTER 40ENULML CHEP AT</t>
  </si>
  <si>
    <t>500 CAN X160 MONSTER 60ENML40UL DOLLY AT</t>
  </si>
  <si>
    <t>500 PET X162 FUZE 54PE36LEMAPRZ DOL AT</t>
  </si>
  <si>
    <t>500 PET X270 FUZE 90PE60LEMAPRZ CHE AT</t>
  </si>
  <si>
    <t>500 PET X270 FUZE 90PE60LEMAPRZ DOL AT</t>
  </si>
  <si>
    <t>500 PET X162 FUZE 54PE36LEMAPRZ CHE AT</t>
  </si>
  <si>
    <t>330 CAN 104X10 68CC 36CCZ ROLLY AT</t>
  </si>
  <si>
    <t>330 CAN 104X10 68CC 36CCZ HP AT</t>
  </si>
  <si>
    <t>1.0 PET X132 RQ EM MANGO ACAI LE DOL AT</t>
  </si>
  <si>
    <t>1.0 PET X132 RQ EM MANGO ACAI LE CHE AT</t>
  </si>
  <si>
    <t>1.0 PET X108 RQ FRESH FRUITY CHE AT</t>
  </si>
  <si>
    <t>Abtausch RQ Minze mit RQ Himbeere</t>
  </si>
  <si>
    <t>1.0 PET X108 RQ FRESH FRUITY DOL AT</t>
  </si>
  <si>
    <t>1.0 PET 105X6 RQ EM FLAVORS 6V EPAL AT</t>
  </si>
  <si>
    <t>1.0 PET 50X6 RQ EM FLAVORS 6V ROLLY AT</t>
  </si>
  <si>
    <t>500 PET X162 36FAFGZFRZ18FAZFLZFBZ DO AT</t>
  </si>
  <si>
    <t>500 PET X162 36FAFGZFRZ18FAZFLZFBZ CH AT</t>
  </si>
  <si>
    <t>330 CAN X180 FUZETEA 108PE 72LE CHE AT</t>
  </si>
  <si>
    <t>330 CAN X180 FUZETEA 108PE 72LE DOL AT</t>
  </si>
  <si>
    <t>1.0 PET X136 RQ BIOLIMO 72LM 60MP CHE AT</t>
  </si>
  <si>
    <t>1.0 PET X136 RQ BIOLIMO 72LM 60MP DOL AT</t>
  </si>
  <si>
    <t>500 PET X260 130CCR 130CCZ CHE AT</t>
  </si>
  <si>
    <t>500 PET X260 130CCR 130CCZ DOL AT</t>
  </si>
  <si>
    <t>800 PET X105 ADEZ 45AA30CC30RR DOLLY AT</t>
  </si>
  <si>
    <t>800 PET X105 ADEZ 45AA30CC30RR CHEP A</t>
  </si>
  <si>
    <t>500 CAN X160 MO 60EN40UL20RPEREDOC VP AT</t>
  </si>
  <si>
    <t>500 CAN X160 MONSTER 40ENMLULPULTW CHEP</t>
  </si>
  <si>
    <t xml:space="preserve">Änderung Display-erledigt </t>
  </si>
  <si>
    <t>1.0 PET X4 COCA-COLA + GLASS AT</t>
  </si>
  <si>
    <t>1.0 PET X4 COCA-COLA ZERO + GLASS AT</t>
  </si>
  <si>
    <t>1.0 PET 44X4 28CCR 16CCZ + GLASS HP AT</t>
  </si>
  <si>
    <t>1.0 PET 44X4 28CCR 16CCZ + GLASS ROL AT</t>
  </si>
  <si>
    <t>500 PET X180 80FBO40FAO20FAZFLZFPG DO AT</t>
  </si>
  <si>
    <t>500 PET X180 80FBO40FAO20FAZFLZFPG CH AT</t>
  </si>
  <si>
    <t>500 CAN X200 MONSTER SORT 7V DOLLY AT</t>
  </si>
  <si>
    <t>500 CAN X200 MONSTER SORT 7V CHEP AT</t>
  </si>
  <si>
    <t>500 CAN X200 MONSTER SORT 7V VP AT</t>
  </si>
  <si>
    <t>500 CAN X160 MONSTER SORT 6V DOLLY AT</t>
  </si>
  <si>
    <t>500 CAN X160 MONSTER SORT 5V DOLLY AT</t>
  </si>
  <si>
    <t>500 CAN X160 MONSTER SORT 5V CHEP AT</t>
  </si>
  <si>
    <t>500 CAN X160 MONSTER SORT 6V CHEP AT</t>
  </si>
  <si>
    <t>500 PET 30X8 RQ 15STILL 15CARB DOLLY AT</t>
  </si>
  <si>
    <t>500 PET 30X8 RQ 15STILL 15CARB CHEP AT</t>
  </si>
  <si>
    <t>1.0 PET 105X6 RQ EM SORT 8V EPAL AT</t>
  </si>
  <si>
    <t xml:space="preserve">1.0 PET 50X6 RQ FLAVORS SORT 7V HP AT </t>
  </si>
  <si>
    <t>1.0 PET 50X6 RQ EM SORT 6V ROLLY AT</t>
  </si>
  <si>
    <t>1.0 PET 50X6 RQ EM SORT 4V HP AT</t>
  </si>
  <si>
    <t>250 CAN X231 84CCV 105CCC 42CCZL DOL AT</t>
  </si>
  <si>
    <t>250 CAN X231 84CCV 105CCC 42CCZL CHEP AT</t>
  </si>
  <si>
    <t xml:space="preserve">1.0 PET X132 RQ EM APP CNNMN LE DOL AT </t>
  </si>
  <si>
    <t>1.0 PET X132 RQ EM APP CINNMN LE CHEP AT</t>
  </si>
  <si>
    <t>2.0 PET 48X4 32CCZ 8FA 8SP HP AT</t>
  </si>
  <si>
    <t>2.0 PET 48X4 24CCL 16MM 8FLZ HP AT</t>
  </si>
  <si>
    <t>330 CAN X180 CCZ DOLLY AT</t>
  </si>
  <si>
    <t>330 CAN X180 CCZ CHEP AT</t>
  </si>
  <si>
    <t xml:space="preserve">330 CAN X240 COCA-COLA CHEP AT </t>
  </si>
  <si>
    <t>330 CAN X240 COCA-COLA DOLLY AT</t>
  </si>
  <si>
    <t>500 PET X162 COCA-COLA ZERO DOLLY AT</t>
  </si>
  <si>
    <t xml:space="preserve">500 PET X162 COCA-COLA ZERO CHEP AT </t>
  </si>
  <si>
    <t>150 CAN 40X12 40COCA-COLA DOL AT</t>
  </si>
  <si>
    <t>150 CAN 40X12 40COCA-COLA CHEP AT</t>
  </si>
  <si>
    <t>330 CAN X240 120CC72CCZ24FAO24SP DOL AT</t>
  </si>
  <si>
    <t>330 CAN X240 120CC72CCZ24FAO24SP CHEP AT</t>
  </si>
  <si>
    <t>330 NRG X168 HON 48PC48RS24LE48PL DOL AT</t>
  </si>
  <si>
    <t>330 NRG X168 HON 48PC48RS24LE48PL CHE AT</t>
  </si>
  <si>
    <t>250 CAN X144 MONST 72COESP72COVA DOL AT</t>
  </si>
  <si>
    <t>250 CAN X144 MONST 72COESP72COVA CHE AT</t>
  </si>
  <si>
    <t>400 PET AQ X120 60AQM60AQZ DOLLY AT</t>
  </si>
  <si>
    <t>400 PET AQ X120 60AQM60AQZ CHEP AT</t>
  </si>
  <si>
    <t>250 CAN X210 147CCE63CCEZ DOLLY AT</t>
  </si>
  <si>
    <t>250 CAN X210 147CCE63CCEZ CHEP AT</t>
  </si>
  <si>
    <t>500 PET X270 CC120CZ60CL30F30S30 CHEP AT</t>
  </si>
  <si>
    <t>500 PET X270 120CC60CZ30CL30F30S DOL AT</t>
  </si>
  <si>
    <t>500 PET X162 FANTA SPRITE DOLLY AT</t>
  </si>
  <si>
    <t xml:space="preserve">500 PET X162 FANTA SPRITE CHEP AT </t>
  </si>
  <si>
    <t>500 CAN X160 MONSTER 5V DOLLY AT</t>
  </si>
  <si>
    <t>500 CAN X200 MONSTER SORT 6V DOLLY AT</t>
  </si>
  <si>
    <t>500 PET X162 FUZE 72PE54LE36BLU DOL AT</t>
  </si>
  <si>
    <t>500 PET X162 FUZE 72PE54LE36BLU CHE AT</t>
  </si>
  <si>
    <t>500 PET X270 FUZE 90PELE60BLU30PEZ DOL AT</t>
  </si>
  <si>
    <t>500 PET X270 FUZE 90PELE60BLU30PEZ CHE AT</t>
  </si>
  <si>
    <t>500 PET X270 FUZE 120PE90LE60BLU DOL AT</t>
  </si>
  <si>
    <t>500 PET X270 FUZE 120PE90LE60BLU CHE AT</t>
  </si>
  <si>
    <t>500 PET X162 FUZE 36PELEBLPO18PEZ DOL AT</t>
  </si>
  <si>
    <t>500 PET X162 FUZE 36PELEBLPO18PEZ CHE AT</t>
  </si>
  <si>
    <t>1.0 PET X136 RQBIO 56LM40OMP40HB DOL AT</t>
  </si>
  <si>
    <t>1.0 PET X136 RQBIO 56LM40OMP40HB CHE AT</t>
  </si>
  <si>
    <t>375 PET X162 RQ BIO 72LM54MP36HB DOL AT</t>
  </si>
  <si>
    <t>375 PET X162 RQ BIO 72LM54MP36HB CHE AT</t>
  </si>
  <si>
    <t>500 CAN X160 MONSTER 4V CHEP AT</t>
  </si>
  <si>
    <t>500 CAN X200 MON 40EGMLTDUW20RLRP DOL AT</t>
  </si>
  <si>
    <t>500 CAN X200 MON 40EGMLTDUW20RLRP CHE AT</t>
  </si>
  <si>
    <t>500 CAN X200 MONSTER SORT 6V HOLZ-EW AT</t>
  </si>
  <si>
    <t>500 PET 72X8 RQ 42CARB30STILL ROLLY AT</t>
  </si>
  <si>
    <t>330 CAN 180X6 108CC 45CZ 27FAO HP AT</t>
  </si>
  <si>
    <t>500 CAN X160 MON 40ENULML20UPTD DOL AT</t>
  </si>
  <si>
    <t xml:space="preserve">Änderung Display- erledigt </t>
  </si>
  <si>
    <t>1.0 PET X132 RQ EM GB BLACKCUR LE CHE AT</t>
  </si>
  <si>
    <t>blocked for sales</t>
  </si>
  <si>
    <t>1.0 PET X132 RQ EM 80GB 32PM 20BL CHE AT</t>
  </si>
  <si>
    <t>1.0 PET X132 RQ EM 80GB 32PM 20BL DOL AT</t>
  </si>
  <si>
    <t>1.5 PET 40X6 ROEMERQUELLE STILL HP AT</t>
  </si>
  <si>
    <t>500 CAN X200 MONSTER SORT 7V HOLZ-EW AT</t>
  </si>
  <si>
    <t>330 CAN 45X24 27CC 11CCZ 7FAO HP AT</t>
  </si>
  <si>
    <t>500 PET 20X24 12CC 5CCZ 3FAO HP AT</t>
  </si>
  <si>
    <t>375 PET 60X12 RQ BIO 18LM24MP18HB ROL AT</t>
  </si>
  <si>
    <t>200 NRG 60X12 ROYAL B 12CTBLBBYTGB RO AT</t>
  </si>
  <si>
    <t>1.5 PET 40X6 RQ 18CARB11MED11ST HP AT</t>
  </si>
  <si>
    <t>330 CAN 180X6 81CC 63CCZ 36FAO HP AT</t>
  </si>
  <si>
    <t>330 CAN 180X6 108CC 45CCZ 27FAO HP AT</t>
  </si>
  <si>
    <t>330 CAN 80X6 46CC 20CCZ 14FAO CHEP AT</t>
  </si>
  <si>
    <t>330 CAN 80X6 46CC 20CCZ 14FAO DOLLY AT</t>
  </si>
  <si>
    <t>1.5 PET 48X4 24CCZ 14CCL 10MM HP AT</t>
  </si>
  <si>
    <t>1.5 PET 48X4 26FAO 12FALZ 10SP HP AT</t>
  </si>
  <si>
    <t>330 CAN 180X6 108CC 45CCZ 27FAO PY HP AT</t>
  </si>
  <si>
    <t>150 CAN 26X2X12 CC HOLZ-EW AT</t>
  </si>
  <si>
    <t>150 CAN 26X2X12 CC CHEP AT</t>
  </si>
  <si>
    <t>150 CAN 26X2X12 CC DOLLY AT</t>
  </si>
  <si>
    <t xml:space="preserve">500 PET X162 FANTA HALLOWEEN DOLLY AT </t>
  </si>
  <si>
    <t>500 PET X162 FANTA HALLOWEEN CHEP AT</t>
  </si>
  <si>
    <t>150 CAN 65X2X12 45CC20CCZ HP AT</t>
  </si>
  <si>
    <t>1.0 PET RQ EM X132 80AZ32BM20BL CHEP AT</t>
  </si>
  <si>
    <t>1.0 PET RQ EM X132 80AZ32BM20BL DOLLY AT</t>
  </si>
  <si>
    <t xml:space="preserve">1.0L RGB RQ 12X2X6 12CARB ROL AT </t>
  </si>
  <si>
    <t>1.0L RGB RQ 12X2X6 12CARB HP AT</t>
  </si>
  <si>
    <t>1.0L RGB RQ 12X2X6 8CARB 4MI ROLLY AT</t>
  </si>
  <si>
    <t>1.0L RGB RQ 12X2X6 6CARB3MI3ST ROL AT</t>
  </si>
  <si>
    <t>1.0 RGB 12X2X6 RQ 6CRB3MDST ONPACK HP AT</t>
  </si>
  <si>
    <t>Änderung: SSF8004203967 /erledigt</t>
  </si>
  <si>
    <t>1.0L RGB RQ EM 12X2X6 8BIME4BRLI ROL AT</t>
  </si>
  <si>
    <t>1.0L RGB RQ EM 12X2X6 8BIME4BRLI HP AT</t>
  </si>
  <si>
    <t>500 PET 4X6 COCA-COLA ONPACK AT</t>
  </si>
  <si>
    <t>500 PET X270 25X6CCRCCZ120XCCRCCZ DOL AT</t>
  </si>
  <si>
    <t>250 CAN X210 126CCE 84CCEZ DOLLY AT</t>
  </si>
  <si>
    <t>250 CAN X210 126CCE 84CCEZ CHEP AT</t>
  </si>
  <si>
    <t>500 PET X270 15X6CC180XCCCZFAOSP CHEP AT</t>
  </si>
  <si>
    <t>500 PET X270 15X6CC 90XCCR90XCCZ CHEP AT</t>
  </si>
  <si>
    <t>500 PET X270 25X6CCCZ120XCCCZFOSP DOL AT</t>
  </si>
  <si>
    <t>500 PET 45X6 30CC 15CCZ DOLLY AT</t>
  </si>
  <si>
    <t>500 PET 45X6 30CC 15CCZ CHEP AT</t>
  </si>
  <si>
    <t>500 PET 45X6 CCR DOLLY NEW AT</t>
  </si>
  <si>
    <t>500 PET 45X6 CCR CHEP NEW AT</t>
  </si>
  <si>
    <t xml:space="preserve">500 PET 45X6 25CC 15CCZ 5FAO DOLLY AT </t>
  </si>
  <si>
    <t>500 PET 45X6 25CC 15CCZ 5FAO CHEP AT</t>
  </si>
  <si>
    <t xml:space="preserve">330 CAN X 180 TC 108TL 72CA DOLLY AT </t>
  </si>
  <si>
    <t>330 CAN X 180 TC 108TL 72CA CHEP AT</t>
  </si>
  <si>
    <t>330 CAN X 180 TC 72TL54CA54TM DOLLY AT</t>
  </si>
  <si>
    <t xml:space="preserve">330 CAN X 96 TC 36TM 36CA 24TL CHEP AT </t>
  </si>
  <si>
    <t>500 PET 45X6 CC PLUS ONPACK DOLLY AT</t>
  </si>
  <si>
    <t>500 PET 45X6 CC PLUS ONPACK CHEP AT</t>
  </si>
  <si>
    <t>1.0 PET 60X4 36CC 24CCZ ROLLY AT</t>
  </si>
  <si>
    <t>1.0L RGB X96 COCA COLA DOLLY AT</t>
  </si>
  <si>
    <t>1.0L RGB X96 COCA COLA CHEP AT</t>
  </si>
  <si>
    <t>330 CAN X180 RQ EM 3V CHEP PENNY AT</t>
  </si>
  <si>
    <t>330 CAN X180 RQ EM 72PM54BL54APR CHEP AT</t>
  </si>
  <si>
    <t>330 CAN X180 RQ EM 72PM54BL54APR DOL AT</t>
  </si>
  <si>
    <t>330 CAN X180 RQ EM 108PEAR 72BL CHEP AT</t>
  </si>
  <si>
    <t>330 CAN X180 RQ EM 108PEAR 72BL DOLLY AT</t>
  </si>
  <si>
    <t>750 PET X120 RQ EM GUARANA DOLLY AT</t>
  </si>
  <si>
    <t>750 PET X120 RQ EM GUARANA CHEP AT</t>
  </si>
  <si>
    <t>1.5 PET 40X6 RQ 18CARB11MED11ST IPP AT</t>
  </si>
  <si>
    <t>750 PET 65X6 RQ EM 30PM20BL15MH IPP AT</t>
  </si>
  <si>
    <t>2.0 PET 48X4 28CCZ 12FA 8SP IPP AT</t>
  </si>
  <si>
    <t>2.0 PET 48X4 COCA COLA IPP AT</t>
  </si>
  <si>
    <t>500 CAN X160 MONST 40M30ENUWMLUP CHEP AT</t>
  </si>
  <si>
    <t>500 CAN X200 MON 40MENUW20UPMLRPD DOL AT</t>
  </si>
  <si>
    <t>Änderung Description /erledigt</t>
  </si>
  <si>
    <t xml:space="preserve">500 CAN X200 MONSTER 40MENUWMLUP DOL AT </t>
  </si>
  <si>
    <t>500 CAN X160 MONST 40ENUWML20UPTD DOL AT</t>
  </si>
  <si>
    <t>Änderung Description / erledigt</t>
  </si>
  <si>
    <t xml:space="preserve">500 CAN X120 MONSTER 48EN24UWMLUP DOL AT </t>
  </si>
  <si>
    <t>500 CAN X120 MONST 48EN24UWMLUP CHEP AT</t>
  </si>
  <si>
    <t>500 CAN X160 MONST MUENUWMLUP CHEP PY AT</t>
  </si>
  <si>
    <t>750 PET 65X6 RQ EMOTION 6V HP PY AT</t>
  </si>
  <si>
    <t>750 PET 65X6 RQ EM 30PM20BL15MH HP AT</t>
  </si>
  <si>
    <t>750 PET 65X6 RQ EMOTION 6V HP AT</t>
  </si>
  <si>
    <t>750 PET 145X6 RQ EM PMBLAEPLLG  FL EP AT</t>
  </si>
  <si>
    <t>330 CAN 180X6 81CC 63CCZ 36FAO IPP AT</t>
  </si>
  <si>
    <t>750 PET 65X6 RQ EMOTION 5V ROLLY AT</t>
  </si>
  <si>
    <t xml:space="preserve">500 CAN X200 MONST MUENUWMLUP HOLZ-EW AT </t>
  </si>
  <si>
    <r>
      <t xml:space="preserve">5.7 PKG </t>
    </r>
    <r>
      <rPr>
        <b/>
        <sz val="11"/>
        <rFont val="Calibri"/>
        <family val="2"/>
        <scheme val="minor"/>
      </rPr>
      <t>120X10</t>
    </r>
    <r>
      <rPr>
        <b/>
        <sz val="11"/>
        <color theme="1"/>
        <rFont val="Calibri"/>
        <family val="2"/>
        <scheme val="minor"/>
      </rPr>
      <t xml:space="preserve"> COSTA NNC 30COLUESBR DOL AT </t>
    </r>
  </si>
  <si>
    <t>Änderung via SSF sales unit: 120X10 /erledigt</t>
  </si>
  <si>
    <r>
      <t xml:space="preserve">5.7 PKG </t>
    </r>
    <r>
      <rPr>
        <b/>
        <sz val="11"/>
        <rFont val="Calibri"/>
        <family val="2"/>
        <scheme val="minor"/>
      </rPr>
      <t>120X10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COSTA NNC 60CO30LUES CHP AT</t>
    </r>
  </si>
  <si>
    <t>500 BAG X58 COSTA 32SIGBLD26BRTBL DOL AT</t>
  </si>
  <si>
    <t>500 BAG X58 COSTA 32SIGBLD26BRTBL CHP AT</t>
  </si>
  <si>
    <t>200 PKG X117 COSTA 75SGDRK42BRTBL DOL AT</t>
  </si>
  <si>
    <t>200 PKG X117 COSTA SIG BL DRK RST CHP AT</t>
  </si>
  <si>
    <t xml:space="preserve">Änderung WS Request / erledigt </t>
  </si>
  <si>
    <t>1.0 BAG X49 COSTA 26MDRST23DRKRST DOL AT</t>
  </si>
  <si>
    <t>1.0 BAG X49 COSTA 26MDRST23DRKRST CHP AT</t>
  </si>
  <si>
    <t>2234203</t>
  </si>
  <si>
    <t>500 CAN X160 MON 40MEN20UWMLUPTD DOL AT</t>
  </si>
  <si>
    <t>2246801</t>
  </si>
  <si>
    <t>500 PET X4 COCA-COLA ZERO AT</t>
  </si>
  <si>
    <t>500 PET X4 COCA-COLA AT</t>
  </si>
  <si>
    <t>500 PET X4 SPRITE FRESH AT</t>
  </si>
  <si>
    <t>500 PET X4 FANTA ORANGE AT</t>
  </si>
  <si>
    <t>1.0 RGB 2X6 RQ CARB ONPACK AT</t>
  </si>
  <si>
    <t>1.0 RGB 2X6 RQ MEDIUM CARB ONPACK AT</t>
  </si>
  <si>
    <t>1.0 RGB 2X6 RQ STILL ONPACK AT</t>
  </si>
  <si>
    <t>500 PET 60X4 30CC 20CZ 10FAO DOLLY AT</t>
  </si>
  <si>
    <t>500 PET 60X4 30CC 20CCZ 10FAO CHEP AT</t>
  </si>
  <si>
    <t>250 CAN X210 COKE ENERGY DOLLY AT</t>
  </si>
  <si>
    <t>500 CAN X200 MONST 80E40UMLUP HOLZ-EW AT</t>
  </si>
  <si>
    <t>500 CAN X200 MONST 40MENUWMLUP HOL-EW AT</t>
  </si>
  <si>
    <t>1.5 PET 32X6 16XCC 8XCCZ 8XFA HP AT</t>
  </si>
  <si>
    <t>1.0 PET X102 KINLEY 60TW 42BL DOLLY AT</t>
  </si>
  <si>
    <t>Änderung SSF 8004266002 / EAN Änderung</t>
  </si>
  <si>
    <t>2260602</t>
  </si>
  <si>
    <t>1.0 PET X102 KINLEY 60TW 42BL CHEP AT</t>
  </si>
  <si>
    <t xml:space="preserve">2260402 </t>
  </si>
  <si>
    <t>1.5L PET 32X6 16CC 8CCZ 8FAO ROLLY AT</t>
  </si>
  <si>
    <t>1.0/5.7 BAG/PKG X101 38MDK63X10LES DO AT</t>
  </si>
  <si>
    <t>1.0/5.7 BAG/PKG X101 38MDK63X10LES CP AT</t>
  </si>
  <si>
    <t>330 NRG X84 SYRUP 48FA24SP12MM DOL AT</t>
  </si>
  <si>
    <t>Änderung: SSF 8004496815 /erledigt</t>
  </si>
  <si>
    <t>330 NRG X84 SYRUP 48FA24SP12MM CHEP AT</t>
  </si>
  <si>
    <t>Änderung: SSF 8004220005 /erledigt</t>
  </si>
  <si>
    <t>1.0 RGB 12X2X6 RQ 6CR3MDST ONPACK ROL AT</t>
  </si>
  <si>
    <t>1.0 RGB 12X2X6 RQ 6CARB3MED3ST HP AT</t>
  </si>
  <si>
    <t>2.0 PET 48X4 20CCZ 12CCL 12FA 4SP HP AT</t>
  </si>
  <si>
    <t xml:space="preserve">1.0 RGB 12X12 COCA COLA HP AT </t>
  </si>
  <si>
    <t>2.0 PET 48X4 28CCZ 16FAO 4SP IPP AT</t>
  </si>
  <si>
    <t>Änderung EAN: CHG-MAT-000007402</t>
  </si>
  <si>
    <t>1.0/500/5.7 BAG/PKG X104 MD63X10ESL D AT</t>
  </si>
  <si>
    <t xml:space="preserve">1.0/500/5.7 BAG/PKG X104 MD63X10ESL C AT </t>
  </si>
  <si>
    <t>500 PET X162 FAOFAZFLZFASHFZAL HW DOL AT</t>
  </si>
  <si>
    <t>500 PET X162 FAOFAZFLZFASHFZAL HW CHP AT</t>
  </si>
  <si>
    <t>1.0 PET X60 KINLEY 36TW 24BL DOLLY AT</t>
  </si>
  <si>
    <t>2274402</t>
  </si>
  <si>
    <t>1.0 PET X60 KINLEY 36TW 24BL CHEP AT</t>
  </si>
  <si>
    <t>2114005</t>
  </si>
  <si>
    <t>500 PET X162 FUZETEA 54PLE36FF18PZ DO AT</t>
  </si>
  <si>
    <r>
      <rPr>
        <sz val="11"/>
        <rFont val="Calibri"/>
        <family val="2"/>
        <scheme val="minor"/>
      </rPr>
      <t>Displayanpassung wegen neuem BBD</t>
    </r>
    <r>
      <rPr>
        <sz val="11"/>
        <color rgb="FF00B050"/>
        <rFont val="Calibri"/>
        <family val="2"/>
        <scheme val="minor"/>
      </rPr>
      <t xml:space="preserve"> erledigt</t>
    </r>
  </si>
  <si>
    <t>2114006</t>
  </si>
  <si>
    <t>500 PET X162 FUZETEA 54PLE36FF18PZ CP AT</t>
  </si>
  <si>
    <t>2114008</t>
  </si>
  <si>
    <t>500 PET X162 FUZETEA 72PE54LE36FF DOL AT</t>
  </si>
  <si>
    <t>2114007</t>
  </si>
  <si>
    <t>500 PET X162 FUZETEA 72PE54LE36FF CP AT</t>
  </si>
  <si>
    <t>2281004</t>
  </si>
  <si>
    <t>500 PET X270 FUZETEA 120PE90LE60FF DO AT</t>
  </si>
  <si>
    <t>2281003</t>
  </si>
  <si>
    <t>500 PET X270 FUZETEA 120PE90LE60FF CP AT</t>
  </si>
  <si>
    <t>2281002</t>
  </si>
  <si>
    <t>500 PET X270 FUZETEA 90PLE60FF30PZ DO AT</t>
  </si>
  <si>
    <t>2281001</t>
  </si>
  <si>
    <t xml:space="preserve">500 PET X270 FUZETEA 90PLE60FF30PZ CP AT </t>
  </si>
  <si>
    <t>2284801</t>
  </si>
  <si>
    <t>700 NRG X30 BARCELO RUM IMP XMAS DOL AT</t>
  </si>
  <si>
    <t>1854603</t>
  </si>
  <si>
    <t xml:space="preserve">1.5 PET 48X4 30CCZ 10CCL 8MM HP AT </t>
  </si>
  <si>
    <t xml:space="preserve">2114009 </t>
  </si>
  <si>
    <t xml:space="preserve">500 PET X162 FUZETEA 90PE72LE DOL AT </t>
  </si>
  <si>
    <t>2114010</t>
  </si>
  <si>
    <t>500 PET X162 FUZE 72PE54LE36FF NEW CP AT</t>
  </si>
  <si>
    <t>Neuanlage wegen neuem BBD</t>
  </si>
  <si>
    <t>1911902</t>
  </si>
  <si>
    <t>1.0 PET 60X4 36CC 24CCZ ONPACK HP AT</t>
  </si>
  <si>
    <t>Reaktivierung SSF-8004415543-01</t>
  </si>
  <si>
    <t>2304301</t>
  </si>
  <si>
    <t>1.5 PET 48X4 22CCZ 18FAO 8SP HP AT</t>
  </si>
  <si>
    <t>2304401</t>
  </si>
  <si>
    <t>1.5 PET 48X4 22CCL 14MM 12FALZ HP AT</t>
  </si>
  <si>
    <t xml:space="preserve">Anpassung Stückelung </t>
  </si>
  <si>
    <t>330 CAN X180 FA 108FAEX 72FAZRASP DOL AT</t>
  </si>
  <si>
    <t>330 CAN X180 FA 108FAEX 72FAZRASP CHP AT</t>
  </si>
  <si>
    <t>1.5 PET 40X6 RQ 20CARB 8MED 12ST HP AT</t>
  </si>
  <si>
    <t xml:space="preserve">250 CAN X96 KINLEY 48TW 48BR CHEP AT </t>
  </si>
  <si>
    <t>250 CAN X96 KINLEY 48TW 48BR DOLLY AT</t>
  </si>
  <si>
    <t>750 PET X120 RQ EM BLUEBERRY PG DOL AT</t>
  </si>
  <si>
    <t xml:space="preserve">750 PET X120 RQ EM BLUEBERRY PG CHEP AT </t>
  </si>
  <si>
    <t>500 CAN X120 MON ENUWMLUPMU CHEP AT</t>
  </si>
  <si>
    <t>250/330 CAN X192 CCCCZFAO72XTWBR DO AT</t>
  </si>
  <si>
    <t>700 NRG X30 BARCELO RUM IMP DOLLY AT</t>
  </si>
  <si>
    <t>1.0 PET 60X4 26CC 14CCZ 14FA 6SP HP AT</t>
  </si>
  <si>
    <t>2.0 PET 48X4 20CCZ 6CCL 16FAO 6SP HP AT</t>
  </si>
  <si>
    <t>1.0 BAG X48 COSTA 24MDRST24DRKRST DOL AT</t>
  </si>
  <si>
    <t>1.0 BAG X48 COSTA 24MDRST24DRKRST CP AT</t>
  </si>
  <si>
    <t>1.0/5.7 BAG/PKG X99 36MDK63X10LES DO AT</t>
  </si>
  <si>
    <t>1.0/5.7 BAG/PKG X99 36MDK63X10LES CP AT</t>
  </si>
  <si>
    <t>1.0/500/5.7 BAG/PKG X103 MD63X10ESL C AT</t>
  </si>
  <si>
    <t>1.0/500/5.7 BAG/PKG X103 MD63X10ESL D AT</t>
  </si>
  <si>
    <t>500 CAN X120 MON UFPPENUWUP DOL AT</t>
  </si>
  <si>
    <t xml:space="preserve">500 CAN X120 MON UFPPENUWUP CHEP AT </t>
  </si>
  <si>
    <t>500 CAN X160 MON UFPPENUW CHEP AT</t>
  </si>
  <si>
    <t xml:space="preserve">500 CAN X160 MON UFPPENUW DOL AT </t>
  </si>
  <si>
    <t>500 CAN X200 MO 10X4ENMUUPUWMLUFPP DO AT</t>
  </si>
  <si>
    <t>500 PET X270 90CR60CZ30FAOFAMSPSPZ DO AT</t>
  </si>
  <si>
    <t>500 PET X270 90CR60CZ30FAOFAMSPSPZ CP AT</t>
  </si>
  <si>
    <t>1.0 PET 35X6 25CC10CZ AND GLASS ROL(C)AT</t>
  </si>
  <si>
    <t>SSF-8004581605-01</t>
  </si>
  <si>
    <t>500 CAN 50X4 MONSTER ENERGY CHEP AT</t>
  </si>
  <si>
    <t>330 NRG X84 SYRUP 28FA28SP28MM CHEP AT</t>
  </si>
  <si>
    <t>330 NRG X84 SYRUP 28FA28SP28MM DOLLY AT</t>
  </si>
  <si>
    <t>330 CAN 45X3X8 20CC16CCZ9FAO HP AT</t>
  </si>
  <si>
    <t>1.0/200 BAG/PKG X61 36MDDRK 25DRK DOL AT</t>
  </si>
  <si>
    <t>1.0/200 BAG/PKG X61 36MDDRK 25DRK CHP AT</t>
  </si>
  <si>
    <t>1.0/500/5.7 BAG/PKG X103 MD63X10ELW D AT</t>
  </si>
  <si>
    <t>1.0/500/5.7 BAG/PKG X103 MD63X10ELW C AT</t>
  </si>
  <si>
    <t>5.7 PKG 120X10 COS NCC ESLUCOBRWB C AT</t>
  </si>
  <si>
    <t>5.7 PKG 120X10 COS NCC ESLUCOBRWB D AT</t>
  </si>
  <si>
    <t>5.7 PKG 120X10 COSTA NCC ESLUCOBR CHP AT</t>
  </si>
  <si>
    <t>5.7 PKG 120X10 COSTA NCC ESLUCOBR DOL AT</t>
  </si>
  <si>
    <t>5.7 PKG 120X10 COSTA NCC ESLU CHEP AT</t>
  </si>
  <si>
    <t>5.7 PKG 120X10 COSTA NCC ESLU DOL AT</t>
  </si>
  <si>
    <t>500 CAN X160 MON 10X4ENMLUWUPUFPP CP AT</t>
  </si>
  <si>
    <t>500 CAN X160 MON 10X4ENMLUWUPUFPP DO AT</t>
  </si>
  <si>
    <t>330 CAN X240 120CC72CZ24FAO24SP NEW D AT</t>
  </si>
  <si>
    <t>330 CAN X240 120CC72CZ24FAO24SP NEW C AT</t>
  </si>
  <si>
    <t>2.0 PET 48X4 20CCZ6CCL16FAO6SP NEW HP AT</t>
  </si>
  <si>
    <t>1.0 PET 44X6 28CC 16CCZ HP AT</t>
  </si>
  <si>
    <t>1.0 PET 44X6 28CC 16CCZ ONPACK HP AT</t>
  </si>
  <si>
    <t>1.0 PET 44X6 28CC 16CCZ ROLLY AT</t>
  </si>
  <si>
    <t>1.0 PET 44X6 28CC 16CCZ ONPACK ROLLY AT</t>
  </si>
  <si>
    <t xml:space="preserve">1.0 PET 44X6 20CC 10CCZ 10FA 4SP HP AT </t>
  </si>
  <si>
    <t>500 PET X270 120CC90CZ30FO30SP NEW CP AT</t>
  </si>
  <si>
    <t>500 PET X270 120CC90CZ30FO30SP NEW DO AT</t>
  </si>
  <si>
    <t>2.0 PET 48X4 28CCZ 16FAO 4SP NEW IPP AT</t>
  </si>
  <si>
    <t>700 NRG X36 BARCELO ORGANIC DOLLY AT</t>
  </si>
  <si>
    <t>700 NRG X36 BARCELO ORGANIC CHEP AT</t>
  </si>
  <si>
    <t>700 NRG X42 BARCELO RUM IMPERIAL DOL AT</t>
  </si>
  <si>
    <t>700 NRG X42 BARCELO RUM IMPERIAL CHP AT</t>
  </si>
  <si>
    <t>700 NRG X36 NEMIROFF DE LUX GLAS DOL AT</t>
  </si>
  <si>
    <t>700 NRG X36 NEMIROFF DE LUX GLAS CHP AT</t>
  </si>
  <si>
    <t>850 NRG X36 NEMIROF DE LUX INKMIN DO AT</t>
  </si>
  <si>
    <t>850 NRG X36 NEMIROF DE LUX INKMIN CP AT</t>
  </si>
  <si>
    <t>150 CAN 40X12 COCA-COLA NEW DOLLY AT</t>
  </si>
  <si>
    <t xml:space="preserve">150 CAN 40X12 COCA-COLA NEW CHEP AT </t>
  </si>
  <si>
    <t>5.7 PKG 120X10 COSTA NCC ESLU NEW DOL AT</t>
  </si>
  <si>
    <t>2239708</t>
  </si>
  <si>
    <t>5.7 PKG 120X10 COSTA NCC ESLU NEW CHP AT</t>
  </si>
  <si>
    <t>1.0/5.7 BAG/PKG X99 MD63X10ESL NEW D AT</t>
  </si>
  <si>
    <t>1.0/5.7 BAG/PKG X99 MD63X10ESL NEW C AT</t>
  </si>
  <si>
    <t>1.5 PET 32X6 15CCL 11MM 6FAZL HP AT</t>
  </si>
  <si>
    <t>1.5 PET 32X6 15CCZ 12FAO 5SP HP AT</t>
  </si>
  <si>
    <t>500 CAN X160 MON ENPPUFUWUPML CP AT</t>
  </si>
  <si>
    <t>500 CAN X160 MON UFPPENUWUPML DO AT</t>
  </si>
  <si>
    <t>1.5 PET 32X6 14CCZ 10FAO 4CCL 4SP HP AT</t>
  </si>
  <si>
    <t>330 CAN X96 KINLEY 48TW 48BR CHEP AT</t>
  </si>
  <si>
    <t xml:space="preserve">Achtung! Abtausch neue Artikelnummern (Kinley) - erledigt </t>
  </si>
  <si>
    <t>330 CAN X96 KINLEY 48TW 48BR DOLLY AT</t>
  </si>
  <si>
    <t>330 CAN X192 CCCCZFAO72XTWBR DO AT</t>
  </si>
  <si>
    <t>700 NRG X36 FAMOUSE GROUSE DOLLY AT</t>
  </si>
  <si>
    <t>1.0 RGB X96 64CCR 32CCZ DOLLY AT</t>
  </si>
  <si>
    <t xml:space="preserve">1.0 RGB X96 64CCR 32CCZ CHEP AT </t>
  </si>
  <si>
    <t>330 CAN X 96 KINLEY 24TWBR 6X4TWBR CP AT</t>
  </si>
  <si>
    <t>330 CAN X 96 KINLEY 24TWBR 6X4TWBR DO AT</t>
  </si>
  <si>
    <t>700 NRG X30 BARCELO RUM ONYX XMAS DOL AT</t>
  </si>
  <si>
    <t>700 NRG X36 NAKED MALT DOLLY AT</t>
  </si>
  <si>
    <t>700 NRG X36 NEMIROFF DELUXE DOLLY AT</t>
  </si>
  <si>
    <t xml:space="preserve">700 NRG X36 GLENDALOUGH DB WHISKEY DO AT </t>
  </si>
  <si>
    <t>700 NRG X36 LUCANO AMARO DOLLY AT</t>
  </si>
  <si>
    <t>700 NRG X36 FAMOUSE GROUSE &amp; GLAS DO AT</t>
  </si>
  <si>
    <t>1.5L PET 36X6 24CC 12CCZ HP AT</t>
  </si>
  <si>
    <t>500 PET X162 54FAO36FAZ36MA18LZWTF DO AT</t>
  </si>
  <si>
    <t>500 PET X162 54FAO36FAZ36MA18LZWTF CP AT</t>
  </si>
  <si>
    <t xml:space="preserve">500 PET 72X8 ROEMERQUELLE CARB HP AT </t>
  </si>
  <si>
    <t>1.5 PET 36X6 24CCR 12CCZ ROLLY AT</t>
  </si>
  <si>
    <t>2416402</t>
  </si>
  <si>
    <t>1.0 RGB 6X12 4CCR 2CCZ CHEP AT</t>
  </si>
  <si>
    <t>2416401</t>
  </si>
  <si>
    <t>1.0 RGB 6X12 4CCR 2CCZ DOLLY AT</t>
  </si>
  <si>
    <t>2428601</t>
  </si>
  <si>
    <t>700 NRG X36 NAKED MALT CHEP AT</t>
  </si>
  <si>
    <t>1839508</t>
  </si>
  <si>
    <t>330 CAN X240 120CC 72CZ 48SP DOLLY AT</t>
  </si>
  <si>
    <t>1839507</t>
  </si>
  <si>
    <t>330 CAN X240 120CC 72CZ 48SP CHEP AT</t>
  </si>
  <si>
    <t>1007906</t>
  </si>
  <si>
    <t>1.5 PET 36X6 COCA-COLA LITETOP HP AT</t>
  </si>
  <si>
    <t>2444802</t>
  </si>
  <si>
    <t>250 CAN X144 CCZ CREATION MOVEMENT DO AT</t>
  </si>
  <si>
    <t>2444801</t>
  </si>
  <si>
    <t>250 CAN X144 CCZ CREATION MOVEMENT CP AT</t>
  </si>
  <si>
    <t>2411803</t>
  </si>
  <si>
    <t>1.5L PET 36X6 24CC 12CCZ LITETOP HP AT</t>
  </si>
  <si>
    <t>2239712</t>
  </si>
  <si>
    <t>5.7 PKG 120X10 COSTA NCC 80LU40ES DOL AT</t>
  </si>
  <si>
    <t>2239711</t>
  </si>
  <si>
    <t>5.7 PKG 120X10 COSTA NCC 80LU40ES CP AT</t>
  </si>
  <si>
    <t xml:space="preserve">500 CAN X120 MON ENUWUFMLPPUP DOLLY AT </t>
  </si>
  <si>
    <t>Q1</t>
  </si>
  <si>
    <t>500 CAN X160 MON 8X4ENEMLUWUPUFPP DO AT</t>
  </si>
  <si>
    <t>500 CAN X200 MO 10X4ENENUWUFMLUPPP DO AT</t>
  </si>
  <si>
    <t xml:space="preserve">500 CAN X200 MON 50ENUWML25UFUP CHEP AT </t>
  </si>
  <si>
    <t>500 CAN X120 MON 24LHENUWUF12MLPP CP AT</t>
  </si>
  <si>
    <t>Q2</t>
  </si>
  <si>
    <t>500 CAN X160 MON 40LH20EUWUFMLUPPP CP AT</t>
  </si>
  <si>
    <t>500 CAN X160 MO 8X4ENEUWLHUFMLUPP DO AT</t>
  </si>
  <si>
    <t>500 CAN X160 MO 8X4ENEUWLHUFMLUPP CP AT</t>
  </si>
  <si>
    <t>500 CAN X120 MONST ULT WATERMELON CP AT</t>
  </si>
  <si>
    <t>500 CAN X160 MON 40UW20ENUFLHMLUPP DO AT</t>
  </si>
  <si>
    <t>500 CAN X200 MO 10X4ENELHUWUFMLUPP DO AT</t>
  </si>
  <si>
    <t>500 CAN X120 MON ENUWUFMLPPUP CHEP AT</t>
  </si>
  <si>
    <t>500 CAN X160 MON 8X4ENEMLUWUPUFPP CP AT</t>
  </si>
  <si>
    <t>700 NRG X30 BARCELO RUM IMP ONYX DOL AT</t>
  </si>
  <si>
    <t>500 PET X120 POWERADE 75MB 45BO CHEP AT</t>
  </si>
  <si>
    <t>500 PET X120 POWERADE 75MB 45BO DOL AT</t>
  </si>
  <si>
    <t>700 NRG X36 GLENDALOUGH DB NEW DOLLY AT</t>
  </si>
  <si>
    <t xml:space="preserve">500 PET X120 POWERADE MB DOLLY AT </t>
  </si>
  <si>
    <t>500 PET X120 POWERADE MB CHEP AT</t>
  </si>
  <si>
    <t>750 PET 145X6 RQ EM PMBLAEPLLG V5 EP AT</t>
  </si>
  <si>
    <t>500 CAN X120 MON 24LHENUWUF12MLPP DO AT</t>
  </si>
  <si>
    <t>500 CAN X160 MON 40LH20EUWUFMLUPPP DO AT</t>
  </si>
  <si>
    <t>500 CAN X160 MON 40UW20ENUFLHMLUPP CP AT</t>
  </si>
  <si>
    <t>500 CAN X120 MONST ULT WATERMELON DO AT</t>
  </si>
  <si>
    <t>330 CAN X96 KINLEY 48TW48PB CHEP AT</t>
  </si>
  <si>
    <t>330 CAN X96 KINLEY 48TW48PB DOL AT</t>
  </si>
  <si>
    <t xml:space="preserve">330 CAN X96 KINLEY 48TW24PB24GA CP AT </t>
  </si>
  <si>
    <t xml:space="preserve">330 CAN X96 KINLEY 48TW24PB24GA DO AT </t>
  </si>
  <si>
    <t>330 CAN X120 KINLEY 48TW48PB24GA CP AT</t>
  </si>
  <si>
    <t>330 CAN X120 KINLEY 48TW48PB24GA DO AT</t>
  </si>
  <si>
    <t xml:space="preserve">330 CAN X120 KINLEY 12X4TWPB 6X4GA CP AT </t>
  </si>
  <si>
    <t>330 CAN X120 KINLEY 12X4TWPB 6X4GA DO AT</t>
  </si>
  <si>
    <t>330 CAN X96 KINLEY 12X4TW 6X4PBGA CP AT</t>
  </si>
  <si>
    <t>330 CAN X96 KINLEY 12X4TW 6X4PBGA DO AT</t>
  </si>
  <si>
    <t>330 CAN X96 KINLEY 24TWPB 6X4TWPB CP AT</t>
  </si>
  <si>
    <t xml:space="preserve">330 CAN X96 KINLEY 24TWPB 6X4TWPB DO AT </t>
  </si>
  <si>
    <t>750 PET X120 RQ FW 60LEMLM GRAPCRA CP AT</t>
  </si>
  <si>
    <t>750 PET X120 RQ FW 60LEMLM GRAPCRA DO AT</t>
  </si>
  <si>
    <t>750 PET X120 RQ EM 60BORG60PEACHWM CP AT</t>
  </si>
  <si>
    <t>750 PET X120 RQ EM 60BORG60PEACHWM DO AT</t>
  </si>
  <si>
    <t>330 CAN 180X6 108CCZ 72FAO IPP AT</t>
  </si>
  <si>
    <t>330 CAN 180X6 COCA COLA IPP AT</t>
  </si>
  <si>
    <t>330 CAN X144 COKE ZERO CAFF FREE DOL AT</t>
  </si>
  <si>
    <t>330 CAN X144 COKE ZERO CAFF FREE CHEP AT</t>
  </si>
  <si>
    <t>1.0 PET X60 KINLEY 36TW 24BL DOL NEW AT</t>
  </si>
  <si>
    <t>1.0 PET X60 KINLEY 36TW 24BL CHEP NEW AT</t>
  </si>
  <si>
    <t>330 CAN X240 120CCV 48CCZV 72CCZL DOL AT</t>
  </si>
  <si>
    <t>330 CAN X240 120CCV 48CCZV 72CCZL CP AT</t>
  </si>
  <si>
    <t>330 CAN 45X24 CCVCCZVCCZLCCZZSPMM ROL AT</t>
  </si>
  <si>
    <t>330 CAN 45X24 CCVCCZVCCZLCCZZSPMM HP AT</t>
  </si>
  <si>
    <t>330 CAN X240 144XCCV 96XCCZL DOLLY AT</t>
  </si>
  <si>
    <t>330 CAN X240 144XCCV 96XCCZL CHEP AT</t>
  </si>
  <si>
    <t>500 PET X162 FUZETEA 72PE54LE36PRZ DO AT</t>
  </si>
  <si>
    <t>500 PET X162 FUZETEA 72PE54LE36PRZ CP AT</t>
  </si>
  <si>
    <t>500 CAN X120 MON UL GOLD PINEAPPLE DO AT</t>
  </si>
  <si>
    <t>500 CAN X120 MON UL GOLD PINEAPPLE CP AT</t>
  </si>
  <si>
    <t>150 CAN 40X12 30CCR 10CCZ DOLLY AT</t>
  </si>
  <si>
    <t>150 CAN 40X12 30CCR 10CCZ NEW CHEP AT</t>
  </si>
  <si>
    <t>500 PET X96 24FAOFZLFEZ 12FAOZFAM DOL AT</t>
  </si>
  <si>
    <t>500 PET X96 24FAOFZLFEZ 12FAOZFAM CP AT</t>
  </si>
  <si>
    <t>1.0 PET 55X6 KINLEY 30XTW 25XBL HP AT</t>
  </si>
  <si>
    <t>1.0 PET 55X6 KINLEY 30XTW 25XBL ROLLY AT</t>
  </si>
  <si>
    <t xml:space="preserve">330 CAN 45X3X8 20CCR16CCZ9FAO IPP AT </t>
  </si>
  <si>
    <t>1.5 PET 36X6 24CCR 12CCZ LITETOP ROL AT</t>
  </si>
  <si>
    <t>1.0 RGB 12X2X6 COCA COLA HP AT</t>
  </si>
  <si>
    <t xml:space="preserve">330 CAN X96 KINLEY 12X4TW 12X4PB DOL AT </t>
  </si>
  <si>
    <t>750 PET 145X6 RQ EM PMBLAEPLLG LL EP AT</t>
  </si>
  <si>
    <t xml:space="preserve">750 PET 65X6 RQ EM PMBLAEPLLG LL HP AT </t>
  </si>
  <si>
    <t xml:space="preserve">750 PET 65X6 RQ EM PMBLAEPLG LL HP PY AT </t>
  </si>
  <si>
    <t>500 PET X270 90CR60CZ30FAOFAZSPSPZ DO AT</t>
  </si>
  <si>
    <t>500 PET X270 90CR60CZ30FAOFAZSPSPZ CP AT</t>
  </si>
  <si>
    <t>330 CAN 45X24 CCVCCZLCCZZSPMM ROL AT</t>
  </si>
  <si>
    <t>330 CAN 45X24 CCVCCZLCCZZSPMM HP AT</t>
  </si>
  <si>
    <t>500 PET 72X8 RQ 54CARB 18STILL IPP AT</t>
  </si>
  <si>
    <t>1.5 PET 40X6 RQ 18CARB 8MED 14ST IPP AT</t>
  </si>
  <si>
    <t>1.0 RGB 16X2X6 COCA COLA HP AT</t>
  </si>
  <si>
    <t>Artikel werden nicht benötigt</t>
  </si>
  <si>
    <t>1.0 RGB 16X2X6 RQ CARB HP AT</t>
  </si>
  <si>
    <t>1.5 PET 36X6 12FZ8FLZ4FEXZ6FAMSPZ ROL AT</t>
  </si>
  <si>
    <t>1.5 PET 36X6 24CCR 12CCZ HP AT</t>
  </si>
  <si>
    <t>700 NRG X54 NEMIROFF 27DELX 27DLHP CP AT</t>
  </si>
  <si>
    <t>700 NRG X54 NEMIROFF 36DELX 18DLHP CP AT</t>
  </si>
  <si>
    <t>700 NRG X36 NEMIROFF 18DELX 18DLHP CP AT</t>
  </si>
  <si>
    <t>700 NRG X36 NEMIROFF 24DELX 12DLHP CP AT</t>
  </si>
  <si>
    <t>150 CAN X528 COKE 40X12CCR 48XCCR DO AT</t>
  </si>
  <si>
    <t>150 CAN X528 COKE 40X12CCR 48XCCR CP AT</t>
  </si>
  <si>
    <t>150 CAN X528 24CRCZ 30X12CR10X12CZ DO AT</t>
  </si>
  <si>
    <t xml:space="preserve">150 CAN X528 24CRCZ 30X12CR10X12CZ CP AT </t>
  </si>
  <si>
    <t>500 PET X162 FAOFAOZFZLFAMFAEXZ DO AT</t>
  </si>
  <si>
    <t>Halloween</t>
  </si>
  <si>
    <t>500 PET X162 FAOFAOZFZLFAMFAEXZ CP AT</t>
  </si>
  <si>
    <t xml:space="preserve">330 CAN 45X24 COCA COLA IPP AT </t>
  </si>
  <si>
    <t>330 CAN 45X24 28CCZ 17FAO IPP AT</t>
  </si>
  <si>
    <t>330 CAN X10 COCA-COLA SLEEK FRIDGE AT</t>
  </si>
  <si>
    <t>Reaktivierung SSF-8005396809</t>
  </si>
  <si>
    <t>330 CAN X10 COKE ZERO SLEEK FRIDGE AT</t>
  </si>
  <si>
    <t>330 CAN 117X10 76CC 41CCZ ROLLY AT</t>
  </si>
  <si>
    <t>330 CAN 117X10 76CC 41CCZ HP AT</t>
  </si>
  <si>
    <t>330 CAN 180X6 135CCR18CCZ27FAO HP PY AT</t>
  </si>
  <si>
    <t>330 CAN 45X24 COKE ZERO IPP AT</t>
  </si>
  <si>
    <t>330 CAN 45X24 FANTA ORANGE IPP AT</t>
  </si>
  <si>
    <t>330 CAN 45X24 SPRITE IPP AT</t>
  </si>
  <si>
    <t>330 CAN 45X3X8 COCA COLA IPP AT</t>
  </si>
  <si>
    <t>330 CAN 45X3X8 FANTA ORANGE IPP AT</t>
  </si>
  <si>
    <t>330 CAN 45X3X8 COKE ZERO IPP AT</t>
  </si>
  <si>
    <t>150 CAN X22 11CCR11CCZ XMAS CALEN&amp;GIF AT</t>
  </si>
  <si>
    <t>500 CAN X756 MO 21X24EUWML21X12LHWM HP AT</t>
  </si>
  <si>
    <t>150 CAN X36 CCRCCZ XMAS CALENDAR ROL AT</t>
  </si>
  <si>
    <t>150 CAN X36 CCRCCZ XMAS CALENDAR HP AT</t>
  </si>
  <si>
    <t>150 CAN 27X22 CCRCCZ XMAS CALENDAR ROL AT</t>
  </si>
  <si>
    <t xml:space="preserve">150 CAN 27X22 CCRCCZ XMAS CALENDAR HP AT </t>
  </si>
  <si>
    <t>1.0 PET 44X6 26CCR 6CCZ 12FAO HP AT</t>
  </si>
  <si>
    <t>1.5 PET 36X6 21CCZ11FAO4SP LITETOP HP AT</t>
  </si>
  <si>
    <t>700 NRG X36 GLENDALOUGH DB GP 2023 DO AT</t>
  </si>
  <si>
    <t>1.5 PET 40X6 RQ 21CARB 8MED 11ST HP AT</t>
  </si>
  <si>
    <t>1.5 PET 36X6 15CCL16MM5FZL LITETOP HP AT</t>
  </si>
  <si>
    <t>500 PET X270 90CZ60CZL30SPZFZFZLFXZ D AT</t>
  </si>
  <si>
    <t>500 PET X270 90CZ60CZL30SPZFZFZLFXZ C AT</t>
  </si>
  <si>
    <t>500 PET X270 90CZ60CZLFAZ30SPZFEXZ DO AT</t>
  </si>
  <si>
    <t>500 PET X270 90CZ60CZLFAZ30SPZFEXZ CP AT</t>
  </si>
  <si>
    <t>2.0 PET 48X4 28CCR 12CCZ 8FAO HP AT</t>
  </si>
  <si>
    <t>1.0 PET X136 96CCR 40CCZ DUOPACK DOL AT</t>
  </si>
  <si>
    <t>1.0 PET X136 96CCR 40CCZ DUOPACK CHEP AT</t>
  </si>
  <si>
    <t>250 CAN X144 CCZ CREATIONS K WAVE DOL AT</t>
  </si>
  <si>
    <t>250 CAN X144 CCZ CREATIONS K WAVE CHP AT</t>
  </si>
  <si>
    <t>1.5 PET 36X6 COKE ZERO LITETOP HP AT</t>
  </si>
  <si>
    <t>1.5 PET 36X6 22FAO4FAOZFZLFAM2FEXZ HP AT</t>
  </si>
  <si>
    <t>1.5 PET 36X6 22FAO4FAOZFZLFAM2FXZ ROL A</t>
  </si>
  <si>
    <t>500 PET X270 150CZ30CZLSPZFAOZFZL DOL AT</t>
  </si>
  <si>
    <t>500 PET X270 150CZ30CZLSPZFAOZFZL CHP AT</t>
  </si>
  <si>
    <t>330 CAN X240 120CR48CZ24CZZFAOSP DOL AT</t>
  </si>
  <si>
    <t>330 CAN X240 120CR48CZ24CZZFAOSP CHP AT</t>
  </si>
  <si>
    <t>500 PET X270 180CR60CZ30CZZ DOLLY AT</t>
  </si>
  <si>
    <t>500 PET X270 180CR60CZ30CZZ CHEP AT</t>
  </si>
  <si>
    <t>500 PET X270 CCR60CZ30FAO18SP12CZZ DO AT</t>
  </si>
  <si>
    <t>500 PET X270 CCR60CZ30FAO18SP12CZZ CP AT</t>
  </si>
  <si>
    <t>500 PET X120 PW 45MB30MBZ30MG15BO DO AT</t>
  </si>
  <si>
    <t>500 PET X120 PW 45MB30MBZ30MG15BO CP AT</t>
  </si>
  <si>
    <t>500 PET X120 PW 60MB30MBZ30BO DOLLY AT</t>
  </si>
  <si>
    <t>500 PET X120 PW 60MB30MBZ30BO CHEP AT</t>
  </si>
  <si>
    <t>330 CAN X120 JACK&amp;COKE DOLLY AT</t>
  </si>
  <si>
    <t>330 CAN X120 JACK&amp;COKE CHEP AT</t>
  </si>
  <si>
    <t>330 CAN X140 JACK&amp;COKE DOLLY AT</t>
  </si>
  <si>
    <t>330 CAN X140 JACK&amp;COKE CHEP AT</t>
  </si>
  <si>
    <t>330 CAN X160 JACK&amp;COKE DOLLY AT</t>
  </si>
  <si>
    <t>330 CAN X160 JACK&amp;COKE CHEP AT</t>
  </si>
  <si>
    <t>750 PET X120 RQ EM PLUS 60AA60MAC DOL AT</t>
  </si>
  <si>
    <t>750 PET X120 RQ EM PLUS 60AA60MAC CHP AT</t>
  </si>
  <si>
    <t>500 CAN X120 MONSTER ULTR ROSA DOLLY AT</t>
  </si>
  <si>
    <t>120er Ultra Rosa</t>
  </si>
  <si>
    <t>500 CAN X120 MONST ENUWLHENZUGMLUF DO AT</t>
  </si>
  <si>
    <t>120er Q2 Adeg &amp; Penny</t>
  </si>
  <si>
    <t>500 CAN X160 MON ENENZLHUWUGUPUFML DO AT</t>
  </si>
  <si>
    <t>160er Q2 SC Billa Plus &amp; Spar</t>
  </si>
  <si>
    <t>500 CAN X160 MON UWENLHUGUPUFML DO AT</t>
  </si>
  <si>
    <t xml:space="preserve">160er Q2 SC Billa &amp; Spar </t>
  </si>
  <si>
    <t>500 CAN X160 MON ENLHUWWMUGUPUFML CP AT</t>
  </si>
  <si>
    <t>160er Q2 SC Billa (UWM)</t>
  </si>
  <si>
    <t>500 CAN X160 MON UWENENZLHUPUFML DO AT</t>
  </si>
  <si>
    <t>160er Q2 SC Spar (GZ &amp; UW)</t>
  </si>
  <si>
    <t>500 CAN X200 MON UWENENZLHUGUFML DO AT</t>
  </si>
  <si>
    <t>200er Q2 Spar</t>
  </si>
  <si>
    <t xml:space="preserve">500 CAN X200 MONSTER 50ENUWLHML CHEP AT </t>
  </si>
  <si>
    <t>200er Lidl Option 1</t>
  </si>
  <si>
    <t>500 CAN X200 MON UWENENZLHUGUPML CP AT</t>
  </si>
  <si>
    <t xml:space="preserve">yes </t>
  </si>
  <si>
    <t>200er Lidl Option 2</t>
  </si>
  <si>
    <t>500 CAN X200 MONSTER 75EN75UW50LH CP AT</t>
  </si>
  <si>
    <t>200er Lidl Option 1_New</t>
  </si>
  <si>
    <t>500 CAN X160 MON 40ENZUGML20UFUP CP AT</t>
  </si>
  <si>
    <t>160er Lidl Option2_New</t>
  </si>
  <si>
    <t>500 CAN X120 MONSTER AUSSIE LEM CHEP AT</t>
  </si>
  <si>
    <t>120er Aussie Lemonade</t>
  </si>
  <si>
    <t>500 CAN X120 MONSTER ULTR ROSA CHEP AT</t>
  </si>
  <si>
    <t>500 CAN X120 MONST ENUWLHENZUGMLUF CP AT</t>
  </si>
  <si>
    <t>500 CAN X160 MON ENENZLHUWUGUPUFML CP AT</t>
  </si>
  <si>
    <t>500 CAN X160 MON UWENLHUGUPUFML CP AT</t>
  </si>
  <si>
    <t>1.0 PET 55X6 KINLEY 25TW20BL10PB ROL AT</t>
  </si>
  <si>
    <t>1.0 PET 55X6 KINLEY 25TW20BL10PB HP AT</t>
  </si>
  <si>
    <t>250 CAN X96 KINLEY 48LM 48PG DOLLY AT</t>
  </si>
  <si>
    <t>250 CAN X96 KINLEY 48LM 48PG CHEP AT</t>
  </si>
  <si>
    <t>250 CAN X96 KINLEY 24TW36LM36PG DOL AT</t>
  </si>
  <si>
    <t>250 CAN X96 KINLEY 24TW36LM36PG CHP AT</t>
  </si>
  <si>
    <t>1.0 PET X60 KINLEY 24TW24BL12PB DOLLY AT</t>
  </si>
  <si>
    <t>1.0 PET X60 KINLEY 24TW24BL12PB CHEP AT</t>
  </si>
  <si>
    <t>330 CAN 45X24 7CV3CZL5CZZ13SP17MM ROL AT</t>
  </si>
  <si>
    <t>330 CAN 45X24 7CV3CZL5CZZ13SP17MM HP AT</t>
  </si>
  <si>
    <t>330 CAN X240 96CCV72CCZL72CCZC DO AT</t>
  </si>
  <si>
    <t>330 CAN X240 96CCV72CCZL72CCZC CP AT</t>
  </si>
  <si>
    <t>330 CAN 45X4X6 COKE ZERO IPP AT</t>
  </si>
  <si>
    <t>330 CAN 45X4X6 FANTA ORANGE IPP AT</t>
  </si>
  <si>
    <t>500 NRG X48 LUCANO LIMONC SORR 30P CP AT</t>
  </si>
  <si>
    <t>500 PET X270 180CC 90CCZ FOOTBALL CHP AT</t>
  </si>
  <si>
    <t>500 PET X270 180CC 90CCZ FOOTBALL DOL AT</t>
  </si>
  <si>
    <t>500 CAN X756 18X24ENUWML27X12EZLHA HP AT</t>
  </si>
  <si>
    <t>Rewe HP</t>
  </si>
  <si>
    <t>1.0 RGB 6X2X6 COCA COLA CHEP AT</t>
  </si>
  <si>
    <t>1.0 RGB 6X2X6 COCA COLA DOLLY AT</t>
  </si>
  <si>
    <t>1.0 RGB 6X2X6 COKE ZERO CHEP AT</t>
  </si>
  <si>
    <t>1.0 RGB 6X2X6 COKE ZERO DOLLY AT</t>
  </si>
  <si>
    <t>400 RGB 48X4 COCA COLA DOLLY AT</t>
  </si>
  <si>
    <t>400 RGB 48X4 COCA COLA CHEP AT</t>
  </si>
  <si>
    <t>400 RGB 48X4 COKE ZERO DOLLY AT</t>
  </si>
  <si>
    <t>400 RGB 48X4 COKE ZERO CHEP AT</t>
  </si>
  <si>
    <t>500 PET X270 CCRCZFAOMMSPCZZ MUSIC DO AT</t>
  </si>
  <si>
    <t>500 PET X270 CCRCZFAOMMSPCZZ MUSIC CP AT</t>
  </si>
  <si>
    <t>700 NRG X36 FINLANDIA 24XVOD12REDB DO AT</t>
  </si>
  <si>
    <t>700 NRG X36 FINLANDIA 24XVOD12REDB CP AT</t>
  </si>
  <si>
    <t>2590101</t>
  </si>
  <si>
    <t>1.0 PET 35X6 15TW10BL10PB ONPACK ROL AT</t>
  </si>
  <si>
    <t>2590901</t>
  </si>
  <si>
    <t>1.0 PET 85X6 35TW25BL25PB ONPACK EP AT</t>
  </si>
  <si>
    <t>2590102</t>
  </si>
  <si>
    <t>1.0 PET 35X6 15TW10BL10PB ONPACK HP AT</t>
  </si>
  <si>
    <t>2158805</t>
  </si>
  <si>
    <t>1.0 RGB 12X2X6 RQ CARB ONPACK ROLLY AT</t>
  </si>
  <si>
    <t>2589702</t>
  </si>
  <si>
    <t>1.0 RGB 12X2X6 RQ STILL ONPACK ROLLY AT</t>
  </si>
  <si>
    <t>2589701</t>
  </si>
  <si>
    <t>1.0 RGB 12X2X6 RQ STILL ROLLY AT</t>
  </si>
  <si>
    <t>250 CAN X144 CCZ CREATIONS OREO DOLLY AT</t>
  </si>
  <si>
    <t>250 CAN X144 CCZ CREATIONS OREO CHEP AT</t>
  </si>
  <si>
    <t>330 CAN X160 FANTA 80FASTRA80FAEX CHP AT</t>
  </si>
  <si>
    <t>500 PET 72X8 RQ 42CARB 30STILL IPP AT</t>
  </si>
  <si>
    <t>500 PET 72X8 RQ STILL IPP AT</t>
  </si>
  <si>
    <t>330 CAN X144 72FABJZ 72FAO DOLLY AT</t>
  </si>
  <si>
    <t>330 CAN X144 72FABJZ 72FAO CHEP AT</t>
  </si>
  <si>
    <t>500 CAN X1512 46X24EWFML34X12EZLHR EP AT</t>
  </si>
  <si>
    <t>330 CAN 40X4X6 20CCR 12CCZ 8FAO HP AT</t>
  </si>
  <si>
    <t>500 PET 108X6 66CCR 25CCZ 17FAO HP AT</t>
  </si>
  <si>
    <t>330 CAN X12 COCA-COLA SLEEK FRIDGE AT</t>
  </si>
  <si>
    <t>330 CAN X12 COKE ZERO SLEEK FRIDGE AT</t>
  </si>
  <si>
    <t>330 CAN X12 CCZ CAF FREE SLEEK FRIDGE AT</t>
  </si>
  <si>
    <t>500/330 PET/CAN X200 FOZLEXM40FZBJ DO AT</t>
  </si>
  <si>
    <t>500/330 PET/CAN X200 FOZLEXM40FZBJ CP AT</t>
  </si>
  <si>
    <t>500 PET X162 FUZE 54PH54LG18FF36PZ CP AT</t>
  </si>
  <si>
    <t>500 PET X162 FUZE 54PH54LG18FF36PZ DO AT</t>
  </si>
  <si>
    <t>330 CAN 80X12 48CCR24CCZ8CZZ FRIDG HP AT</t>
  </si>
  <si>
    <t>330 CAN 80X12 48CCR24CCZ8CZZ FRIDG ROL AT</t>
  </si>
  <si>
    <t>330 CAN 80X12 52CCR28CCZ FRIDG HP AT</t>
  </si>
  <si>
    <t>330 CAN 80X12 52CCR28CCZ FRIDG ROL AT</t>
  </si>
  <si>
    <t>1.0 PET 75X4 RQ BIOLIMO 45LM30MP HP AT</t>
  </si>
  <si>
    <t>1.5 PET 36X6 12CZ14FO6MM2SPFOZ HP AT</t>
  </si>
  <si>
    <t>1.5 PET 36X6 12CZ14FO6MM2SPFOZ DRS HP AT</t>
  </si>
  <si>
    <t>DRS</t>
  </si>
  <si>
    <t>1.0 PET 75X4 RQ BIOLIM LMMP DRS HF HP AT</t>
  </si>
  <si>
    <t>2025 /DRS</t>
  </si>
  <si>
    <t>1.5 PET 40X6 RQ STILL DRS HP AT</t>
  </si>
  <si>
    <t xml:space="preserve"> DRS </t>
  </si>
  <si>
    <t>2522301  </t>
  </si>
  <si>
    <t xml:space="preserve">1.5 PET 36X6 21CCZ11FAO4SP LITETOP HP AT             </t>
  </si>
  <si>
    <t xml:space="preserve">1.5 PET 36X6 CZFOSP LITETOP DRS HP HF AT  </t>
  </si>
  <si>
    <t>330 CAN 40X4X6 20CCR 12CCZ 8FAO DRS HP HF AT</t>
  </si>
  <si>
    <t xml:space="preserve">330 CAN 180X6 81CC 63CCZ 36FAO IPP AT   </t>
  </si>
  <si>
    <t xml:space="preserve">330 CAN 180X6 81CC 63CCZ 36FAO DRS IPP AT   </t>
  </si>
  <si>
    <t>330 CAN X144 96CCR 48CCZ DOLLY AT</t>
  </si>
  <si>
    <t>330 CAN X144 96CCR 48CCZ CHEP AT</t>
  </si>
  <si>
    <t>330 CAN X144 96CCR 48CCZ DRS DOLLY AT</t>
  </si>
  <si>
    <t>330 CAN X144 96CCR 48CCZ DRS CHEP AT</t>
  </si>
  <si>
    <t>1.0 PET 44X6 19CC8CCZ4CCZLCZZSP5FA IPP AT</t>
  </si>
  <si>
    <t>1.0 PET 44X6 19CC8CCZ4CCZLCZZSP5FA DRS IPP AT</t>
  </si>
  <si>
    <t>1637412</t>
  </si>
  <si>
    <t xml:space="preserve">1.0 PET X136 80CCR 40CCZ 16CZZ Dolly AT </t>
  </si>
  <si>
    <t>1637410</t>
  </si>
  <si>
    <t xml:space="preserve">1.0 PET X136 80CCR 40CCZ 16CZZ Chep AT </t>
  </si>
  <si>
    <t xml:space="preserve">1.0 PET 44X6 28CCR 12CCZ 4CZZ Rolly AT </t>
  </si>
  <si>
    <t xml:space="preserve">1.0 PET 44X6 28CCR 12CCZ 4CZZ HP AT </t>
  </si>
  <si>
    <t xml:space="preserve">1.0 PET X136 80CCR 40CCZ 16CZZ DRS Dolly AT </t>
  </si>
  <si>
    <t xml:space="preserve">1.0 PET X136 80CCR 40CCZ 16CZZ DRS Chep AT </t>
  </si>
  <si>
    <t xml:space="preserve">1.0 PET 44X6 28CCR 12CCZ 4CZZ DRS ROL AT </t>
  </si>
  <si>
    <t xml:space="preserve">1.0 PET 44X6 28CCR 12CCZ 4CZZ DRS HP AT </t>
  </si>
  <si>
    <t>1582412 </t>
  </si>
  <si>
    <t xml:space="preserve">500 PET X270 120CC 90CZ 30FO 30SP NEW CP AT                                        </t>
  </si>
  <si>
    <t xml:space="preserve">500 PET X270 120CR90CZ30FO0SP DRS CP AT                                        </t>
  </si>
  <si>
    <t xml:space="preserve">330 CAN X240 120CC72CCZ24FAO24SP CHEP AT                                       </t>
  </si>
  <si>
    <t xml:space="preserve">330 CAN X240 120CR72CZ24FOSP DRS CP AT                                       </t>
  </si>
  <si>
    <t xml:space="preserve">500 PET X162 FUZETEA 54PE LE 36PEZ 18WB CHE AT                            </t>
  </si>
  <si>
    <t xml:space="preserve">500 PET X162 FUZE 54PELE36PEZ18FF DRS CP AT                            </t>
  </si>
  <si>
    <t xml:space="preserve">500 PET X162 FUZETEA 54PE LE 36PEZ 18WB DOL AT                            </t>
  </si>
  <si>
    <t xml:space="preserve">500 PET X162 FUZE 54PELE36PEZ18FF DRS DO AT                            </t>
  </si>
  <si>
    <t xml:space="preserve">500 PET X120 POWERADE MOUNTAIN CHEP AT                                      </t>
  </si>
  <si>
    <t xml:space="preserve">500 PET X120 POWERADE MOUNTAIN DRS CP AT                                      </t>
  </si>
  <si>
    <t xml:space="preserve">500 PET X120 POWERADE MOUNTAIN DOL AT                                         </t>
  </si>
  <si>
    <t xml:space="preserve">500 PET X120 POWERADE MOUNTAIN DRS DO AT                                         </t>
  </si>
  <si>
    <t xml:space="preserve">500 PET X120 POW 60MB30MBZ30GM DOLLY AT                                    </t>
  </si>
  <si>
    <t xml:space="preserve">500 PET X120 POW 60MB30MBZ30GM DRS DOLLY AT                                    </t>
  </si>
  <si>
    <t>330/250 CAN X240 60CRCZ 60LMPG DRS DO AT</t>
  </si>
  <si>
    <t>330/250 CAN X240 60CRCZ 60LMPG DRS CP AT</t>
  </si>
  <si>
    <t>330 CAN 16X24 7MM 5SP 4CCR CHEP AT</t>
  </si>
  <si>
    <t>330 CAN 45X24 23MM 13SP 9CCR HP AT</t>
  </si>
  <si>
    <t>330 CAN 16X24 7MM 5SP 4CCR DRS CHEP AT</t>
  </si>
  <si>
    <t>330 CAN 45X24 23MM 13SP 9CCR DRS HP AT</t>
  </si>
  <si>
    <t>500 PET X270 FAOFOZFMFZLFZEX DRS DO AT</t>
  </si>
  <si>
    <t>500 PET X270 FAOFOZFMFZLFZEX DRS CP AT</t>
  </si>
  <si>
    <t>500 PET X270 90FAO60FOZFM30FZLFZEX DO AT</t>
  </si>
  <si>
    <t>500 PET X270 90FAO60FOZFM30FZLFZEX CP AT</t>
  </si>
  <si>
    <t>2637901</t>
  </si>
  <si>
    <t>1.0 RGB 12X2X6 9CARB 3STILL ROLLY AT</t>
  </si>
  <si>
    <t>2637902</t>
  </si>
  <si>
    <t>1.0 RGB 12X2X6 9CARB 3STILL HP AT</t>
  </si>
  <si>
    <t>1.5 PET 36X6 24CCZ 12FAO DRS HP AT</t>
  </si>
  <si>
    <t>1.5 PET 36X6 20CCZ 8FAO 4MM 4SP DRS HP AT</t>
  </si>
  <si>
    <t>1.5 PET 36X6 20CCZ 8FAO 4MM 4SP LTP DRS HP AT</t>
  </si>
  <si>
    <t>2522314</t>
  </si>
  <si>
    <t>1.5 PET 36X6 24CCZ 12FAO HP AT</t>
  </si>
  <si>
    <t>URGENT !</t>
  </si>
  <si>
    <t>2522313</t>
  </si>
  <si>
    <t>1.5 PET 36X6 20CCZ 8FAO 4MM 4SP HP AT</t>
  </si>
  <si>
    <t>2522312</t>
  </si>
  <si>
    <t>1.5 PET 36X6 20CCZ8FAO4MMSP LTP HP AT</t>
  </si>
  <si>
    <t>1.5 PET 36X6 15FO8MM7SP6FAL DRS HP HF AT</t>
  </si>
  <si>
    <t>1.5 PET 36X6 15FO8MM7SP6FZL DRS HP HF AT</t>
  </si>
  <si>
    <t>1.5 PET 36X6 CZ8FO4SPFALFOZ DRS HP HF AT</t>
  </si>
  <si>
    <t>1.5 PET 36X6 CZ8FO4SPFZLFOZ DRS HP HF AT</t>
  </si>
  <si>
    <t>1.5 PET 36X6 26CCZ6FAOZ4SPZ DRS HP HF AT</t>
  </si>
  <si>
    <t>1.5 PET 36X6 30CCR 6MM DRS HP HF AT</t>
  </si>
  <si>
    <t>330 CAN X144 COKE ZERO LIME DRS DO AT</t>
  </si>
  <si>
    <t>330 CAN X144 COKE ZERO LIME DRS CP AT</t>
  </si>
  <si>
    <t>2.0 PET 48X4 COCA COLA HP HF AT</t>
  </si>
  <si>
    <t>2643302</t>
  </si>
  <si>
    <t xml:space="preserve">500 PETX140 80CCR 60CCZ DOLLY DRS AT </t>
  </si>
  <si>
    <t>2643301</t>
  </si>
  <si>
    <t xml:space="preserve">500 PETX140 80CCR 60CCZ CHEP DRS AT </t>
  </si>
  <si>
    <t>330 CAN X120 JACK&amp;COKE DRS DOLLY AT</t>
  </si>
  <si>
    <t>330 CAN X120 JACK&amp;COKE DRS CHEP AT</t>
  </si>
  <si>
    <t>330 CAN X140 JACK&amp;COKE DRS DOLLY AT</t>
  </si>
  <si>
    <t>330 CAN X140 JACK&amp;COKE DRS CHEP AT</t>
  </si>
  <si>
    <t>330 CAN X160 JACK&amp;COKE DRS DOLLY AT</t>
  </si>
  <si>
    <t>330 CAN X160 JACK&amp;COKE DRS CHEP AT</t>
  </si>
  <si>
    <t>500 CAN X120 MONST 48ENUW24ML DRS DO AT</t>
  </si>
  <si>
    <t>500 CAN X120 MONST 48ENUW24ML DRS CP AT</t>
  </si>
  <si>
    <t>500 CAN X160 MONST 60ENUW40ML DRS DOL AT</t>
  </si>
  <si>
    <t>500 CAN X160 MONST 60ENUW40ML DRS CP AT</t>
  </si>
  <si>
    <t>500 CAN X200 MONST 75ENUW50ML DRS DOL AT</t>
  </si>
  <si>
    <t>500 CAN X200 MONST 75ENUW50ML DRS CP AT</t>
  </si>
  <si>
    <t>500 CAN X200 MONST 80ENUW40ML DRS CP AT</t>
  </si>
  <si>
    <t>2.0 PET 48X4 COCA COLA DRS HP PY AT</t>
  </si>
  <si>
    <t>1.5 PET 36X6 COCA-COLA DRS HP HF AT</t>
  </si>
  <si>
    <t>1.5 PET 36X6 20FAO10SP6FAOZ DRS HP HF AT</t>
  </si>
  <si>
    <t>1.5 PET 36X6 28CCZ 8 MM DRS HP HF AT</t>
  </si>
  <si>
    <t>330 CAN 40X4X6 CC10CZ6FA4FZ DRS HP HF AT</t>
  </si>
  <si>
    <t>1.5 PET 36X6 22CCZ 10FAO 4MM DRS HP AT</t>
  </si>
  <si>
    <t>330 CAN X144 96FATFZ 48FAO DRS DO AT</t>
  </si>
  <si>
    <t>330 CAN X144 96FATFZ 48FAO DRS CP AT</t>
  </si>
  <si>
    <t>330 CAN X144 FA TUTTI FRUTI Z DRS DOL AT</t>
  </si>
  <si>
    <t>330 CAN X144 FA TUTTI FRUTI ZO DRS CP AT</t>
  </si>
  <si>
    <t>330 CAN X144 72FATFZ48FOZ24FAO DRS DO AT</t>
  </si>
  <si>
    <t>330 CAN X144 72FATFZ48FOZ24FAO DRS CP AT</t>
  </si>
  <si>
    <t>500 CAN X160 40ENZASML20UFUP DRS CP AT</t>
  </si>
  <si>
    <t>500 PET X120 45MB30MZ15GM30WC DRS DO AT</t>
  </si>
  <si>
    <t>500 PET X120 45MB30MZ15GM30WC DRS CP AT</t>
  </si>
  <si>
    <t>500 PET X120 45MB30MZ15GMWCBCZ DRS DO AT</t>
  </si>
  <si>
    <t>500 PET X120 45MB30MZ15GMWCBCZ DRS CP AT</t>
  </si>
  <si>
    <t>330 CAN X240 CCSPF CRAZY MIX 7V DRS D AT</t>
  </si>
  <si>
    <t>330 CAN X240 CCSPF CRAZY MIX 7V DRS C AT</t>
  </si>
  <si>
    <t>330 CAN X240 96CCH48CVCZLICZLE DRS DO AT</t>
  </si>
  <si>
    <t>330 CAN X240 96CCH48CVCZLICZLE DRS CP AT</t>
  </si>
  <si>
    <t>500 PET X270 CR60CZCH30CZZCZLE DRS DO AT</t>
  </si>
  <si>
    <t>500 PET X270 CR60CZCH30CZZCZLE DRS CP AT</t>
  </si>
  <si>
    <t>330 CAN X240 96CRCCH48CZ DRS DO AT</t>
  </si>
  <si>
    <t>330 CAN X240 96CRCCH48CZ DRS CP AT</t>
  </si>
  <si>
    <t>330 CAN X240 CRCH48CZ24CZZCZLE DRS DO AT</t>
  </si>
  <si>
    <t>750 PET X120 RQ EM PL MALC30AA DRS DO AT</t>
  </si>
  <si>
    <t>750 PET X120 RQ EM PL MALC30AA DRS CP AT</t>
  </si>
  <si>
    <t>330 CAN 16X6X4 8CCR5CCZ3FAO DRS DO AT</t>
  </si>
  <si>
    <t>330 CAN 16X6X4 8CCR5CCZ3FAO DRS CP AT</t>
  </si>
  <si>
    <t>330 CAN 16X3X8 8CCR5CCZ3FAO DRS DO AT</t>
  </si>
  <si>
    <t>330 CAN 16X3X8 8CCR5CCZ3FAO DRS CP AT</t>
  </si>
  <si>
    <t>330 CAN X144 96CCZLI 24CCZLECV DRS DO AT</t>
  </si>
  <si>
    <t>330 CAN X144 96CCZLI 24CCZLECV DRS CP AT</t>
  </si>
  <si>
    <t>2.0 PET 48X4 26CCR12CZ6FAO4SP DRS HP HF AT</t>
  </si>
  <si>
    <t>1.0 PET 44X6 20CR8CZFO4MMSP DRS HP HF AT</t>
  </si>
  <si>
    <t>500 PET 54X24 36CARB18STILL DRS EP HF AT</t>
  </si>
  <si>
    <t>1.5 PET 36X6 16FAO8SP6FAL6FAOZ HP HF AT</t>
  </si>
  <si>
    <t>500 CAN X120 MO 40UW20TSENUPML DRS DO AT</t>
  </si>
  <si>
    <t>500 CAN X120 MO 40UW20TSENUPML DRS CP AT</t>
  </si>
  <si>
    <t>500 CAN X120 MON 60RP40BA20EN DRS CP AT</t>
  </si>
  <si>
    <t>500 CAN X120 MON 60BA40ASL20EN DRS DO AT</t>
  </si>
  <si>
    <t>500 CAN X120 MON 60BA40ASL20EN DRS CP AT</t>
  </si>
  <si>
    <t>500 CAN X160 MO 40ENBAUW20TSAS DRS DO AT</t>
  </si>
  <si>
    <t>500 CAN X160 MO 40ENBAUW20TSAS DRS CP AT</t>
  </si>
  <si>
    <t>330 CAN 45X24 CCVMMCCHSPCZZCZL DRS HP AT</t>
  </si>
  <si>
    <t>500 PET X105 75CCR 30CCZ DRS DOLLY AT</t>
  </si>
  <si>
    <t>500 PET X105 75CCR 30CCZ DRS CHEP AT</t>
  </si>
  <si>
    <t>500 CAN X120 MONST 80UR20ENUW DRS DO AT</t>
  </si>
  <si>
    <t>500 CAN X120 MONST 80UR20ENUW DRS CP AT</t>
  </si>
  <si>
    <t>500 CAN X120 MONST 80US20ENUW DRS DO AT</t>
  </si>
  <si>
    <t>500 CAN X120 MONST 80US20ENUW DRS CP AT</t>
  </si>
  <si>
    <t>500 CAN X120 MONSTER 100AL20EN DRS DO AT</t>
  </si>
  <si>
    <t>500 CAN X120 MONSTER 100AL20EN DRS CP AT</t>
  </si>
  <si>
    <t>500 CAN X120 MONSTER 100BA20EN DRS DO AT</t>
  </si>
  <si>
    <t>500 CAN X120 MONSTER 100BA20EN DRS CP AT</t>
  </si>
  <si>
    <t>500 CAN X756 17X24EUM29X12TRB DRS HP AT</t>
  </si>
  <si>
    <t>500 CAN X1512 35X24EW56X12EABT DRS EP AT</t>
  </si>
  <si>
    <t>400 RGB 5X4 COCA COLA AT</t>
  </si>
  <si>
    <t>400 RGB 5X4 COKE ZERO AT</t>
  </si>
  <si>
    <t>500 PET X162 54FOFAL36FAM18FOZ DRS DO AT</t>
  </si>
  <si>
    <t>500 PET X162 54FOFAL36FAM18FOZ DRS CP AT</t>
  </si>
  <si>
    <t>500 PET X162 FU 54PHLG36VC18PZ DRS DO AT</t>
  </si>
  <si>
    <t>500 PET X162 FU 54PHLG36VC18PZ DRS CP AT</t>
  </si>
  <si>
    <t>500 PET X120 45MB30MZWC15BCZ DRS DO AT</t>
  </si>
  <si>
    <t>500 PET X120 45MB30MZWC15BCZ DRS CP AT</t>
  </si>
  <si>
    <t>250 CAN X144 BACARDI&amp;COKE DRS DOLLY AT</t>
  </si>
  <si>
    <t>250 CAN X144 BACARDI&amp;COKE DRS CHEP AT</t>
  </si>
  <si>
    <t>1.0 PET X136 96CCR 40MM DRS DOLLY AT</t>
  </si>
  <si>
    <t>1.0 PET X136 96CCR 40MM DRS CHEP AT</t>
  </si>
  <si>
    <t>330 CAN 120X4 64CCR40CCZ16FAO DRS DO AT</t>
  </si>
  <si>
    <t>330 CAN 120X4 64CCR40CCZ16FAO DRS CP AT</t>
  </si>
  <si>
    <t>330 CAN 56X8 32CCR16CCZ8FAO DRS DOLLY AT</t>
  </si>
  <si>
    <t>330 CAN 56X8 32CCR16CCZ8FAO DRS CHEP AT</t>
  </si>
  <si>
    <t>250 CAN X156 BACARDI&amp;COKE DRS DOLLY AT</t>
  </si>
  <si>
    <t xml:space="preserve">DRS </t>
  </si>
  <si>
    <t>250 CAN X156 BACARDI&amp;COKE DRS CHEP AT</t>
  </si>
  <si>
    <t>250/330 CAN X132 72BC&amp;CC60JA&amp;CC DRS D AT</t>
  </si>
  <si>
    <t>250/330 CAN X132 72BC&amp;CC60JA&amp;CC DRS C AT</t>
  </si>
  <si>
    <t>1.0 RGB 6X2X6 3CCR 3CCZ DOLLY AT</t>
  </si>
  <si>
    <t>330 CAN 16X24 8CCR6CZ2FAO DRS DOLLY AT</t>
  </si>
  <si>
    <t>330 CAN 45X24 32CCR5MM4SP4CCCH DRS HP AT</t>
  </si>
  <si>
    <t>1.0 PET 75X4 RQ BIOL OR MAN DRS HF HP AT</t>
  </si>
  <si>
    <t>1.0 PET X136 RQ BIOLIMO OR MAN DRS CP AT</t>
  </si>
  <si>
    <t>1.5 PET 36X6 COKE ZERO DRS PY HP AT</t>
  </si>
  <si>
    <t>2676002</t>
  </si>
  <si>
    <t>330 CAN 16X24 8CCR4MM4SP DRS CHEP AT</t>
  </si>
  <si>
    <t>2680801</t>
  </si>
  <si>
    <t>1.0 RGB 32X2X6 20CARB6MILD6STILL EP AT</t>
  </si>
  <si>
    <t>2680802</t>
  </si>
  <si>
    <t>1.0 RGB 32X2X6 26CARB 6STILL EP AT</t>
  </si>
  <si>
    <t>2197913</t>
  </si>
  <si>
    <t>750 PET 65X6 RQ EM 5V 10LCMA DRS HP AT</t>
  </si>
  <si>
    <t>1.0 RGB 32X2X6 20CR8CZ4FAO EP AT</t>
  </si>
  <si>
    <t>1595224</t>
  </si>
  <si>
    <t>1.0 PET 44X6 32CR4CCHCZLCCZZ DRS IPP AT</t>
  </si>
  <si>
    <t>2683501</t>
  </si>
  <si>
    <t>1.0 PET 44X6 18CZ16FAO6MM4SP DRS IPP AT</t>
  </si>
  <si>
    <t>2683401</t>
  </si>
  <si>
    <t>500 PET 72X4 POW MOUNT BT DRS HP HF AT</t>
  </si>
  <si>
    <t>1530103</t>
  </si>
  <si>
    <t>500 PET 60X4 POW MOUNT BT DRS DOL AT</t>
  </si>
  <si>
    <t>1530102</t>
  </si>
  <si>
    <t>500 PET 60X4 POW MOUNT BT DRS CP AT</t>
  </si>
  <si>
    <t>2683602</t>
  </si>
  <si>
    <t>500 PET X140 FZ 60PH40LG20VCPZ DRS DO AT</t>
  </si>
  <si>
    <t>2683601</t>
  </si>
  <si>
    <t>500 PET X140 FZ 60PH40LG20VCPZ DRS CP AT</t>
  </si>
  <si>
    <t>2684301</t>
  </si>
  <si>
    <t>400 RGB 44X4 COCA COLA DOLLY AT</t>
  </si>
  <si>
    <t>2684302</t>
  </si>
  <si>
    <t>400 RGB 44X4 COCA COLA CHEP AT</t>
  </si>
  <si>
    <t>2684402</t>
  </si>
  <si>
    <t>400 RGB 44X4 COKE ZERO DOLLY AT</t>
  </si>
  <si>
    <t>2684401</t>
  </si>
  <si>
    <t>400 RGB 44X4 COKE ZERO CHEP AT</t>
  </si>
  <si>
    <t>2685201</t>
  </si>
  <si>
    <t>700 NRG X36 FINLANDIA VODKA 40P DOL AT</t>
  </si>
  <si>
    <t>2685202</t>
  </si>
  <si>
    <t>700 NRG X36 FINLANDIA VODKA 40P CHEP AT</t>
  </si>
  <si>
    <t>2686001</t>
  </si>
  <si>
    <t>400 RGB 6X5X4 COCA COLA DOLLY AT</t>
  </si>
  <si>
    <t>2685901</t>
  </si>
  <si>
    <t>400 RGB 6X5X4 COKE ZERO DOLLY AT</t>
  </si>
  <si>
    <t>2686002</t>
  </si>
  <si>
    <t>400 RGB 6X5X4 COCA COLA CHEP AT</t>
  </si>
  <si>
    <t>2685902</t>
  </si>
  <si>
    <t>400 RGB 6X5X4 COKE ZERO CHEP AT</t>
  </si>
  <si>
    <t>1.0 PET X136 40CCCZ20FAOSP16MM DRS DO AT</t>
  </si>
  <si>
    <t>1.0 PET X136 40CCCZ20FAOSP16MM DRS CP AT</t>
  </si>
  <si>
    <t>500 CAN X120 MON 60LN40STD20EN DRS DO AT</t>
  </si>
  <si>
    <t>500 CAN X120 MON 60LN40STD20EN DRS CP AT</t>
  </si>
  <si>
    <t>500 CAN X160 MO 40UWRPLD20ENBA DRS DO AT</t>
  </si>
  <si>
    <t>500 CAN X160 MO 40UWRPLD20ENBA DRS CP AT</t>
  </si>
  <si>
    <t>500 CAN X120 MONST 100LN20EN DRS DO AT</t>
  </si>
  <si>
    <t>500 CAN X120 MONST 100LN20EN DRS CP AT</t>
  </si>
  <si>
    <t>500 CAN X120 MO 40LN20ENBAALUW DRS DO AT</t>
  </si>
  <si>
    <t>500 CAN X120 MO 40LN20ENBAALUW DRS CP AT</t>
  </si>
  <si>
    <t>500 CAN X160 MO 40LNENASLUW DRS DO AT</t>
  </si>
  <si>
    <t>500 CAN X160 MO 40LNENASLUW DRS CP AT</t>
  </si>
  <si>
    <t>500 CAN X200 50LNUW25ENEZASLBA DRS DO AT</t>
  </si>
  <si>
    <t>500 CAN X756 17X24EWML29X12 4V DRS HP AT</t>
  </si>
  <si>
    <t>1.5 PET 40X6 RQ STILL PROMO DRS HP AT</t>
  </si>
  <si>
    <t>1.5 PET 40X6 RQ CARB PROMO DRS HP AT</t>
  </si>
  <si>
    <t>330 CAN X144 96FABZ 24FAOFAOZ DRS DO AT</t>
  </si>
  <si>
    <t>DRS (Halloween)</t>
  </si>
  <si>
    <t>330 CAN X144 96FABZ 24FAOFAOZ DRS CP AT</t>
  </si>
  <si>
    <t>500/330 PET/CAN X200 4V 40FBZFO DRS D AT</t>
  </si>
  <si>
    <r>
      <t>500/330 PET/CAN X200 4V 40</t>
    </r>
    <r>
      <rPr>
        <b/>
        <sz val="11"/>
        <color rgb="FF000000"/>
        <rFont val="Calibri"/>
        <family val="2"/>
      </rPr>
      <t>FBZFO DRS C AT</t>
    </r>
  </si>
  <si>
    <t>500/330 PET/CAN X200 4V 40FBZ DRS DO AT</t>
  </si>
  <si>
    <r>
      <t>500/330 PET/CAN X200 4V 40</t>
    </r>
    <r>
      <rPr>
        <b/>
        <sz val="11"/>
        <color rgb="FF000000"/>
        <rFont val="Calibri"/>
        <family val="2"/>
      </rPr>
      <t>FBZ DRS CP AT</t>
    </r>
  </si>
  <si>
    <t>500/330 PET/CAN X200 6V40CVCHZL DRS D AT</t>
  </si>
  <si>
    <t>500/330 PET/CAN X200 6V40CVCHZL DRS C AT</t>
  </si>
  <si>
    <t>1.5 PET 36X6 23CZ10FO3MM SHINK DRS HP AT</t>
  </si>
  <si>
    <t>330 CAN 45X24 29CCR9CCZ7FAO DRS HP AT</t>
  </si>
  <si>
    <t>1.0 PET 44X6 23CCR12CCZ9FAO DRS HP AT</t>
  </si>
  <si>
    <t xml:space="preserve">500 PETX105 30CRCZMM15CCZZ DRS DO AT </t>
  </si>
  <si>
    <t xml:space="preserve">500 PETX105 30CRCZMM15CCZZ DRS CP AT </t>
  </si>
  <si>
    <t>500 PET X270 90CRCZ30CZZ60MM DRS DO AT</t>
  </si>
  <si>
    <t>500 PET X270 90CRCZ30CZZ60MM DRS CP AT</t>
  </si>
  <si>
    <t xml:space="preserve">330 CAN 180X6 116CCR36CZ28FAO DRS HP AT </t>
  </si>
  <si>
    <t>330 CAN X144 48CCZLICCCHCCV DRS CHEP AT</t>
  </si>
  <si>
    <t>330 CAN X144 48CCZLICCCHCCV DRS DOLLY AT</t>
  </si>
  <si>
    <t>1.0 RGB 16X2X6 8CCR4CZ4FAO TOSKA AT</t>
  </si>
  <si>
    <t>1.5 PET 36X6 32CCR 4MM DRS IPP AT</t>
  </si>
  <si>
    <t>1.0 PET X60 KINLEY PURPLE DRS DOLLY AT</t>
  </si>
  <si>
    <t>1.0 PET X60 KINLEY PURPLE DRS CHEP AT</t>
  </si>
  <si>
    <t>1.5 PET 36X6 20CZ6FO4FLSP2FOZ DRS IPP AT</t>
  </si>
  <si>
    <t>2.0 PET 48X4 28CCR 14CCZ 6FAO DRS HP AT</t>
  </si>
  <si>
    <t>2.0 PET 48X4 COCA COLA PROMO DRS IPP AT</t>
  </si>
  <si>
    <t>2.0 PET 48X4 28CZ16FO4SP PROM DRS IPP AT</t>
  </si>
  <si>
    <t>330 CAN X144 72CCRCCZZ DRS CHEP AT</t>
  </si>
  <si>
    <t>330 CAN X144 72CCRCCZZ DRS DOLLY AT</t>
  </si>
  <si>
    <t>500 PET 108X12 PW 60MB30MZ18WC DRS EP AT</t>
  </si>
  <si>
    <t>330 CAN X144 48CCRCCZCZZ CHEP DRS AT</t>
  </si>
  <si>
    <t>330 CAN X144 48CCRCCZCZZ DOLLY DRS AT</t>
  </si>
  <si>
    <t>330 CAN 45X24 27FO9CV9MM DRS TOSKA AT</t>
  </si>
  <si>
    <t xml:space="preserve">330 CAN 110X24 60FAO30CCV20MM DRS EP AT </t>
  </si>
  <si>
    <t xml:space="preserve">500 PET X270 90CCRCCZCZZ DRS DOLLY AT </t>
  </si>
  <si>
    <t xml:space="preserve">500 PET X270 90CCRCCZCZZ DRS CHEP AT </t>
  </si>
  <si>
    <t>500/330 PET/CAN X200 4V 40FAO DRS DO AT</t>
  </si>
  <si>
    <t>500/330 PET/CAN X200 4V 40FAO DRS CP AT</t>
  </si>
  <si>
    <t xml:space="preserve">500/330 PET/CAN X200 4V 40FAO DRS DO AT </t>
  </si>
  <si>
    <t xml:space="preserve">500/330 PET/CAN X200 4V 40FAO DRS CP AT </t>
  </si>
  <si>
    <t xml:space="preserve">330 CAN X144 72CCZCZZ DOLLY DRS AT </t>
  </si>
  <si>
    <t xml:space="preserve">330 CAN X144 72CCZCZZ CHEP DRS AT </t>
  </si>
  <si>
    <t xml:space="preserve">500 PET X270 150CCZ120CZZ DRS DOL AT </t>
  </si>
  <si>
    <t xml:space="preserve">500 PET X270 150CCZ120CZZ DRS CP AT </t>
  </si>
  <si>
    <t>330 CAN 45X24 27CCR18CCZ DRS TOSKA AT</t>
  </si>
  <si>
    <t>1.0 RGB 12X2X6 9CARB 3STILL ONPACK HP AT</t>
  </si>
  <si>
    <t>500/330 PET/CAN X200 5V 40SP DRS DOLY AT</t>
  </si>
  <si>
    <t>500/330 PET/CAN X200 4V 40FCC DRS CP AT</t>
  </si>
  <si>
    <t>750 PET 65X6 RQ BMBMHPLG5MAC DRS HP6V AT</t>
  </si>
  <si>
    <t>750 PET 65X6 RQ EM BMBLMHPLG DRS HP5V AT</t>
  </si>
  <si>
    <t xml:space="preserve">500 PET X120 40AWLLAWPA20MZMB DRS CP AT </t>
  </si>
  <si>
    <t>500 CAN X24 MON 12UW6EN6ML MIXED DRS AT</t>
  </si>
  <si>
    <t xml:space="preserve">500 CAN 72X24 MO MIX12UW6EN6ML DRS EP AT </t>
  </si>
  <si>
    <t>500/330 PET/CAN X200 4V40FC REW DRS C AT</t>
  </si>
  <si>
    <t>500 PET X162 FUZ 54PHLL36SM18PZ DRS D AT</t>
  </si>
  <si>
    <t>500 PET X162 FUZ 54PHLL36SM18PZ DRS C AT</t>
  </si>
  <si>
    <t>500 CAN X120 MON 40UWTS20ENML DRS CHEP AT</t>
  </si>
  <si>
    <t>500 CAN X120 MON 40UWTS20ENML DRS DOL AT</t>
  </si>
  <si>
    <t>500 CAN X120 MO 40UW20ENLNROML DRS CP AT</t>
  </si>
  <si>
    <t>500 CAN X120 MO 40UW20ENLNROML DRS DO AT</t>
  </si>
  <si>
    <t>500 CAN X160 40UWVB20ENLNRORR DRS CP AT</t>
  </si>
  <si>
    <t>500 CAN X756 21X24EWML21X12 4V DRS HP AT</t>
  </si>
  <si>
    <r>
      <t>500 CAN X160 MO 40UWLNRO20EN</t>
    </r>
    <r>
      <rPr>
        <b/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000000"/>
        <rFont val="Calibri"/>
        <family val="2"/>
      </rPr>
      <t>DRS CP AT</t>
    </r>
  </si>
  <si>
    <r>
      <t>500 CAN X160 MO 40UWLNRO20EN</t>
    </r>
    <r>
      <rPr>
        <b/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000000"/>
        <rFont val="Calibri"/>
        <family val="2"/>
      </rPr>
      <t>DRS DO AT</t>
    </r>
  </si>
  <si>
    <r>
      <t>500 CAN X200 MO 50UWLNRO25EN</t>
    </r>
    <r>
      <rPr>
        <b/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000000"/>
        <rFont val="Calibri"/>
        <family val="2"/>
      </rPr>
      <t>DRS DO AT</t>
    </r>
  </si>
  <si>
    <t>500 CAN X1512 42X24WEM42X12TLR DRS EP AT</t>
  </si>
  <si>
    <t>500 CAN X336 11X24ENUWML6X12TS DRS CP AT</t>
  </si>
  <si>
    <t>500 CAN X336 11X24ENUWML6X12TS DRS DO AT</t>
  </si>
  <si>
    <t>500 CAN X200 MON 100UW60EN40TS DRS CP AT</t>
  </si>
  <si>
    <t>1.5 PET 40X6 21CARB8MD11STILL DRS IPP AT</t>
  </si>
  <si>
    <t>500 CAN X120 40UW20ENLNRORR DRS CHEP AT</t>
  </si>
  <si>
    <t>500 CAN X120 40UW20ENLNRORR DRS DOLLY AT</t>
  </si>
  <si>
    <t>1.5 PET 36x6 16FAO8SP6MM6FAOZ DRS TOSKA AT</t>
  </si>
  <si>
    <t>1.5 PET 36X6 COKE ZERO DRS TOSKA AT</t>
  </si>
  <si>
    <t>1.5 PET 36X6 COKE SHRINK DRS IPP AT</t>
  </si>
  <si>
    <t>1.5 PET 36X6 COKE ZERO SHRINK DRS IPP AT</t>
  </si>
  <si>
    <t>1.5 PET 36X6 22CZ10FO4SP SHRK DRS IPP AT</t>
  </si>
  <si>
    <t>1.5 PET 36X6 20FO10SP6MM SHRK DRS IPP AT</t>
  </si>
  <si>
    <t>330 CAN X 144 SPRITE CHILL DRS CP AT</t>
  </si>
  <si>
    <t>330 CAN X 144 SPRITE CHILL DRS DO AT</t>
  </si>
  <si>
    <t>330 CAN 40X4X6 16CC16CZ8FAO DRS TOSKA AT</t>
  </si>
  <si>
    <t>500 PET X120 45AWLLAWPA15MBZMB DRS CP AT</t>
  </si>
  <si>
    <t>500 PET X120 45AWLLAWPA15MBZMB DRS DO AT</t>
  </si>
  <si>
    <t>330 CAN X240 120CCR120CCZ DRS DOLLY AT</t>
  </si>
  <si>
    <t>330 CAN X240 120CCR120CCZ DRS CHEP AT</t>
  </si>
  <si>
    <t>500 PET X270 150CCZ120CCR DRS DOLLY AT</t>
  </si>
  <si>
    <t>500 PET X270 150CCZ120CCR DRS CHEP AT</t>
  </si>
  <si>
    <t>500 PET X270 150CCZ120CCR FIFA DRS DO AT</t>
  </si>
  <si>
    <t>500 PET X270 150CCZ120CCR FIFA DRS CP AT</t>
  </si>
  <si>
    <t>500 PET X120 45MID45ATT30DEF DRS CP AT</t>
  </si>
  <si>
    <t>500 PET X120 45MID45ATT30DEF DRS DO AT</t>
  </si>
  <si>
    <t>1.5 PET 36X6 10CL8SPSPZ6FOZ4FL DRS HP AT</t>
  </si>
  <si>
    <t>250/330 CAN X84 60JA&amp;CC24BC&amp;CC DRS CP AT</t>
  </si>
  <si>
    <t>250/330 CAN X84 60JA&amp;CC24BC&amp;CC DRS DO AT</t>
  </si>
  <si>
    <t>500 PET 36X24 16CCRCCZ4FAO SRP DRS EP AT</t>
  </si>
  <si>
    <t>500 PET X270 CRCZCZZCZLCH FIFA DRS DO AT</t>
  </si>
  <si>
    <t>500 PET X270 CRCZCZZCZLCH FIFA DRS CP AT</t>
  </si>
  <si>
    <t>2.0 PET 24X4 10CCRCCZ 4FAO DRS DOLLY AT</t>
  </si>
  <si>
    <t>Artikel wird nicht benötigt</t>
  </si>
  <si>
    <t>2.0 PET 24X4 10CCRCCZ 4FAO DRS CHEP AT</t>
  </si>
  <si>
    <t>500 PET X120 PW 45MBMBZ30WC DRS CHEP AT</t>
  </si>
  <si>
    <t>500 PET X120 PW 45MBMBZ30WC DRS DOL AT</t>
  </si>
  <si>
    <t>500 PET X120 POW 60MB60MBZ DRS CHEP AT</t>
  </si>
  <si>
    <t>500 PET X120 POW 60MB60MBZ DRS DOLLY AT</t>
  </si>
  <si>
    <t>500 PET 16X24 6CCV4SP4CCZZ2MM DRS CP AT</t>
  </si>
  <si>
    <t>750 PET 145X6 RQ EM 6V DRS EP AT</t>
  </si>
  <si>
    <t>330 CAN 54X10 27CR18CZ9FO FRID DRS DO AT</t>
  </si>
  <si>
    <t>330 CAN 54X10 27CR18CZ9FO FRID DRS CP AT</t>
  </si>
  <si>
    <t>330 CAN 117X10 60CR36CZ21FO FD DRS RO AT</t>
  </si>
  <si>
    <t>330 CAN 117X10 60CR36CZ21FO FD DRS HP AT</t>
  </si>
  <si>
    <t>1.0 PET 44X6 16CZFO4SPFCSPC DRS TOSKA AT</t>
  </si>
  <si>
    <t>1.0 PET 44X6 28CR8CZZ4CCHMM DRS TOSKA AT</t>
  </si>
  <si>
    <t xml:space="preserve">1.0 PET 44X6 16CZFO4SPFCSPC DRS IPP AT </t>
  </si>
  <si>
    <t>1.0 PET 44X6 28CR8CZZ4CCHMM DRS IPP AT</t>
  </si>
  <si>
    <t xml:space="preserve">330 CAN X144 PWRD MB DRS CHEP AT </t>
  </si>
  <si>
    <t xml:space="preserve">330 CAN X144 PWRD MB DRS DOLLY AT </t>
  </si>
  <si>
    <t>500 PET X105 60CCZ45CCR DRS DOLLY AT</t>
  </si>
  <si>
    <t>500 PET X105 60CCZ45CCR DRS CHEP AT</t>
  </si>
  <si>
    <t>500 PET 108X12 PW MBMZWCAWLAWP DRS EP AT</t>
  </si>
  <si>
    <t>1.0 PET 44X6 22CCR22CCZ DRS ROLLY AT</t>
  </si>
  <si>
    <t>1.0 PET 44X6 22CCR22CCZ DRS HP AT</t>
  </si>
  <si>
    <t xml:space="preserve">330 CAN X144 72FACC48FA24FAL DRS CP AT </t>
  </si>
  <si>
    <t>330 CAN X144 72FACC48FA24FAL DRS DO AT</t>
  </si>
  <si>
    <t>1.0 PET X60 KINLEY 36TW24PU DRS DO AT</t>
  </si>
  <si>
    <t>1.0 PET X60 KINLEY 36TW24PU DRS CP AT</t>
  </si>
  <si>
    <t>500 PET X140 FZ 60PH40LG20SMPZ DRS DO AT</t>
  </si>
  <si>
    <t>500 PET X140 FZ 60PH40LG20SMPZ DRS CP AT</t>
  </si>
  <si>
    <t>1.5 PET 36X6 16CRCZ4FAO SHRINK DRS HP AT</t>
  </si>
  <si>
    <t>330 CAN 45X24 27FAO9CCV9CZZ DRS TOSKA AT</t>
  </si>
  <si>
    <t>500 PET 108X12 36MB18MZATTDEFMID DRS EP AT</t>
  </si>
  <si>
    <t>500 PET X270 60CRZ30ZZFOFZSPSZ DRS DO AT</t>
  </si>
  <si>
    <t>500 PET X270 60CRZ30ZZFOFZSSZ DRS 4IP AT</t>
  </si>
  <si>
    <t>500 PET X105 60MMR45MMZ DRS DOLLY AT</t>
  </si>
  <si>
    <t>2.0 PET 18X4 8CCZ 7CCR 3FAO DRS DOLLY AT</t>
  </si>
  <si>
    <t>2.0 PET 18X4 8CCZ 7CCR 3FAO DRS 4IPP AT</t>
  </si>
  <si>
    <t>500 PET X162 108MMR54MMZ DRS 4IPP AT</t>
  </si>
  <si>
    <t>1.0 RGB 16X2X6 12CARB 4STILL TOSKA AT</t>
  </si>
  <si>
    <t>500 PET 45X6 20CRCZ 5FAO DRS DOLLY AT</t>
  </si>
  <si>
    <t>500 PET 45X6 20CRCZ 5FAO DRS 4IPP AT</t>
  </si>
  <si>
    <t>1.0 PET 44X6 12CRCZ8FAOCZZ4SP DRS HP AT</t>
  </si>
  <si>
    <t>1.0 PET 44X6 12CRCZ8FAOCZZ4SP DRS ROL AT</t>
  </si>
  <si>
    <t>330 CAN 45X24 CCR DRS IPP AT</t>
  </si>
  <si>
    <t>330 CAN 45X24 CCZ DRS IPP AT</t>
  </si>
  <si>
    <t>1.5 PET 36X2 18CCR18CCZ DRS DOLLY AT</t>
  </si>
  <si>
    <t>1.5 PET 36X2 18CCR18CCZ DRS 4IPP AT</t>
  </si>
  <si>
    <t>1.5 PET 72X2 36CCR36CCZ DRS HP AT</t>
  </si>
  <si>
    <t>1.5 PET 72X2 36CCR36CCZ DRS ROLLY AT</t>
  </si>
  <si>
    <t>330 CAN X144 CVCLZMMSPCFLFACC DRS 4IP AT</t>
  </si>
  <si>
    <t>330 CAN X144 CVCLZMMSPCFLFACC DRS DOL AT</t>
  </si>
  <si>
    <t xml:space="preserve">500/200 PET/CAN X214 5V54CRCZ DRS DO AT </t>
  </si>
  <si>
    <t xml:space="preserve">500/200 PET/CAN X214 5V54CRCZ DRS 4IP AT </t>
  </si>
  <si>
    <t xml:space="preserve">500/200 PET/CAN X214 6V54CRCZ DRS DO AT </t>
  </si>
  <si>
    <t xml:space="preserve">500/200 PET/CAN X214 6V54CRCZ DRS 4IP AT </t>
  </si>
  <si>
    <t xml:space="preserve">1.0 PET 44X6 22CCR14CCZ8CZZ DRS HP AT </t>
  </si>
  <si>
    <t>1.0 PET 44X6 22CCR14CCZ8CZZ DRS ROL AT</t>
  </si>
  <si>
    <t xml:space="preserve">330 CAN 45X24 32CCR5MM4SPFAL DRS HP AT </t>
  </si>
  <si>
    <t>330 CAN 16X24 6CCR4FAL3MMSP DRS 4IPP AT</t>
  </si>
  <si>
    <t xml:space="preserve">330 CAN 45X24 FAOFACCFALSPSPC DRS HP AT </t>
  </si>
  <si>
    <t>330 CAN 45X24 FAOFACCFALSPSPC DRS ROL AT</t>
  </si>
  <si>
    <t>750 PET X120 105BMBLMHAZ15MAC DRS 4IP AT</t>
  </si>
  <si>
    <t>750 PET X120 105BMBLMHAZ15MAC DRS DO AT</t>
  </si>
  <si>
    <t xml:space="preserve">330 CAN 180X6 78CRCZ24FA PROM DRS HP AT </t>
  </si>
  <si>
    <t>330 CAN 180X6 78CRCZ24FA PROM DRS ROL AT</t>
  </si>
  <si>
    <t>330 CAN 80X6 36CRCZ8FAO PROM DRS DOL AT</t>
  </si>
  <si>
    <t>330 CAN 80X6 36CRCZ8FAO PROM DRS 4IP AT</t>
  </si>
  <si>
    <t xml:space="preserve">330 CAN 180X6 78CRCZ24FA DRS HP AT </t>
  </si>
  <si>
    <t>330 CAN 180X6 78CRCZ24FA DRS ROL AT</t>
  </si>
  <si>
    <t>330 CAN 80X6 36CRCZ8FAO DRS DOL AT</t>
  </si>
  <si>
    <t>330 CAN 80X6 36CRCZ8FAO DRS 4IP AT</t>
  </si>
  <si>
    <t xml:space="preserve">330 CAN 16X24 CCR CZLICZLECCH DRS 4IP AT </t>
  </si>
  <si>
    <t xml:space="preserve">2.0 PET 48X4 36CCR 12CCZ DRS HP AT </t>
  </si>
  <si>
    <t>750 PET 65X6 RQ BMBLMHAZLGMAC DRS HP AT</t>
  </si>
  <si>
    <t>330 CAN 45X24 18FO9CVCZZSP DRS TOSKA AT</t>
  </si>
  <si>
    <t>330 CAN 40X4X6 20CC12CCZ8FAO DRS IPP AT</t>
  </si>
  <si>
    <t>1.5 PET 32X6 8CZZSPSPZ 4FAOZFL DRS HP AT</t>
  </si>
  <si>
    <t>500 PET 72X8 RQ 42CB 30ST DRS HP PNY AT</t>
  </si>
  <si>
    <t>created for</t>
  </si>
  <si>
    <t>500 PET X24 ROEMERQUELLE STILL CZSK</t>
  </si>
  <si>
    <t>NUR FÜR EXPORT</t>
  </si>
  <si>
    <t>n/a</t>
  </si>
  <si>
    <t>wurde von X12 auf X24 geändert</t>
  </si>
  <si>
    <t>1.5 PET X6 ROEMERQUELLE STILL CZSK</t>
  </si>
  <si>
    <t>1.5 PET X6 ROEMERQUELLE CARB CZSK</t>
  </si>
  <si>
    <t>1.5 PET X6 ROEMERQUELLE MED CZSK</t>
  </si>
  <si>
    <t>375 PET X12 RQ BIOLIMO OR MAN PSFRT CZSK</t>
  </si>
  <si>
    <t>375 PET X12 RQ BIOLIMO LIME MINT CZSK</t>
  </si>
  <si>
    <t>500 PET X12 RQ FLAVOR1 ABP CZSK</t>
  </si>
  <si>
    <t>1.5 PET X6 RQ FLAVOR2 ABP CZSK</t>
  </si>
  <si>
    <t>500 PET X12 RQ FLAVOR3 ABP CZSK</t>
  </si>
  <si>
    <t>1.5 PET X6 RQ FLAVOR1 ABP CZSK</t>
  </si>
  <si>
    <t>500 PET X12 RQ FLAVOR2 ABP CZSK</t>
  </si>
  <si>
    <t>1.5 PET X6 RQ FLAVOR3 ABP CZSK</t>
  </si>
  <si>
    <t>1.75 PET X4 COCA-COLA ZERO SK</t>
  </si>
  <si>
    <t>1.75 PET X8 COCA-COLA XMS SK</t>
  </si>
  <si>
    <t>1.75 PET X8 COCA-COLA ZERO XMS SK</t>
  </si>
  <si>
    <t>1.75 PET X6 COCA COLA ZERO ABP CZSK</t>
  </si>
  <si>
    <t>1.75 PET X6 COCA-COLA LIGHT ABP CZSK</t>
  </si>
  <si>
    <t>1.75 PET X6 COCA COLA ABP CZSK</t>
  </si>
  <si>
    <t>500 PET X12 BONAQUA ORANGE CARB SK</t>
  </si>
  <si>
    <t>1.5 PET X6 BONAQUA ORANGE CARB CZSK</t>
  </si>
  <si>
    <t>500 PET X12 BONAQUA ORANGE CARB CZ</t>
  </si>
  <si>
    <t>500 PET X12 ROEMERQUELLE LEMONGRASS SK</t>
  </si>
  <si>
    <t>500 PET X12 ROEMERQUELLE LEMONGRASS CZ</t>
  </si>
  <si>
    <t>330 RGB X20 RQ EM BLACKBERRY LIME SI</t>
  </si>
  <si>
    <t>500 PET X12 RQ EM BLACKBERRY LIME HRSI</t>
  </si>
  <si>
    <t>330 RGB X20 RQ EM BLACKBERRY LIME HR</t>
  </si>
  <si>
    <t>750 RGB X12 ROEMERQUELLE STILL ST EELVLT</t>
  </si>
  <si>
    <t>750 RGB X12 ROEMERQUELLE MW CARB ST EELVLT</t>
  </si>
  <si>
    <t>330 RGB X20 ROEMERQUELLE CARB ST EELVLT</t>
  </si>
  <si>
    <t>330 RGB X20 ROEMERQUELLE STILL ST EELVLT</t>
  </si>
  <si>
    <t>500 PET X24 ROEMERQUELLE SPARKL CARB KV</t>
  </si>
  <si>
    <t>500 PET X12 EM BLACKBERRY LIME KV</t>
  </si>
  <si>
    <t>500 PET X12 EM LEMONGRASS KV</t>
  </si>
  <si>
    <t>500 PET X24 ROEMERQUELLE STILL KV</t>
  </si>
  <si>
    <t>375 PET X12 RQ BIOLIMO LIME MINT HRSI</t>
  </si>
  <si>
    <t>375 PET X12 RQ BIOLIMO OR MAN PSFRT HRSI</t>
  </si>
  <si>
    <t>330 RGB X24 COKE LIGHT CZ</t>
  </si>
  <si>
    <t>330 RGB X24 COCA-COLA ZERO CZ</t>
  </si>
  <si>
    <t>500 PET X24 ROEMERQUELLE STILL HR</t>
  </si>
  <si>
    <t>500 PET X24 ROEMERQUELLE STILL SI</t>
  </si>
  <si>
    <t>500 PET X24 ROEMERQUELLE CARB HR</t>
  </si>
  <si>
    <t>500 PET X24 ROEMERQUELLE CARB SI</t>
  </si>
  <si>
    <t>1.0 PET X6 RQ EM LEMONGRASS HR</t>
  </si>
  <si>
    <t>1.0 PET X6 RQ EM BLACKBERRY LIME HR</t>
  </si>
  <si>
    <t>500 PET X12 RQ EM APP RDCURNT HR</t>
  </si>
  <si>
    <t>330 RGB X20 RQ EM APP RDCURNT HR</t>
  </si>
  <si>
    <t>330 RGB X20 RQ EM APP RDCURNT SI</t>
  </si>
  <si>
    <t>500 PET X24 ROEMERQUELLE STILL HU</t>
  </si>
  <si>
    <t>500 PET X24 ROEMERQUELLE CARB HU</t>
  </si>
  <si>
    <t>250 RGB X24 KINLEY BITTER LEMON CZ</t>
  </si>
  <si>
    <t>250 RGB X24 KINLEY HERBAL CZSK</t>
  </si>
  <si>
    <t>250 RGB X24 KINLEY HERBAL SK</t>
  </si>
  <si>
    <t>250 RGB X24 KINLEY BITTER LEMON SK</t>
  </si>
  <si>
    <t>2.0 PET X6 COCA COLA SLIM RO</t>
  </si>
  <si>
    <t>200 NRG X12 COKE SIG-MIX HERBAL HR</t>
  </si>
  <si>
    <t>200 NRG X12 COKE SIG-MIX WOODY HR</t>
  </si>
  <si>
    <t>1.5 PET X9 COCA COLA PL          </t>
  </si>
  <si>
    <t>1.5 PET X9 COCA COLA EELTLV</t>
  </si>
  <si>
    <t>1.5 PET X9 COCA-COLA ZERO EELTLVPL</t>
  </si>
  <si>
    <t>Terminated</t>
  </si>
  <si>
    <t>2.0 PET X8 COCA COLA CHEP PL</t>
  </si>
  <si>
    <t>2.0 PET X8 COCA COLA EELVLT</t>
  </si>
  <si>
    <t>2.0 PET X8 COCA-COLA ZERO EELTLVPL</t>
  </si>
  <si>
    <t>1.5 PET X9 FANTA ORANGE LS EELTLVPL</t>
  </si>
  <si>
    <t>1.5 PET X9 COCA-COLA LIME EELTLVPL</t>
  </si>
  <si>
    <t>1.5 PET X6 COCA-COLA RS</t>
  </si>
  <si>
    <t>10.0 BIB PMX CCZ HIRATIO 90.0 MCDBK HR</t>
  </si>
  <si>
    <t>330 CAN 161X6 COCA COLA SLEEK 1/2 PAL CH</t>
  </si>
  <si>
    <t>330 CAN SLEEK X24 COCA COLA CH</t>
  </si>
  <si>
    <t>330 CAN SLEEK 4X6 COCA COLA CH</t>
  </si>
  <si>
    <t>330 CAN 161X6 COKE ZERO SLEEK 1/2 PAL CH</t>
  </si>
  <si>
    <t>330 CAN SLEEK X24 COCA COLA ZERO CH</t>
  </si>
  <si>
    <t>330 CAN SLEEK 4X6 COCA COLA ZERO CH</t>
  </si>
  <si>
    <t>250 CAN X24 COCA-COLA (C) FI</t>
  </si>
  <si>
    <t>250 CAN X24 COCA-COLA DK</t>
  </si>
  <si>
    <t xml:space="preserve">	250 CAN X24 COCA-COLA ZERO FI</t>
  </si>
  <si>
    <t>250 CAN X24 FANTA ORANGE DK</t>
  </si>
  <si>
    <t>250 CAN X24 FANTA ORANGE FI</t>
  </si>
  <si>
    <t>250 CAN X24 COCA-COLA ZERO DK</t>
  </si>
  <si>
    <t>250 CAN X24 COCA-COLA PR1 DK</t>
  </si>
  <si>
    <t>250 CAN X24 COCA-COLA ZERO PR 1 DK</t>
  </si>
  <si>
    <t>750 RGB X12 ROEMERQUELLE CARB PR MERS</t>
  </si>
  <si>
    <t>330 RGB X20 ROEMERQUELLE CARB PR MERS</t>
  </si>
  <si>
    <t>330 RGB X20 RQ EM LEMONGRASS PR RS</t>
  </si>
  <si>
    <t>330 RGB X24 FANTA ORANGE CZSK</t>
  </si>
  <si>
    <t>330 RGB X24 SPRITE CZSK</t>
  </si>
  <si>
    <t>330 CAN X24 AHA PCH HONEY PL</t>
  </si>
  <si>
    <t xml:space="preserve">	330 CAN X24 AHA STRAWBRRY CUCMBR PL</t>
  </si>
  <si>
    <t>330 CAN X24 AHA LIM WATERMLN PL</t>
  </si>
  <si>
    <t>330 CAN X24 AHA BLUEBRRY POMEGRNTE PL</t>
  </si>
  <si>
    <t>330 CAN SLEEK 4X6 COCA-COLA KEELCLIP FR</t>
  </si>
  <si>
    <t>330 CAN X24 COCA-COLA SLEEK CZSK</t>
  </si>
  <si>
    <t>330 CAN X24 COCA-COLA TEENS CZSK</t>
  </si>
  <si>
    <t>330 CAN X24 COCA COLA SLEEK HU</t>
  </si>
  <si>
    <t>330 CAN X24 COKE ZERO SLEEK HU</t>
  </si>
  <si>
    <t>250 CAN X24 COCA COLA HRSI</t>
  </si>
  <si>
    <t>250 CAN X24 COCA-COLA HU</t>
  </si>
  <si>
    <t>330 CAN X24 COCA COLA SLEEK HRSI</t>
  </si>
  <si>
    <t>330 CAN 1X6 COKE REG KEEL CLIP EELVLT</t>
  </si>
  <si>
    <t xml:space="preserve">	330 CAN 1X6 COKE REG KEEL CLIP PL</t>
  </si>
  <si>
    <t>330 CAN SLEEK 4X6 COCA COLA RO</t>
  </si>
  <si>
    <t>330 CAN X24 COCA-COLA SLEEK BG</t>
  </si>
  <si>
    <t xml:space="preserve">	1188005</t>
  </si>
  <si>
    <t xml:space="preserve">	330 CAN X24 COCA-COLA SLEEK MER</t>
  </si>
  <si>
    <t>330 CAN X24 COCA COLA ZERO SLEEK HRSI</t>
  </si>
  <si>
    <t>250 CAN X24 COCA-COLA RED SLIM (C) RS</t>
  </si>
  <si>
    <t>250 CAN X24 COCA-COLA BA</t>
  </si>
  <si>
    <t>330 CAN X24 COCA COLA SLK OLYMPICS 1P SI</t>
  </si>
  <si>
    <t>330 RGB X20 RQ EM LEMONGRASS BA</t>
  </si>
  <si>
    <t>1.5 PET X4 MEZZO MIX CZSK</t>
  </si>
  <si>
    <t>330 CAN X24 COCA-COLA SLEEK NO</t>
  </si>
  <si>
    <t>330 CAN X24 COKE ZERO SLEEK NO</t>
  </si>
  <si>
    <t>330 CAN 4X6 COCA COLA SLK GR</t>
  </si>
  <si>
    <t>330 CAN 4X6 COCA COLA ZERO SLK GR</t>
  </si>
  <si>
    <t>330 CAN SLEEK 4X6 COCA-COLA KEELCLP GR</t>
  </si>
  <si>
    <t>330 CAN SLEEK 4X6 COKE ZERO KEELCLP GR</t>
  </si>
  <si>
    <t>1.5 PET X6 BONAQUA CARB SD SK</t>
  </si>
  <si>
    <t>1.5 PET X6 ROEMERQUELLE CARB SD CZSK</t>
  </si>
  <si>
    <t>1.5 PET X6 BONAQUA ORANGE CARB SD CZSK</t>
  </si>
  <si>
    <t>1.5 PET X6 ROEMERQUELLE STILL SD CZSK</t>
  </si>
  <si>
    <t>1.5 PET X6 BONAQUA STILL SD SK</t>
  </si>
  <si>
    <t>500 PET X12 BONAQUA STILL SD SK</t>
  </si>
  <si>
    <t>500 PET X24 ROEMERQUELLE CARB SD CZSK</t>
  </si>
  <si>
    <t>500 PET X24 ROEMERQUELLE STILL SD CZSK</t>
  </si>
  <si>
    <t>1.5 PET X6 BONAQUA STRAWB RHUBAR SD CZSK</t>
  </si>
  <si>
    <t>500 PET X12 ROEMERQUELLE LEMONGR SD CZSK</t>
  </si>
  <si>
    <t>1.5 PET X6 BONAQUA MEDIUM SD SK</t>
  </si>
  <si>
    <t>500 PET X12 BONAQUA MED SD SK</t>
  </si>
  <si>
    <t>500 PET X12 BONAQUA LIME MINT CARB SD SK</t>
  </si>
  <si>
    <t>1.5 PET X6 BONAQUA LIME MIN CARB SD CZSK</t>
  </si>
  <si>
    <t>500 PET X12 BONAQUA ORANGE CARB SD SK</t>
  </si>
  <si>
    <t>330 CAN X24 FANTA PINEAPPLE HIBIS CHCZSK</t>
  </si>
  <si>
    <t>330 CAN X24 FANTA MANGOSTEEN DRAG CHCZSK</t>
  </si>
  <si>
    <t>330 CAN 4X6 COKE ZERO KC CZSK</t>
  </si>
  <si>
    <t>330 CAN 4X6 COCA-COLA KC SK</t>
  </si>
  <si>
    <t>20.0 BIB PMX CC 136.0 HIRATIO CH</t>
  </si>
  <si>
    <t>10.0 BIB PMX CCZ KAI HIRATIO 90.0 CH</t>
  </si>
  <si>
    <t>10.0 BIB PMX SPRZ HIRATIO 90.0 CH</t>
  </si>
  <si>
    <t>10.0 BIB PMX FAOZ HIRATIO 90.0 CH</t>
  </si>
  <si>
    <t>330 CAN X24 COCA-COLA SD SK</t>
  </si>
  <si>
    <t>330 CAN 6X4 COCA-COLA KC SK</t>
  </si>
  <si>
    <t>330 CAN 6X4 COCA-COLA KC CZ</t>
  </si>
  <si>
    <t>330 CAN SLEEK 6X4 COKE ZERO KC CZSK</t>
  </si>
  <si>
    <t>330 CAN 4X6 COCA-COLA KC CZ</t>
  </si>
  <si>
    <t>1.5 PET X6 MEZZO MIX CZSK</t>
  </si>
  <si>
    <t>750 RGB 40X12 ROEMERQUELLE MW CARB EP AT</t>
  </si>
  <si>
    <t>750 RGB 40X12 ROEMERQUELLE MED EP AT</t>
  </si>
  <si>
    <t xml:space="preserve">750 RGB 40X12 ROEMERQUELLE STILL EP AT </t>
  </si>
  <si>
    <t>330 RGB 48X20 ROEMERQUELLE CARB EP AT</t>
  </si>
  <si>
    <t>330 RGB 48X20 ROEMQUELLE MED EP AT</t>
  </si>
  <si>
    <t>330 RGB 48X20 ROEMQUELLE STILL EP AT</t>
  </si>
  <si>
    <t>330 CAN SLEEK 6X4 SPRITE KC CZSK</t>
  </si>
  <si>
    <t xml:space="preserve">	330 CAN X24 COCA COLA SLEEK PL</t>
  </si>
  <si>
    <t>330 CAN X24 COKE ZERO SLEEK PL</t>
  </si>
  <si>
    <t>330 CAN 6X4 COCA-COLA MP KC SLEEK HU</t>
  </si>
  <si>
    <t>330 CAN 6X4 COKE ZERO MP KC SLEEK HU</t>
  </si>
  <si>
    <t>330 CAN 4X6 COCA COLA SLK KC GR</t>
  </si>
  <si>
    <t>330 CAN 4X6 COCA COLA ZERO SLK KC GR</t>
  </si>
  <si>
    <t>500 PET X24 COCA COLA LT</t>
  </si>
  <si>
    <t>500 PET X24 COCA COLA EE</t>
  </si>
  <si>
    <t>500 PET X24 COCA COLA DIO LV</t>
  </si>
  <si>
    <t>330 CAN 6X4 KINLEY TONIC W ZERO KC CZSK</t>
  </si>
  <si>
    <t>330 CAN 6X4 KINLEY GINGER ALE CZSK</t>
  </si>
  <si>
    <t>330 CAN 6X4 KINLEY GINGER ALE KC CZSK</t>
  </si>
  <si>
    <t>330 CAN X24 COCA COLA SLK IC GR</t>
  </si>
  <si>
    <t>330 CAN X24 COCA COLA ZERO SLK IC GR</t>
  </si>
  <si>
    <t>330 RGB X20 RQ EM LEMONGRASS 48 SI</t>
  </si>
  <si>
    <t>330 RGB X20 RQ EM LEMONGRASS 48 CZSK</t>
  </si>
  <si>
    <t>330 RGB X20 RQ EM LEMONGRASS 48 RS</t>
  </si>
  <si>
    <t>330 RGB X20 RQ EM LEMONGRASS 48 HR</t>
  </si>
  <si>
    <t>330 RGB X20 RQ EM PEAR MELISSA 48 HR</t>
  </si>
  <si>
    <t>330 RGB X20 ROEMERQUELLE STILL 48 CZSK</t>
  </si>
  <si>
    <t>330 RGB X20 ROEMERQUELLE STILL 48 EE</t>
  </si>
  <si>
    <t>330 RGB X20 ROEMERQUELLE STILL 48 LTLV</t>
  </si>
  <si>
    <t>330 RGB X20 ROEMERQUELLE CARB 48 MERS</t>
  </si>
  <si>
    <t>330 RGB X20 ROEMERQUELLE CARB 48 CZSK</t>
  </si>
  <si>
    <t>330 RGB X20 ROEMERQUELLE CARB 48 EE</t>
  </si>
  <si>
    <t>330 RGB X20 ROEMERQUELLE STILL 48 HRSI</t>
  </si>
  <si>
    <t>330 RGB X20 ROEMERQUELLE CARB 48 HRSI</t>
  </si>
  <si>
    <t>330 RGB X20 RQ EM LEMONGRASS 48 HRSI</t>
  </si>
  <si>
    <t>330 RGB X20 RQ EM BLACKBERRY 48 HR</t>
  </si>
  <si>
    <t>330 RGB X20 RQ EM APP RDCURNT 48 SI</t>
  </si>
  <si>
    <t>750 RGB X12 ROEMERQUELLE STILL 40 CZHUSK</t>
  </si>
  <si>
    <t>750 RGB X12 ROEMERQUELLE CARB 40 CZHUSK</t>
  </si>
  <si>
    <t>750 RGB X12 ROEMERQUELLE STILL 40 HRSI</t>
  </si>
  <si>
    <t>750 RGB X12 ROEMERQUELLE CARB 40 HRSI</t>
  </si>
  <si>
    <t>750 RGB X12 ROEMERQUELLE CARB 40 MERS</t>
  </si>
  <si>
    <t>330 CAN 6X4 COCA COLA PROMO MERS</t>
  </si>
  <si>
    <t>330 CAN 6X4 COCA COLA NP MERS</t>
  </si>
  <si>
    <t>330 CAN 6X4 COCA COLA ZERO KC NP MERS</t>
  </si>
  <si>
    <t>330 CAN 6X4 COCA COLA ZERO PROMO KC MERS</t>
  </si>
  <si>
    <t>330 CAN 6X4 COCA COLA NP KV</t>
  </si>
  <si>
    <t>500 PET X12 RQ EM BLUEBERRY POMEGRT HRSI</t>
  </si>
  <si>
    <t>330 RGB X20 RQ EM BLUEBERRY POMGRT HR</t>
  </si>
  <si>
    <t>330 RGB X20 RQ EM BLUEBERRY POMGRT SI</t>
  </si>
  <si>
    <t>250 RGB X24 KINLEY TONIC Y CZSK</t>
  </si>
  <si>
    <t>250 RGB X24 KINLEY PINK BERRY Y CZSK</t>
  </si>
  <si>
    <t>250 RGB X24 KINLEY GINGER ALE Y CZSK</t>
  </si>
  <si>
    <t>250 RGB X24 KINLEY BITTER LEMON Y CZSK</t>
  </si>
  <si>
    <t>500 PET X24 MEZZO MIX CZSK</t>
  </si>
  <si>
    <t>330 CAN 6X4 COCA COLA ZERO KC 4P BAHRSI</t>
  </si>
  <si>
    <t>330 CAN 6X4 COCA-COLA KC 4P BAHRSI</t>
  </si>
  <si>
    <t>330 RGB X20 ROEMERQUELLE MED 48 CZSK</t>
  </si>
  <si>
    <t>750 RGB X12 ROEMERQUELLE MED 40 CZSK</t>
  </si>
  <si>
    <t>500 PET X12 RQ EM APRICOT ELDERFLOWER RS</t>
  </si>
  <si>
    <t>330 RGB X20 RQ EM APRICOT ELDERFL 48 RS</t>
  </si>
  <si>
    <t>1.5 PET X6 COCA-COLA CZ</t>
  </si>
  <si>
    <t>1.5 PET X6 COCA-COLA SK</t>
  </si>
  <si>
    <t>1.5 PET X6 COCA-COLA ZERO CZ</t>
  </si>
  <si>
    <t xml:space="preserve">	298161</t>
  </si>
  <si>
    <t>1.5 PET X6 COCA-COLA ZERO SK</t>
  </si>
  <si>
    <t>330 CAN SLEEK 3X8 COCA-COLA KEELCLP CH</t>
  </si>
  <si>
    <t>330 CAN SLEEK 3X8 COKE ZERO KEELCLP CH</t>
  </si>
  <si>
    <t>250 RGB X24 KINLEY TONIC Y_NEW CZSK</t>
  </si>
  <si>
    <t>250 RGB X24 KINLEY GINGER ALE Y NEW CZSK</t>
  </si>
  <si>
    <t>250.0 BIB PMX CC 1700 MCD HIR MEGABOX SI</t>
  </si>
  <si>
    <t>150 CAN X12 COKE ZERO SAMPLING HU</t>
  </si>
  <si>
    <t>500 PET 4X6 FANTA EXOTIC ZERO CH</t>
  </si>
  <si>
    <t>250 RGB X24 KINLEY CITRUS CZSK</t>
  </si>
  <si>
    <t>330 CAN 6X4 COCA-COLA KC PROMO BAHRSI</t>
  </si>
  <si>
    <t>330 CAN 6X4 COCA COLA ZERO KC PROMO BAHRSI</t>
  </si>
  <si>
    <t>1.0 RGB 2X6 COCA-COLA CH</t>
  </si>
  <si>
    <t>1.0 RGB 2X6 COCA-COLA ZERO CH</t>
  </si>
  <si>
    <t>1.0 RGB 2X6 COCA-COLA CZSK</t>
  </si>
  <si>
    <t>330 CAN 3X8 COCA COLA SLK KC 23 (C) HRSI</t>
  </si>
  <si>
    <t>250 RGB X24 KINLEY Y GINGER BEER CZSK</t>
  </si>
  <si>
    <t>330 CAN X24 SPRITE SLEEK SD CZSK</t>
  </si>
  <si>
    <t>750 RGB X12 ROEMERQUELLE CARB DRS HU</t>
  </si>
  <si>
    <t>330 RGB X20 ROEMERQUELLE CARB DRS HU</t>
  </si>
  <si>
    <t>330 RGB X20 ROEMERQUELLE STILL DRS HU</t>
  </si>
  <si>
    <t>750 RGB X12 ROEMERQUELLE STILL DRS HU</t>
  </si>
  <si>
    <t>500 PET X12 RQ EM APR ELDERFLOWER HRSI</t>
  </si>
  <si>
    <t>330 RGB X20 RQ EM AP ELDERFLOWER 48 HRSI</t>
  </si>
  <si>
    <t>1.5 PET X6 ROEMERQUELLE CARB PROMO HRSI</t>
  </si>
  <si>
    <t>1.5 PET X6 ROEMERQUELLE STILL PROMO HRSI</t>
  </si>
  <si>
    <t>330 CAN SLEEK X24 COCA - COLA EXP AT</t>
  </si>
  <si>
    <t>330 CAN X24 SPRITE REGULAR CH</t>
  </si>
  <si>
    <t>250 RGB X24 KINLEY GRAPE CZSK</t>
  </si>
  <si>
    <t>330 RGB X20 RQ EM AP ELDERFLOWER 48 SI</t>
  </si>
  <si>
    <t>250 RGB X24 KINLEY Y GINGER BEER DRS HU</t>
  </si>
  <si>
    <t>330 CAN SLEEK 3X8 COKE ZERO KC BAHRSI</t>
  </si>
  <si>
    <t>150 CAN X24 SPRITE ZERO SAMPL IT</t>
  </si>
  <si>
    <t>330 CAN X24 COCA COLA MERS</t>
  </si>
  <si>
    <t>330 CAN X24 COCA COLA SLEEK BA</t>
  </si>
  <si>
    <t>330 CAN X24 COCA-COLA KV</t>
  </si>
  <si>
    <t>2.0 PET X6 COCA-COLA CZ</t>
  </si>
  <si>
    <t>2.0 PET X6 COCA-COLA SK</t>
  </si>
  <si>
    <t>330 CAN X24 COCA COLA (C) 1P BARS</t>
  </si>
  <si>
    <t>10.0 BIB PMX SPRZ HIRATIO FENIX 90.0 CH</t>
  </si>
  <si>
    <t>10.0 BIB PMX SPRZ FENIX HIR 90.0 MCD CH</t>
  </si>
  <si>
    <t>330 CAN SLEEK 3X8 COCA-COLA KC CZ</t>
  </si>
  <si>
    <t>330 CAN SLEEK 3X8 COCA-COLA KC SK</t>
  </si>
  <si>
    <t>330 CAN SLEEK 3X8 COKE ZERO KC CZSK</t>
  </si>
  <si>
    <t>10.0 BIB PMX FUSETEA LMN LMNGRS 64.0 CH</t>
  </si>
  <si>
    <t>330 RGB X20 RQ EM BLACKBERRY LIME CZSK</t>
  </si>
  <si>
    <t>500 PET 4X6 FANTA ORANGE CH</t>
  </si>
  <si>
    <t>500 PET 4X6 MEZZO MIX CH</t>
  </si>
  <si>
    <t>500 PET 4X6 SPRITE REGULAR CH</t>
  </si>
  <si>
    <t>500 PET X24 FANTA ORANGE CH</t>
  </si>
  <si>
    <t>500 PET X24 SPRITE REGULAR CH</t>
  </si>
  <si>
    <t>250 RGB X24 KINLEY PURPLE CZSK</t>
  </si>
  <si>
    <t>330 CAN SLEEK X24 COCA COLA FI</t>
  </si>
  <si>
    <t>330 CAN SLEEK X24 COCA COLA DK</t>
  </si>
  <si>
    <t>330 CAN SLEEK X24 COKE ZERO FI</t>
  </si>
  <si>
    <t>330 CAN SLEEK X24 COKE ZERO DK</t>
  </si>
  <si>
    <t>500 PET X12 RQ EM BLACKBERRY LIME CZSK</t>
  </si>
  <si>
    <t>750 RGB X12 ROEMERQUELLE CARB NL25 HU</t>
  </si>
  <si>
    <t>330 RGB X20 ROEMERQUELLE CARB NL25 HU</t>
  </si>
  <si>
    <t>330 RGB X20 ROEMERQUELLE STILL NL25 HU</t>
  </si>
  <si>
    <t>750 RGB X12 ROEMERQUELLE STILL NL25 HU</t>
  </si>
  <si>
    <t>250 RGB X24 KINLEY GINGER BEER NL25 HU</t>
  </si>
  <si>
    <t>330 CAN SLEEK X24 FANTA ORANGE ZERO FI</t>
  </si>
  <si>
    <t>330 CAN X24 COCA-COLA DRS SPEC HU</t>
  </si>
  <si>
    <t>330 CAN X24 COCA-COLA (C) CZ</t>
  </si>
  <si>
    <t>250 RGB X24 COCA-COLA NL25 HU</t>
  </si>
  <si>
    <t>250 RGB X24 COCA-COLA ZERO NL25 HU</t>
  </si>
  <si>
    <t>250 RGB X24 FANTA ORANGE NL25 HU</t>
  </si>
  <si>
    <t>1453108</t>
  </si>
  <si>
    <t>330 CAN 4X6 COKE Z CAFF FREE ABP CH</t>
  </si>
  <si>
    <t>2384001</t>
  </si>
  <si>
    <t>330 CAN 4X6 FANTA EXOTIC R CH</t>
  </si>
  <si>
    <t>2384003</t>
  </si>
  <si>
    <t>330 CAN 4X6 FANTA EXOTIC ABP CH</t>
  </si>
  <si>
    <t>10.0 BIB PMX FUZE PCH ROSE ABP HU</t>
  </si>
  <si>
    <t>10.0 BIB PMX FUZE LMN LGR ABP HU</t>
  </si>
  <si>
    <t>330 CAN X24 COKE Z CAFF FREE ABP HRSI</t>
  </si>
  <si>
    <t>10.0 BIB PMX FUZE LMN LGR CZSK</t>
  </si>
  <si>
    <t>330 CAN X24 COCA-COLA ZERO DRS HU</t>
  </si>
  <si>
    <t>330 CAN X24 COCA-COLA DRS HU</t>
  </si>
  <si>
    <t>330 CAN X24 COCA-COLA ZERO DRS SPEC HU</t>
  </si>
  <si>
    <t>330 CAN X24 COKE SLK DRS EELVLTPL</t>
  </si>
  <si>
    <t>200 CAN X24 COKE CZSK</t>
  </si>
  <si>
    <t>200 CAN X24 COKE Z CZSK</t>
  </si>
  <si>
    <t>500 X6 POWDER POWERADE MOUNT BLAST CZSK</t>
  </si>
  <si>
    <t>750 PET X6 RQ EM PLUS LEM CACTUS CZSK</t>
  </si>
  <si>
    <t>750 PET X6 RQ EM PLUS APPLE ACAI CZSK</t>
  </si>
  <si>
    <t>750 PET X6 RQ EM PLUS MANG ACEROL CZSK</t>
  </si>
  <si>
    <t>330 CAN X24 COKE Z CAFF FREE CZSK</t>
  </si>
  <si>
    <t>330 CAN X24 COCA-COLA CHERRY CZSK</t>
  </si>
  <si>
    <t>250 RGB X24 KINLEY PRPL NEW CZSK</t>
  </si>
  <si>
    <t>Johann Weiss Y/N</t>
  </si>
  <si>
    <t>Channel IC/FC</t>
  </si>
  <si>
    <t>Mktg</t>
  </si>
  <si>
    <t>10067170</t>
  </si>
  <si>
    <t>MONSTER KEYRINGS</t>
  </si>
  <si>
    <t>IC</t>
  </si>
  <si>
    <t>10067164</t>
  </si>
  <si>
    <t>COCA-COLA A-STAND WINTER</t>
  </si>
  <si>
    <t>10067163</t>
  </si>
  <si>
    <t>COCA-COLA SNOWBOARD BENCH</t>
  </si>
  <si>
    <t>10067162</t>
  </si>
  <si>
    <t>COCA-COLA SUNCHAIR</t>
  </si>
  <si>
    <t>10067168</t>
  </si>
  <si>
    <t>MONSTER LANYARDS</t>
  </si>
  <si>
    <t>10067167</t>
  </si>
  <si>
    <t>COCA-COLA SKISTAND</t>
  </si>
  <si>
    <t>10067165</t>
  </si>
  <si>
    <t>COCA-COLA SELF SERVICE TRAYS</t>
  </si>
  <si>
    <t>COCA-COLA CHALK BOARD WINTER</t>
  </si>
  <si>
    <t>10067171</t>
  </si>
  <si>
    <t>MONSTER SWEATBANDS</t>
  </si>
  <si>
    <t>10067161</t>
  </si>
  <si>
    <t>COCA-COLA FLEECE BLANKET</t>
  </si>
  <si>
    <t>10067169</t>
  </si>
  <si>
    <t>COCA-COLA STRAIGHTWALL GLASS 0.5 WINTER</t>
  </si>
  <si>
    <t>10067166</t>
  </si>
  <si>
    <t>COCA-COLA STRAIGHTWALL GLASS 0.3 WINTER</t>
  </si>
  <si>
    <t>10067232</t>
  </si>
  <si>
    <t>MONSTER SILICON WRISTBANDS</t>
  </si>
  <si>
    <t>10067233</t>
  </si>
  <si>
    <t>MONSTER BANDANA</t>
  </si>
  <si>
    <t>10068037</t>
  </si>
  <si>
    <t>ROYAL BLISS GLASS BLACK 0.2L</t>
  </si>
  <si>
    <t>10068036</t>
  </si>
  <si>
    <t>ROYAL BLISS COASTER</t>
  </si>
  <si>
    <t>10068207</t>
  </si>
  <si>
    <t>FRAME A5 WOOD</t>
  </si>
  <si>
    <t>10068204</t>
  </si>
  <si>
    <t>COCA-COLA FLAG X2</t>
  </si>
  <si>
    <t>10068205</t>
  </si>
  <si>
    <t>FRAME A4 WOOD</t>
  </si>
  <si>
    <t>10068203</t>
  </si>
  <si>
    <t>COCA-COLA PAVEMENT TENT WOOD OTG</t>
  </si>
  <si>
    <t>10068201</t>
  </si>
  <si>
    <t>COKE TRIANGLE TABLE TENT PLASTIC X6</t>
  </si>
  <si>
    <t>10068202</t>
  </si>
  <si>
    <t>ROEMERQUELLE TABLE TENT WOOD X6</t>
  </si>
  <si>
    <t>10068206</t>
  </si>
  <si>
    <t>ROEMERQUELLE DOUBLE COOLER</t>
  </si>
  <si>
    <t>10068378</t>
  </si>
  <si>
    <t>CROWNER-SET NEW FOR RQ THEKENRACK</t>
  </si>
  <si>
    <t>10070269</t>
  </si>
  <si>
    <t>KINLEY KRAEUTER KRACHERL FLEECE BLANKET</t>
  </si>
  <si>
    <t>ROEMERQUELLE POLISHING CLOTH TRANSGOURMET</t>
  </si>
  <si>
    <t>FRESHBOARD COOLIO DISPLAY CARDBOARD Star Wars</t>
  </si>
  <si>
    <t>COOLIO OPEN TOP LED ILLUMINATION</t>
  </si>
  <si>
    <t xml:space="preserve">10076834 </t>
  </si>
  <si>
    <t>CONFERENCE BOTTLE COOLER CC</t>
  </si>
  <si>
    <t>10076307</t>
  </si>
  <si>
    <t>CONFERENCE BOTTLE COOLER RQ</t>
  </si>
  <si>
    <t>DISPLAY SNOW GLOBE</t>
  </si>
  <si>
    <t>COKE BEANIE</t>
  </si>
  <si>
    <t>CC PARASOL BEIGE 2,5x2,5M</t>
  </si>
  <si>
    <t>Coke Energy Till Mat</t>
  </si>
  <si>
    <t>Coke Energy Clip Stripes</t>
  </si>
  <si>
    <t>Permanent Coca-Cola can rack</t>
  </si>
  <si>
    <t>10075126</t>
  </si>
  <si>
    <t>0,25 X6 RQ LONGDRINK GLASS</t>
  </si>
  <si>
    <t>10075127</t>
  </si>
  <si>
    <t>0.3 X100 STK CC PAPER CUP NEW 2020</t>
  </si>
  <si>
    <t>10075132</t>
  </si>
  <si>
    <t>0,4 X50 STK. CC PAPER CUP NEW 2020</t>
  </si>
  <si>
    <t>10075130</t>
  </si>
  <si>
    <t>0,5 X50 STK. CC PAPER CUP NEW 2020</t>
  </si>
  <si>
    <t>UEFA GLASS 2020 SINGLE</t>
  </si>
  <si>
    <t>UEFA TEAM TOWELS-GENERIC 2020</t>
  </si>
  <si>
    <t>UEFA STANDARD SUNGLASSES 2020</t>
  </si>
  <si>
    <t>UEFA RPET BASEBALL CAP 2020</t>
  </si>
  <si>
    <t>UEFA COASTERS 2020</t>
  </si>
  <si>
    <t>UEFA REFLECTIVE DRAWSTRING BAG 2020</t>
  </si>
  <si>
    <t>UEFA SELFIE CAP 2020</t>
  </si>
  <si>
    <t>Gehwegaufsteller 2020</t>
  </si>
  <si>
    <t>Gehwegaufsteller 2020 Magnetschutz</t>
  </si>
  <si>
    <t>10075131 </t>
  </si>
  <si>
    <t>Fuzetea cool bag</t>
  </si>
  <si>
    <t>COOLIO PLEXIGLASS</t>
  </si>
  <si>
    <t>10076833</t>
  </si>
  <si>
    <t>HZ BAR TABLE RED</t>
  </si>
  <si>
    <t>10076835</t>
  </si>
  <si>
    <t>HZ BAR TABLE BLACK</t>
  </si>
  <si>
    <t>10076836</t>
  </si>
  <si>
    <t>CLIPBOARD A4 HONEST</t>
  </si>
  <si>
    <t>Coca-Cola Kreidetafel Sommer 2020</t>
  </si>
  <si>
    <t>400 X24 COKE GLAS CONTOUR GEORGIA GREEN</t>
  </si>
  <si>
    <t>RQ EMOTION WOODEN RACK</t>
  </si>
  <si>
    <t>RQ BAR STAND ACRYLIC A4</t>
  </si>
  <si>
    <t>10077646</t>
  </si>
  <si>
    <t>WOODEN BOXRACK ROEMERQUELLE RETURNABLE</t>
  </si>
  <si>
    <t>10078677</t>
  </si>
  <si>
    <t>RQ TABLE COOLER DOUBLE METAL</t>
  </si>
  <si>
    <t>RQ FOLDER</t>
  </si>
  <si>
    <t>10079211</t>
  </si>
  <si>
    <t xml:space="preserve">DRINK STRAWS PAPER F. CUP LIDS AT </t>
  </si>
  <si>
    <t>NEMIROFF ICE BUCKET AT</t>
  </si>
  <si>
    <t>NEMIROFF MULE CUP AT</t>
  </si>
  <si>
    <t>NEMIROFF SHOT GLASS AT</t>
  </si>
  <si>
    <t>NEMIROFF APRON LONG AT</t>
  </si>
  <si>
    <t>10079212</t>
  </si>
  <si>
    <t>NEMIROFF LEATHER APRON LONG AT</t>
  </si>
  <si>
    <t>10079210</t>
  </si>
  <si>
    <t>NEMIROFF TRAY AT</t>
  </si>
  <si>
    <t>10079209</t>
  </si>
  <si>
    <t>NEMIROFF BAR MAT AT</t>
  </si>
  <si>
    <t>PERMANENT DISPLAY E3 RQ 1.0 RGB AT</t>
  </si>
  <si>
    <t>FC</t>
  </si>
  <si>
    <t>RQ CHECK HOLDER AT</t>
  </si>
  <si>
    <t>10079260</t>
  </si>
  <si>
    <t>LUCANO SHOT GLASS AT</t>
  </si>
  <si>
    <t>10079259</t>
  </si>
  <si>
    <t>LUCANO A-STAND AT</t>
  </si>
  <si>
    <t>10079333</t>
  </si>
  <si>
    <t>LUCANO BAR MAT AT</t>
  </si>
  <si>
    <t>10079302</t>
  </si>
  <si>
    <t>LUCANO WOODEN SIGN WAITER AT</t>
  </si>
  <si>
    <t>10079303</t>
  </si>
  <si>
    <t>LUCANO WOODEN SIGN CAVALIERE AT</t>
  </si>
  <si>
    <t xml:space="preserve">10079331 </t>
  </si>
  <si>
    <t xml:space="preserve">GLENDALOUGH BLACKBOARD AT </t>
  </si>
  <si>
    <t>10079334</t>
  </si>
  <si>
    <t xml:space="preserve">GLENDALOUGH PIN AT </t>
  </si>
  <si>
    <t>10079335</t>
  </si>
  <si>
    <t>GLENDALOUGH BAR MATS AT</t>
  </si>
  <si>
    <t>10079337</t>
  </si>
  <si>
    <t xml:space="preserve">GLENDALOUGH FLASK AT </t>
  </si>
  <si>
    <t xml:space="preserve">10079338 </t>
  </si>
  <si>
    <t xml:space="preserve">GLENDALOUGH STEEL BAR SIGN AT </t>
  </si>
  <si>
    <t>10079336</t>
  </si>
  <si>
    <t>GLENDALOUGH CERAMIC SHOTS X24 AT</t>
  </si>
  <si>
    <t>10079332</t>
  </si>
  <si>
    <t xml:space="preserve">GLENDALOUGH COASTERS X50 AT </t>
  </si>
  <si>
    <t>10079435</t>
  </si>
  <si>
    <t>BOTTLE POURER AT</t>
  </si>
  <si>
    <t>10079408</t>
  </si>
  <si>
    <t>COSTA COFFEE CUP DISPENSER AT</t>
  </si>
  <si>
    <t>10079437</t>
  </si>
  <si>
    <t>COSTA COFFEE ROLL UP AT</t>
  </si>
  <si>
    <t>10079436</t>
  </si>
  <si>
    <t xml:space="preserve">COSTA COFFEE A1 SIDEWALK STAND AT </t>
  </si>
  <si>
    <t>10079560</t>
  </si>
  <si>
    <t xml:space="preserve">TONKA GIN COPA GLAS AT </t>
  </si>
  <si>
    <t>y</t>
  </si>
  <si>
    <t xml:space="preserve">10079574 </t>
  </si>
  <si>
    <t xml:space="preserve">TONKA GIN FOLDER AT </t>
  </si>
  <si>
    <t>10079716</t>
  </si>
  <si>
    <t>GLENDALOUGH GIN&amp;WHISKEY GLAS 380MLX6 AT</t>
  </si>
  <si>
    <t>GLENDALOUGH MENU CARD CLIP X20 AT</t>
  </si>
  <si>
    <t xml:space="preserve">NEMIROFF BLANKET AT </t>
  </si>
  <si>
    <t>10079768</t>
  </si>
  <si>
    <t xml:space="preserve">NEMIROFF COASTER AT </t>
  </si>
  <si>
    <t>10079787</t>
  </si>
  <si>
    <t xml:space="preserve">GLENDALOUGH CHALKBOARD AT </t>
  </si>
  <si>
    <t>10079848</t>
  </si>
  <si>
    <t>NEMIROFF LEATHER BAG AT</t>
  </si>
  <si>
    <t>10079849</t>
  </si>
  <si>
    <t xml:space="preserve">NEMIROFF MUDDLER AT </t>
  </si>
  <si>
    <t>10079850</t>
  </si>
  <si>
    <t>NEMIROFF JIGGER AT</t>
  </si>
  <si>
    <t>10079851</t>
  </si>
  <si>
    <t>NEMIROFF SHAKER AT</t>
  </si>
  <si>
    <t>10079855</t>
  </si>
  <si>
    <t>NEMIROFF BAR KNIFE AT</t>
  </si>
  <si>
    <t>10079852</t>
  </si>
  <si>
    <t xml:space="preserve">NEMIROFF BAR SPOON AT </t>
  </si>
  <si>
    <t>10079853</t>
  </si>
  <si>
    <t>NEMIROFF NOTEBOOK AT</t>
  </si>
  <si>
    <t>10079854</t>
  </si>
  <si>
    <t>NEMIROFF BAG FOR BARTENDER TOOLS AT</t>
  </si>
  <si>
    <t>10079997</t>
  </si>
  <si>
    <t>10080078</t>
  </si>
  <si>
    <t>GLENDALOUGH BOXES AT</t>
  </si>
  <si>
    <t>10080111</t>
  </si>
  <si>
    <t>TOPO CHICO SUNCHAIR AT</t>
  </si>
  <si>
    <t>10080164</t>
  </si>
  <si>
    <t xml:space="preserve">TOPO CHICO ICE BUCKET METAL AT </t>
  </si>
  <si>
    <t>10080165</t>
  </si>
  <si>
    <t>TOPO CHICO CHALKBOARD AT</t>
  </si>
  <si>
    <t>10080166</t>
  </si>
  <si>
    <t>TOPO CHICO A-STAND AT</t>
  </si>
  <si>
    <t>10080223</t>
  </si>
  <si>
    <t xml:space="preserve">TOPO CHICO COOLING BAG AT </t>
  </si>
  <si>
    <t>10080410</t>
  </si>
  <si>
    <t>RQ BLANKET AT</t>
  </si>
  <si>
    <t>10080412</t>
  </si>
  <si>
    <t xml:space="preserve">COKE ENERGY SHELF CRAWLER AT </t>
  </si>
  <si>
    <t>10080953</t>
  </si>
  <si>
    <t>CC SMALL UMBRELLA 180CM SQUARE BEIGE AT</t>
  </si>
  <si>
    <t>10080928</t>
  </si>
  <si>
    <t xml:space="preserve">RQ UMBRELLA 2,5X2,5M BEIGE AT </t>
  </si>
  <si>
    <t>10080939</t>
  </si>
  <si>
    <t xml:space="preserve">NEMIROFF &amp; GLENDALOUGH DISPLAY AT	</t>
  </si>
  <si>
    <t>falscher Material Typ</t>
  </si>
  <si>
    <t>COSTA SUGAR STICKS</t>
  </si>
  <si>
    <t>COKE CUPS 0,3L_NEW 2021 AT</t>
  </si>
  <si>
    <t>COKE CUPS 0,4L_NEW 2021 AT</t>
  </si>
  <si>
    <t>COKE CUPS 0,5L_NEW 2021 AT</t>
  </si>
  <si>
    <t>LIDS_NEW 2021 AT</t>
  </si>
  <si>
    <t xml:space="preserve"> AT WORK PAKET SMALL</t>
  </si>
  <si>
    <t>AT WORK PAKET MEDIUM</t>
  </si>
  <si>
    <t>AT WORK PAKET LARGE</t>
  </si>
  <si>
    <t>AT WORK PAKET COFFEE CORNER</t>
  </si>
  <si>
    <t>10081273</t>
  </si>
  <si>
    <t>COSTA COFFEE WANDBILDER AT</t>
  </si>
  <si>
    <t>10081231</t>
  </si>
  <si>
    <t>COSTA COFFEE WANDLOGO AT</t>
  </si>
  <si>
    <t>10081232</t>
  </si>
  <si>
    <t>COSTA COFFEE MENUEKARTE AT</t>
  </si>
  <si>
    <t>10081260</t>
  </si>
  <si>
    <t>COSTA SUGAR STICKS NEW AT</t>
  </si>
  <si>
    <t>10081379</t>
  </si>
  <si>
    <t>COSTA STOFFTASCHE AT</t>
  </si>
  <si>
    <t>10081551</t>
  </si>
  <si>
    <t>7OZ COSTA COFFEE HOT TA CUP AT</t>
  </si>
  <si>
    <t>10081549</t>
  </si>
  <si>
    <t>4OZ COSTA COFFEE HOT TA CUP AT</t>
  </si>
  <si>
    <t>10081547</t>
  </si>
  <si>
    <t>4OZ LID 1X1000 AT</t>
  </si>
  <si>
    <t>10081553</t>
  </si>
  <si>
    <t>7OZ EMBOSSED SIP LID 1X1000 AT</t>
  </si>
  <si>
    <t xml:space="preserve">10081554 </t>
  </si>
  <si>
    <t>COSTA DOPPIO SAUCER 1X12 AT</t>
  </si>
  <si>
    <t>COSTA ESPRESSO SAUCER 1X12 AT</t>
  </si>
  <si>
    <t>10081557</t>
  </si>
  <si>
    <t>MINI COMPACT COSTA PAPERNAPKIN 1X6000 AT</t>
  </si>
  <si>
    <t>10081559</t>
  </si>
  <si>
    <t>COSTA ESPRESSO CUP 1X12 AT</t>
  </si>
  <si>
    <t>10081562</t>
  </si>
  <si>
    <t xml:space="preserve">TEASPOON 1X12 AT </t>
  </si>
  <si>
    <t>10081561</t>
  </si>
  <si>
    <t>6OZ CERAMIC CUP 1X12 AT</t>
  </si>
  <si>
    <t>10081558</t>
  </si>
  <si>
    <t xml:space="preserve">10OZ PRIMO LATTE GLASS 1X48 AT </t>
  </si>
  <si>
    <t>10081586</t>
  </si>
  <si>
    <t xml:space="preserve">PADRE AZUL SHOTGLASS 2CL AT </t>
  </si>
  <si>
    <t>10081587</t>
  </si>
  <si>
    <t>PADRE AZUL BAR MAT AT</t>
  </si>
  <si>
    <t>10081681</t>
  </si>
  <si>
    <t xml:space="preserve">DEL COSTA SCHERRER COFFEE PURE TAB X 100 </t>
  </si>
  <si>
    <t>10081638</t>
  </si>
  <si>
    <t>DEL COSTA SCHAERRER MILK PURE POWD X 100</t>
  </si>
  <si>
    <t>10081682</t>
  </si>
  <si>
    <t>DEL COSTA SCHAERRER DASCALING LIQ X750ML</t>
  </si>
  <si>
    <t xml:space="preserve">10081644 </t>
  </si>
  <si>
    <t xml:space="preserve">10081724 </t>
  </si>
  <si>
    <t xml:space="preserve">PERMANENT WOODEN-METAL-RACK 1L RGB FC </t>
  </si>
  <si>
    <t>KINLEY LONG DRINK GLASSES 250ML AT</t>
  </si>
  <si>
    <t>NEMIROFF SHOTGLAS SET AT</t>
  </si>
  <si>
    <t xml:space="preserve">	NEMIROFF LONGDRINK GLAS AT</t>
  </si>
  <si>
    <t>NEMIROFF MULE MUG AT</t>
  </si>
  <si>
    <t>NEMIROFF KEY CHAIN AT</t>
  </si>
  <si>
    <t>FANTA SMALL UMBRELLA 180CM SQUARE BEIGE</t>
  </si>
  <si>
    <t>COCA COLA LIFEBUOY AT</t>
  </si>
  <si>
    <t>FANTA BEACH CHAIR ALU AT</t>
  </si>
  <si>
    <t>10082204</t>
  </si>
  <si>
    <t>KINLEY ICE BUCKET AT</t>
  </si>
  <si>
    <t>10082203</t>
  </si>
  <si>
    <t>KINLEY SPEEDOPENER AT</t>
  </si>
  <si>
    <t>10082302</t>
  </si>
  <si>
    <t>COSTA MILK FROTHER AT</t>
  </si>
  <si>
    <t xml:space="preserve">10082303 </t>
  </si>
  <si>
    <t xml:space="preserve">COSTA COFFEE SPOON AT </t>
  </si>
  <si>
    <t xml:space="preserve">10082301 </t>
  </si>
  <si>
    <t>COSTA CAPSULE DISPENSER AT</t>
  </si>
  <si>
    <t xml:space="preserve">10082304 </t>
  </si>
  <si>
    <t>PERMANENT DISPLAY COKE SOCCER GOAL AT</t>
  </si>
  <si>
    <t>10082219</t>
  </si>
  <si>
    <t xml:space="preserve">COKE PREMIUM DISPLAY 150CM AT </t>
  </si>
  <si>
    <t xml:space="preserve">KINLEY CUTTING BOARD AT </t>
  </si>
  <si>
    <t>TOPO CHICO BUCKET HAT AT</t>
  </si>
  <si>
    <t>10082465</t>
  </si>
  <si>
    <t>TOPO CHICO SUN CHAIR AT</t>
  </si>
  <si>
    <t>10082461</t>
  </si>
  <si>
    <t>COKE SUN CHAIR COPA BEACH AT</t>
  </si>
  <si>
    <t xml:space="preserve">10082467 </t>
  </si>
  <si>
    <t>COKE PLANT BOXES AT</t>
  </si>
  <si>
    <t xml:space="preserve">10082468 </t>
  </si>
  <si>
    <t>COKE A-STANDS BASIC AT</t>
  </si>
  <si>
    <t xml:space="preserve">10082466 </t>
  </si>
  <si>
    <t>COKE OUTDOOR SET AT</t>
  </si>
  <si>
    <t xml:space="preserve">10082538 </t>
  </si>
  <si>
    <t>KINLEY ICE BUCKET 5L AT</t>
  </si>
  <si>
    <t xml:space="preserve">10082537 </t>
  </si>
  <si>
    <t xml:space="preserve">KINLEY BOTTLE OPENER AT </t>
  </si>
  <si>
    <t xml:space="preserve">10082832 </t>
  </si>
  <si>
    <t xml:space="preserve">COSTA PAPER CUP 236ML AT </t>
  </si>
  <si>
    <t xml:space="preserve">10082833 </t>
  </si>
  <si>
    <t>COSTA LID 236 ML AT</t>
  </si>
  <si>
    <t>COSTA PAPER CUP 354ML AT</t>
  </si>
  <si>
    <t>COSTA ICE TUMBLER AT</t>
  </si>
  <si>
    <t xml:space="preserve">COSTA COLD BEW GLAS AT </t>
  </si>
  <si>
    <t>10082886</t>
  </si>
  <si>
    <t>COSTA E3 DISPLAY AT</t>
  </si>
  <si>
    <t>10082888</t>
  </si>
  <si>
    <t>COKE CAN RACK AT</t>
  </si>
  <si>
    <t>10082887</t>
  </si>
  <si>
    <t>COSTA LID 354ML AT</t>
  </si>
  <si>
    <t>10082904</t>
  </si>
  <si>
    <t>TOPO CHICO WOODEN SIDE TABLE AT</t>
  </si>
  <si>
    <t>10083092</t>
  </si>
  <si>
    <t>COKE LAZYBAG BEIGE AT</t>
  </si>
  <si>
    <t>10083039</t>
  </si>
  <si>
    <t>COKE WOODEN BLOCKS AT</t>
  </si>
  <si>
    <t xml:space="preserve">10083017 </t>
  </si>
  <si>
    <t>RQ POLISHING CLOTH AT</t>
  </si>
  <si>
    <t>10083484</t>
  </si>
  <si>
    <t>XMAS SHOPPING BAGS AT</t>
  </si>
  <si>
    <t>10083483</t>
  </si>
  <si>
    <t>COKE XMAS SOCKS AT</t>
  </si>
  <si>
    <t>10083524</t>
  </si>
  <si>
    <t>NEMIROFF PLASTIC GLASS 0.33L</t>
  </si>
  <si>
    <t xml:space="preserve">10083526 </t>
  </si>
  <si>
    <t>PERMANENT WOOD METAL RACK RQ 1L RGB AT</t>
  </si>
  <si>
    <t>10083525</t>
  </si>
  <si>
    <t>PERMANENT WOOD METAL RACK RQ EM 1LRGB AT</t>
  </si>
  <si>
    <t>10083675</t>
  </si>
  <si>
    <t>THE FAMOUS GROUSE GLASS FOR VAP AT</t>
  </si>
  <si>
    <t>10083676</t>
  </si>
  <si>
    <t>THE FAMOUS GROUSE VAP CARTON AT</t>
  </si>
  <si>
    <t>10083677</t>
  </si>
  <si>
    <t>RON BARCELO NOSING GLASS AT</t>
  </si>
  <si>
    <t>10083678</t>
  </si>
  <si>
    <t>RON BARCELO IMPERIAL GLASS AT</t>
  </si>
  <si>
    <t>10083679</t>
  </si>
  <si>
    <t>RON BARCELO BAR MATERIALS HOLDER AT</t>
  </si>
  <si>
    <t>10083733</t>
  </si>
  <si>
    <t>RON BARCELO ICEBOX AT</t>
  </si>
  <si>
    <t xml:space="preserve">10083734 </t>
  </si>
  <si>
    <t>RON BARCELO BARMAT AT</t>
  </si>
  <si>
    <t xml:space="preserve">10083735 </t>
  </si>
  <si>
    <t>RON BARCELO SERVING TABLET AT</t>
  </si>
  <si>
    <t xml:space="preserve">10083736 </t>
  </si>
  <si>
    <t xml:space="preserve">RON BARCELO MENU HOLDER AT </t>
  </si>
  <si>
    <t>10083737</t>
  </si>
  <si>
    <t>RON BARCELO APRON AT</t>
  </si>
  <si>
    <t>10083738</t>
  </si>
  <si>
    <t xml:space="preserve">RON BARCELO SENSORIC KIT AT </t>
  </si>
  <si>
    <t>10083739</t>
  </si>
  <si>
    <t>RON BARCELO GLORIFIER LIGHTED AT</t>
  </si>
  <si>
    <t>10083742</t>
  </si>
  <si>
    <t>RON BARCELO GRAN ANEJO DRINKCARD AT</t>
  </si>
  <si>
    <t>10083744</t>
  </si>
  <si>
    <t>RON BARCELO IMP PREM BLEND DRINKCARD AT</t>
  </si>
  <si>
    <t>10083743</t>
  </si>
  <si>
    <t>RON BARCELO IMPERIAL DRINKCARD AT</t>
  </si>
  <si>
    <t>10083745</t>
  </si>
  <si>
    <t xml:space="preserve">RON BARCELO ONYX STONES 4PCS SET AT </t>
  </si>
  <si>
    <t>10083746</t>
  </si>
  <si>
    <t>RON BARCELO PARTY COOLER AT</t>
  </si>
  <si>
    <t>10083778</t>
  </si>
  <si>
    <t>RON BARCELO BARBOX NEW AT</t>
  </si>
  <si>
    <t>10083779</t>
  </si>
  <si>
    <t>RON BARCELO IMPERIAL ROLLUP AT</t>
  </si>
  <si>
    <t>10083780</t>
  </si>
  <si>
    <t>RON BARCELO IMPERIAL ONYX DRINKCARD AT</t>
  </si>
  <si>
    <t>10083781</t>
  </si>
  <si>
    <t xml:space="preserve">RON BARCELO ANEJO DRINKCARD AT </t>
  </si>
  <si>
    <t>10083782</t>
  </si>
  <si>
    <t xml:space="preserve">RON BARCELO ONYX ROLLUP AT </t>
  </si>
  <si>
    <t>10083783</t>
  </si>
  <si>
    <t>THE FAMOUS GROUSE GLASS GASTRO AT</t>
  </si>
  <si>
    <t>10084241</t>
  </si>
  <si>
    <t>COKE XMAS METAL SIGN AT</t>
  </si>
  <si>
    <t xml:space="preserve">10084265 </t>
  </si>
  <si>
    <t>UMBRELLA STAND WHITE AT</t>
  </si>
  <si>
    <t>10084452</t>
  </si>
  <si>
    <t>RQ FOLDING FAN AT</t>
  </si>
  <si>
    <t>10084451</t>
  </si>
  <si>
    <t>XMAS COKE CHRISTMAS ORNAMENT AT</t>
  </si>
  <si>
    <t>10084448</t>
  </si>
  <si>
    <t>10084449</t>
  </si>
  <si>
    <t>10084450</t>
  </si>
  <si>
    <t>NEMIROFF BRANDED BARREL AT</t>
  </si>
  <si>
    <t>10084487</t>
  </si>
  <si>
    <t>COSTA COFFEE LED SIGN AT</t>
  </si>
  <si>
    <t>10084486</t>
  </si>
  <si>
    <t>COSTA COFFEE SIGN LIGHT BULBS AT</t>
  </si>
  <si>
    <t>10084485</t>
  </si>
  <si>
    <t>RON BARCELO CAIPIRINHA GLASS AT</t>
  </si>
  <si>
    <t>10084463</t>
  </si>
  <si>
    <t>RON BARCELO DECO BARREL AT</t>
  </si>
  <si>
    <t>10084462</t>
  </si>
  <si>
    <t>RON BARCELO ICE BUCKET NEW AT</t>
  </si>
  <si>
    <t>10084460</t>
  </si>
  <si>
    <t>RON BARCELO BISTRO APRON NEW AT</t>
  </si>
  <si>
    <t>10084461</t>
  </si>
  <si>
    <t>RON BARCELO BAR MAT NEW AT</t>
  </si>
  <si>
    <t>10084488</t>
  </si>
  <si>
    <t>COKE CONCRETE TABLE STAND NEW AT</t>
  </si>
  <si>
    <t>10084489</t>
  </si>
  <si>
    <t>POLAR FLEECEBLANKETS ROEMERQUELLE AT</t>
  </si>
  <si>
    <t>10084552</t>
  </si>
  <si>
    <t xml:space="preserve">8OZ CERAMIC CUP 1X12 AT </t>
  </si>
  <si>
    <t>10084553</t>
  </si>
  <si>
    <t>XMAS COKE CHRISTMAS ORNAMENT NEW AT</t>
  </si>
  <si>
    <t>10084722</t>
  </si>
  <si>
    <t>RQ SINGLE BOTTLE COOLER AT</t>
  </si>
  <si>
    <t>10084723</t>
  </si>
  <si>
    <t xml:space="preserve">KINLEY LONGDRINK GLASS AT </t>
  </si>
  <si>
    <t xml:space="preserve">10084746 </t>
  </si>
  <si>
    <t>PERMANENT COKE TRUCK E3 DISPLAY FC AT</t>
  </si>
  <si>
    <t>10084751</t>
  </si>
  <si>
    <t>COKE CONTOUR GLASS 300X6 HYBRIS AT</t>
  </si>
  <si>
    <t>10084752</t>
  </si>
  <si>
    <t>COKE CONTOUR GLASS 500X6 HYBRIS AT</t>
  </si>
  <si>
    <t>10084753</t>
  </si>
  <si>
    <t>ROEMERQUELLE DESIGN GLASS 1X6 HYBRIS AT</t>
  </si>
  <si>
    <t>10084754</t>
  </si>
  <si>
    <t>RQ UMBRELLA COVER BEIGE 3,5M HYBRIS AT</t>
  </si>
  <si>
    <t>10084755</t>
  </si>
  <si>
    <t>COKE UMBRELLA COVER BEIGE 3,5M HYBRIS AT</t>
  </si>
  <si>
    <t>10084756</t>
  </si>
  <si>
    <t>RQ UMBRELLA BEIGE 3,5M HYBRIS AT</t>
  </si>
  <si>
    <t>10084757</t>
  </si>
  <si>
    <t>COKE UMBRELLA BEIGE 3,5M HYBRIS AT</t>
  </si>
  <si>
    <t>10084758</t>
  </si>
  <si>
    <t>COKE UMBRELLA RED 3,5M HYBRIS AT</t>
  </si>
  <si>
    <t>10085518</t>
  </si>
  <si>
    <t>ROEMERQUELLE WOODEN BARREL AT</t>
  </si>
  <si>
    <t>10085519</t>
  </si>
  <si>
    <t>COKE RETRO BIKE AT</t>
  </si>
  <si>
    <t>10085515</t>
  </si>
  <si>
    <t>COKE FLEECE BLANKET RED AT</t>
  </si>
  <si>
    <t>10085516</t>
  </si>
  <si>
    <t>COKE WOODEN INNOVATION DISPLAY AT</t>
  </si>
  <si>
    <t>10085517</t>
  </si>
  <si>
    <t>COKE SKI BIKE STAND AT</t>
  </si>
  <si>
    <t>10085514</t>
  </si>
  <si>
    <t>COKE BEACHBALL SET AT</t>
  </si>
  <si>
    <t>10085513</t>
  </si>
  <si>
    <t>FANTA BEACH BALL AT</t>
  </si>
  <si>
    <t>10085512</t>
  </si>
  <si>
    <t>SPRITE BEACH BALL AT</t>
  </si>
  <si>
    <t>10085511</t>
  </si>
  <si>
    <t>FANTA WATER MATTRESS AT</t>
  </si>
  <si>
    <t>10085633</t>
  </si>
  <si>
    <t>COSTA COFFEE CORNER AT</t>
  </si>
  <si>
    <t>10085636</t>
  </si>
  <si>
    <t>ROEMERQUELLE NOTEPADS 1X5 AT</t>
  </si>
  <si>
    <t>10085771</t>
  </si>
  <si>
    <t xml:space="preserve">TOPO CHICO LAZY BAG AT </t>
  </si>
  <si>
    <t>10085772</t>
  </si>
  <si>
    <t>COKE BIKE BASKET AT</t>
  </si>
  <si>
    <t>10085782</t>
  </si>
  <si>
    <t>COKE LEDSINGS ROUND RED</t>
  </si>
  <si>
    <t>10085783</t>
  </si>
  <si>
    <t>COKE LEDSINGS BLACK BOTTLESHAPE</t>
  </si>
  <si>
    <t>10085784</t>
  </si>
  <si>
    <t>ACRYL INSERTS FOR TABLE STANDS 1X5 AT</t>
  </si>
  <si>
    <t>10085808</t>
  </si>
  <si>
    <t>NEMIROFF DECK CHAIR SINGLE ALU AT</t>
  </si>
  <si>
    <t>10085833</t>
  </si>
  <si>
    <t xml:space="preserve">COKE BEACHBALL AT </t>
  </si>
  <si>
    <t>KINLEY ICE BUCKETS AT</t>
  </si>
  <si>
    <t>10085834</t>
  </si>
  <si>
    <t>COCA-COLA APRON NEW AT</t>
  </si>
  <si>
    <t>10086029</t>
  </si>
  <si>
    <t xml:space="preserve">LUCANO GIFT BOX AT </t>
  </si>
  <si>
    <t>CC UMBRELLA BEIGE 2.5M INSIDE BRANDED AT</t>
  </si>
  <si>
    <t>RQ UMBRELLA BEIGE 2.5M INSIDE BRANDED AT</t>
  </si>
  <si>
    <t>SSF 8004625236</t>
  </si>
  <si>
    <t>VERGNANO BLACK ESPRESSO CUP MATT</t>
  </si>
  <si>
    <t>VERGNANO BLACK ESPRESSO SAUCER MATT</t>
  </si>
  <si>
    <t>VERGNANO BLACK CAPPUCCINO CUP MATT</t>
  </si>
  <si>
    <t>VERGNANO BLACK CAPPUCCINO SAUCER MATT</t>
  </si>
  <si>
    <t>VERGNANO SMALL BLACK MILK JUG</t>
  </si>
  <si>
    <t>VERGNANO SMALL WATER GLASS 3OZ</t>
  </si>
  <si>
    <t>VERGNANO LARGE MACCHIATO GLASS 12OZ</t>
  </si>
  <si>
    <t>VERGNANO LARGE IRISH GLASS 8OZ</t>
  </si>
  <si>
    <t>VERGNANO BLACKBOARD</t>
  </si>
  <si>
    <t>VERGNANO BLACKBOARD FOR EXTERIOR</t>
  </si>
  <si>
    <t>VERGNANO POSTER-ORIGINAL 1882 (IT)</t>
  </si>
  <si>
    <t>VERGNANO POSTER-ESPRESSO CUP (IT)</t>
  </si>
  <si>
    <t>VERGNANO LONG APRON</t>
  </si>
  <si>
    <t>VERGNANO SHORT APRON</t>
  </si>
  <si>
    <t>VERGNANO SMALL PLEXI SIGN BAR COUNTER</t>
  </si>
  <si>
    <t>VERGNANO SINGLE FACE LIGHTED SIGN</t>
  </si>
  <si>
    <t>VERGNANO MOKA POT RED NEW DESIGN</t>
  </si>
  <si>
    <t>VERGNANO MOKA POT BLACK NEW DESIGN</t>
  </si>
  <si>
    <t>VERGNANO MOKA POT PINK NEW DESIGN</t>
  </si>
  <si>
    <t>VERGNANO MOKA POT GREEN NEW DESIGN</t>
  </si>
  <si>
    <t>VERGNANO RED MATT ESP CUP AND SAUCER</t>
  </si>
  <si>
    <t>VERGNANO GREEN MATT ESP CUP AND SAUCER</t>
  </si>
  <si>
    <t>VERGNANO PINK MATT ESP CUP AND SAUCER</t>
  </si>
  <si>
    <t>VERGN RED MATT ESP CUP SAUCER SING WR</t>
  </si>
  <si>
    <t>VERGN GREEN MATT ESP CUP SAUCER SING WRA</t>
  </si>
  <si>
    <t>VERGNANO PINK MATT ESP CUP SAUCR SING WR</t>
  </si>
  <si>
    <t>10087406</t>
  </si>
  <si>
    <t>PERMANENT COKE BBQ E3 DISPLAY FC AT</t>
  </si>
  <si>
    <t xml:space="preserve">10087518 </t>
  </si>
  <si>
    <t xml:space="preserve">WHITE ESPRESSO CUP MATT X6 AT </t>
  </si>
  <si>
    <t>10087512</t>
  </si>
  <si>
    <t>VERGN WHITE ESPRESSO SAUCER MATT X6 AT</t>
  </si>
  <si>
    <t>10087513</t>
  </si>
  <si>
    <t>VERGNANO WHITE CAPPUCCINO CUP MATT X6 AT</t>
  </si>
  <si>
    <t>10087515</t>
  </si>
  <si>
    <t>VERGN WHITE CAPPUCCINO SAUCER MATT X6 AT</t>
  </si>
  <si>
    <t>10087516</t>
  </si>
  <si>
    <t>VERGN SMALL WHITE MILK JUG NONEU X6 AT</t>
  </si>
  <si>
    <t xml:space="preserve">10087525 </t>
  </si>
  <si>
    <t>VERGN WOODEN TRAY-RECTANGULAR 26X15CM AT</t>
  </si>
  <si>
    <t xml:space="preserve">10087517 </t>
  </si>
  <si>
    <t>VERGNANO COFFEE TAMPER AT</t>
  </si>
  <si>
    <t>10087641</t>
  </si>
  <si>
    <t>HONEST APRON SHORT &amp; BLACK AT</t>
  </si>
  <si>
    <t>10087628</t>
  </si>
  <si>
    <t>COKE STAINLESS STEEL BOTTLE 550ML AT</t>
  </si>
  <si>
    <t>10087664</t>
  </si>
  <si>
    <t>ROEMERQUELLE SERVING TRAY ROUND GREEN AT</t>
  </si>
  <si>
    <t>10087853</t>
  </si>
  <si>
    <t>RQ SINGLE BOTTLE COOLER 2022 AT</t>
  </si>
  <si>
    <t>10087854</t>
  </si>
  <si>
    <t>COCA COLA SUNCHAIR BEIGE AT</t>
  </si>
  <si>
    <t xml:space="preserve">10087980 </t>
  </si>
  <si>
    <t xml:space="preserve">TOPO CHICO FRISBEE AT </t>
  </si>
  <si>
    <t>10088047</t>
  </si>
  <si>
    <t>COKE SNACKING BOWL FIFA 2022 AT</t>
  </si>
  <si>
    <t>10088063</t>
  </si>
  <si>
    <t>COCA COLA PREMIUM WOODEN DISPLAY 2022 AT</t>
  </si>
  <si>
    <t>ROEMERQUELLE &amp; WACHAU SUNCHAIR 2022 AT</t>
  </si>
  <si>
    <t>RQ &amp; WACHAU SUNSHADE 176X176CM AT</t>
  </si>
  <si>
    <t>OUTDOOR SET CUSHION &amp; PLATE AT</t>
  </si>
  <si>
    <t>OUTDOOR SET PALLET SOFA AT</t>
  </si>
  <si>
    <t xml:space="preserve">OUTDOOR SET PALLET TABLE AT </t>
  </si>
  <si>
    <t>RQ FLEECE BLANKET BEIGE 130X160 AT</t>
  </si>
  <si>
    <t>10088136</t>
  </si>
  <si>
    <t>COKE BBQ APRON AT</t>
  </si>
  <si>
    <t>10088137</t>
  </si>
  <si>
    <t>COCA COLA BEACH BALL RED AT</t>
  </si>
  <si>
    <t>10088322</t>
  </si>
  <si>
    <t>RQ BOTTLE PRESENTER F. 0.75L AT</t>
  </si>
  <si>
    <t>10088470</t>
  </si>
  <si>
    <t>KINLEY FLEECE BLANKETS</t>
  </si>
  <si>
    <t>10088510</t>
  </si>
  <si>
    <t>KINLEY SUN SHADE 3.5M BEIGE 2022</t>
  </si>
  <si>
    <t>10088511</t>
  </si>
  <si>
    <t>LED BAR DISPLAY KINLEY A5 BATTERY</t>
  </si>
  <si>
    <t>10088722</t>
  </si>
  <si>
    <t>KINLEY LED ICEBUCKET</t>
  </si>
  <si>
    <t>10088721</t>
  </si>
  <si>
    <t>RQ DESIGN GLASS 1X6 2022 AT</t>
  </si>
  <si>
    <t>10088839</t>
  </si>
  <si>
    <t>KINLEY ROOFED WICKER BEACH CHAIR AT</t>
  </si>
  <si>
    <t>10088798</t>
  </si>
  <si>
    <t>COKE TOY TRUCK X-MAS 2022 AT</t>
  </si>
  <si>
    <t>10088799</t>
  </si>
  <si>
    <t>COKE PUZZLE X-MAS 2022 AT</t>
  </si>
  <si>
    <t>10088800</t>
  </si>
  <si>
    <t>RQ COASTER CORK 1X10 AT</t>
  </si>
  <si>
    <t>10088938</t>
  </si>
  <si>
    <t>TOPO CHICO PARASOL 3.5M AT</t>
  </si>
  <si>
    <t>10088982</t>
  </si>
  <si>
    <t xml:space="preserve">COKE ICE CUBE TRAY AT </t>
  </si>
  <si>
    <t>10088981</t>
  </si>
  <si>
    <t>COKE STRAW HAT AT</t>
  </si>
  <si>
    <t>10088983</t>
  </si>
  <si>
    <t>COKE CAR CHARGER AT</t>
  </si>
  <si>
    <t>10088984</t>
  </si>
  <si>
    <t>COKE FOLDABLE SHOPPING BAG AT</t>
  </si>
  <si>
    <t>10089037</t>
  </si>
  <si>
    <t>NEMIROFF LED SIGN AT</t>
  </si>
  <si>
    <t>10089038</t>
  </si>
  <si>
    <t>COKE CUPS 0.3L 1X50 HYBRIS AT</t>
  </si>
  <si>
    <t>10089039</t>
  </si>
  <si>
    <t>COKE CUPS 0.4L 1X50 HYBRIS AT</t>
  </si>
  <si>
    <t>10089040</t>
  </si>
  <si>
    <t>COKE CUPS 0.5L 1X50 HYBRIS AT</t>
  </si>
  <si>
    <t>10089042</t>
  </si>
  <si>
    <t>COKE PAPER LIDS 1X45 HYBRIS AT</t>
  </si>
  <si>
    <t>10089041</t>
  </si>
  <si>
    <t>COKE CUPS 0.3L_OLD DESIGN 1X50 HYBRIS AT</t>
  </si>
  <si>
    <t>10089099</t>
  </si>
  <si>
    <t>COSTA COFFEE TG WAFFLE CUP 1X12 AT</t>
  </si>
  <si>
    <t>10089171</t>
  </si>
  <si>
    <t>COSTA GYM BAG AT</t>
  </si>
  <si>
    <t>10089172</t>
  </si>
  <si>
    <t>VERGNANO BRUSH AT</t>
  </si>
  <si>
    <t>10089173</t>
  </si>
  <si>
    <t xml:space="preserve">VERGNANO INOX MILK JUG (35CL) NONEU AT </t>
  </si>
  <si>
    <t>10089174</t>
  </si>
  <si>
    <t>VERGNANO INOX MILK JUG (50CL) NONEU AT</t>
  </si>
  <si>
    <t>10089175</t>
  </si>
  <si>
    <t>VERGNANO INOX MILK JUG (75CL) NONEU AT</t>
  </si>
  <si>
    <t xml:space="preserve">BARCELO CAIPIRINHA GLASS 6X 355ML NEU AT </t>
  </si>
  <si>
    <t>RON BARCELO LED ICE BUCKET AT</t>
  </si>
  <si>
    <t>RON BARCELO POURRER COPPER AT</t>
  </si>
  <si>
    <t>COKE X-MAS STOCKING 2022 AT</t>
  </si>
  <si>
    <t>10089505</t>
  </si>
  <si>
    <t>RON BARCELO UMBRELLA BEIGE 2X2M AT</t>
  </si>
  <si>
    <t>10089506</t>
  </si>
  <si>
    <t>NEMIROFF UMBRELLA BLACK 2X2M AT</t>
  </si>
  <si>
    <t>10089503</t>
  </si>
  <si>
    <t>KINLEY UMBRELLA COVER WHITE 1.75X1.75</t>
  </si>
  <si>
    <t>10089832</t>
  </si>
  <si>
    <t>COSTA COFFEE A-DISPLAY AT</t>
  </si>
  <si>
    <t>10089669</t>
  </si>
  <si>
    <t>COKE ICE SCRAPER AT</t>
  </si>
  <si>
    <t>10089970</t>
  </si>
  <si>
    <t>RON BARCELO SUNCHAIR AT</t>
  </si>
  <si>
    <t>RON BARCELO LOUNGE CHAIR AT</t>
  </si>
  <si>
    <t>10089973</t>
  </si>
  <si>
    <t>BAR MIXING E3 DISPLAY FC AT</t>
  </si>
  <si>
    <t>10089972</t>
  </si>
  <si>
    <t>RON BARCELO LOUNGE TABLE AT</t>
  </si>
  <si>
    <t>10090398</t>
  </si>
  <si>
    <t>COKE RGB CRATES E3 DISPLAY AT</t>
  </si>
  <si>
    <t>10090399</t>
  </si>
  <si>
    <t>COKE RGB CRATES E3 DISPLAY LIGHTBOX AT</t>
  </si>
  <si>
    <t>10090400</t>
  </si>
  <si>
    <t>COSTA COFFEE CORNER NEW ID AT</t>
  </si>
  <si>
    <t>10090457</t>
  </si>
  <si>
    <t xml:space="preserve">COKE DYNAMO E3 DISPLAY AT </t>
  </si>
  <si>
    <t>10090458</t>
  </si>
  <si>
    <t>COKE AIR FRESHENER 1X10 AT</t>
  </si>
  <si>
    <t>10090487</t>
  </si>
  <si>
    <t>COKE KITCHEN COUNTER E3 DISPLAY FC AT</t>
  </si>
  <si>
    <t>10090481</t>
  </si>
  <si>
    <t>0.25 X6 RQ LONGDRINKGLASS 2022 AT</t>
  </si>
  <si>
    <t>10090482</t>
  </si>
  <si>
    <t>RQ UMBRELLA 3.5M BEIGE 2022 AT</t>
  </si>
  <si>
    <t>10090483</t>
  </si>
  <si>
    <t>RQ UMBRELLA 180CM BEIGE 2022 AT</t>
  </si>
  <si>
    <t>10090484</t>
  </si>
  <si>
    <t xml:space="preserve">RQ UMBRELLA 180CM WEINSTRASSE 2022 </t>
  </si>
  <si>
    <t>10090485</t>
  </si>
  <si>
    <t xml:space="preserve">RQ WOODEN RACK IC 2022 AT </t>
  </si>
  <si>
    <t>10090596</t>
  </si>
  <si>
    <t>COKE COASTERS 1X4 AT</t>
  </si>
  <si>
    <t>10090699</t>
  </si>
  <si>
    <t>VERGN RED MATT ESPR CUP AND SAUCER X6 AT</t>
  </si>
  <si>
    <t>10090703</t>
  </si>
  <si>
    <t>VERGN GREEN MATT ESPR CUP &amp; SAUCER X6 AT</t>
  </si>
  <si>
    <t>10090701</t>
  </si>
  <si>
    <t>VERGN GREEN MATT CAPP CUP &amp; SAUCER X6 AT</t>
  </si>
  <si>
    <t>10090710</t>
  </si>
  <si>
    <t>VERGN PINK MATT ESP CUP&amp;SAUCER WIC X6 AT</t>
  </si>
  <si>
    <t>10090711</t>
  </si>
  <si>
    <t>VERGN PINK MAT CAPP CUP&amp;SAUCER WIC X6 AT</t>
  </si>
  <si>
    <t>10090712</t>
  </si>
  <si>
    <t xml:space="preserve">VERGN PINK MUG WIC X6 AT </t>
  </si>
  <si>
    <t>10090702</t>
  </si>
  <si>
    <t>COSTA COLD BREW SERV GLASS 11OZ 1X12 AT</t>
  </si>
  <si>
    <t>10090713</t>
  </si>
  <si>
    <t>RQ DOUBLE BOTTLE COOLER 2022 AT</t>
  </si>
  <si>
    <t>10090925</t>
  </si>
  <si>
    <t>COSTA SAMPLING BRIEFCHEN 1ER AT</t>
  </si>
  <si>
    <t>10091226</t>
  </si>
  <si>
    <t>RQ COVER 3.5M 2022 AT</t>
  </si>
  <si>
    <t>10091556</t>
  </si>
  <si>
    <t>HOLDER FOR 3.5M UMBRELLAS AT</t>
  </si>
  <si>
    <t>10091727</t>
  </si>
  <si>
    <t>PADRECITO BEACHFLAG AT</t>
  </si>
  <si>
    <t>10091726</t>
  </si>
  <si>
    <t>LIMONCETTA BEACHFLAG 1PC AT</t>
  </si>
  <si>
    <t>10091725</t>
  </si>
  <si>
    <t xml:space="preserve">COSTA TABLE DISPLAY AT </t>
  </si>
  <si>
    <t>10091705</t>
  </si>
  <si>
    <t>VERGNANO TABLE DISPLAY AT</t>
  </si>
  <si>
    <t>10091706</t>
  </si>
  <si>
    <t>COSTA SHORT APRON AT</t>
  </si>
  <si>
    <t>10091704</t>
  </si>
  <si>
    <t>COSTA LONG APRON AT</t>
  </si>
  <si>
    <t>10091681</t>
  </si>
  <si>
    <t>COSTA COFFEE TAMPER AT</t>
  </si>
  <si>
    <t>10091682</t>
  </si>
  <si>
    <t>COSTA MILKJUG AT</t>
  </si>
  <si>
    <t>10091683</t>
  </si>
  <si>
    <t xml:space="preserve">COSTA STICKY NOTES AT </t>
  </si>
  <si>
    <t>10091684</t>
  </si>
  <si>
    <t>COSTA LANYARDS AT</t>
  </si>
  <si>
    <t>10091685</t>
  </si>
  <si>
    <t>COKE TABLETENT BLACKBOARD TG</t>
  </si>
  <si>
    <t>10091686</t>
  </si>
  <si>
    <t>KINLEY BOTTLE PRESENTER AT</t>
  </si>
  <si>
    <t>10091782</t>
  </si>
  <si>
    <t>A-STAND COKE SUMMER 2023 AT</t>
  </si>
  <si>
    <t>10091783</t>
  </si>
  <si>
    <t>COKE MENU CARD HOLDER METAL BLACK AT</t>
  </si>
  <si>
    <t>10091817</t>
  </si>
  <si>
    <t>POWERADE BACKPACK AT</t>
  </si>
  <si>
    <t>10091816</t>
  </si>
  <si>
    <t>POWERADE HEADBAND AT</t>
  </si>
  <si>
    <t>10091815</t>
  </si>
  <si>
    <t>POWERADE YOGA MAT AT</t>
  </si>
  <si>
    <t xml:space="preserve">10091950 </t>
  </si>
  <si>
    <t>LUCANO BOTTLE LAMP 1PC AT</t>
  </si>
  <si>
    <t>10091951</t>
  </si>
  <si>
    <t>LUCANO BLACKBOARD 1PC AT</t>
  </si>
  <si>
    <t>10092024</t>
  </si>
  <si>
    <t>WOODEN MENU-STAND RQ 2023 AT</t>
  </si>
  <si>
    <t>10092145</t>
  </si>
  <si>
    <t>POWERADE WRISTBAND AT</t>
  </si>
  <si>
    <t>10092196</t>
  </si>
  <si>
    <t>BEACHFLAG POWERADE 2023 AT</t>
  </si>
  <si>
    <t>10092195</t>
  </si>
  <si>
    <t>SUNSHADE 180CM POWERADE 2023 AT</t>
  </si>
  <si>
    <t>10092197</t>
  </si>
  <si>
    <t>SUNCHAIR POWERADE 2023 AT</t>
  </si>
  <si>
    <t>10092427</t>
  </si>
  <si>
    <t>LIMONCETTA LIGHTNING TABLE CUBES 3 PC AT</t>
  </si>
  <si>
    <t>10092552</t>
  </si>
  <si>
    <t>PERMANENT COKE BBQ E3 DISPLAY FC 2023 AT</t>
  </si>
  <si>
    <t>10092987</t>
  </si>
  <si>
    <t>VERG RED MAT ESP CUP AND SAUCER X6 NW AT</t>
  </si>
  <si>
    <t>10092988</t>
  </si>
  <si>
    <t>VERG GREEN MAT ESP CUP &amp; SAUCER X6 NW AT</t>
  </si>
  <si>
    <t>10092989</t>
  </si>
  <si>
    <t>VERG PINK MAT ESP CUP&amp;SAUCR WIC X6 NW AT</t>
  </si>
  <si>
    <t>10092990</t>
  </si>
  <si>
    <t>VERG PINK MAT CAP CUP&amp;SAUCR WIC X6 NW AT</t>
  </si>
  <si>
    <t>10092991</t>
  </si>
  <si>
    <t>VERG GREEN MAT CAPP CUP&amp;SAUCER X6 NW AT</t>
  </si>
  <si>
    <t>10092992</t>
  </si>
  <si>
    <t xml:space="preserve">VERG MOKA POT BLACK&amp;ALUMINUM IND X1 AT </t>
  </si>
  <si>
    <t>10092993</t>
  </si>
  <si>
    <t>VERG RED MAT ESP CUP &amp; SAUCR X8 NW SW AT</t>
  </si>
  <si>
    <t>10092994</t>
  </si>
  <si>
    <t>VERG GREEN MAT ESP CUP&amp;SAUCR X8 NW SW AT</t>
  </si>
  <si>
    <t>10092995</t>
  </si>
  <si>
    <t>VERG GREEN MAT CAP CUP&amp;SAUCR X5 NW SW AT</t>
  </si>
  <si>
    <t>10093001</t>
  </si>
  <si>
    <t>VERG BLUE MATT ESPR CUP&amp;SAUCER X6 NW AT</t>
  </si>
  <si>
    <t>10093000</t>
  </si>
  <si>
    <t>VERGNANO PINK MUG WIC X6 AT</t>
  </si>
  <si>
    <t>10092999</t>
  </si>
  <si>
    <t>VERG BLUE MAT ESP CUP&amp;SAUCR X8 NW SW AT</t>
  </si>
  <si>
    <t>10092998</t>
  </si>
  <si>
    <t>VERG PINK MAT CAP CUP&amp;SAUCR X5 NW SW AT</t>
  </si>
  <si>
    <t>10092997</t>
  </si>
  <si>
    <t>VERG BLACK HOT CHOCOLATE CUP&amp;SAUCR X6 AT</t>
  </si>
  <si>
    <t>10092996</t>
  </si>
  <si>
    <t>VERGNANO BLACK MUG X6 AT</t>
  </si>
  <si>
    <t>COKE WINTER FLEECE BLANKETS 2023 AT</t>
  </si>
  <si>
    <t>10093183</t>
  </si>
  <si>
    <t>VERGN CF WINDOW STICKER 10CM AT</t>
  </si>
  <si>
    <t>10093184</t>
  </si>
  <si>
    <t>VERGN CF WINDOW STICKER 25CM AT</t>
  </si>
  <si>
    <t>10093185</t>
  </si>
  <si>
    <t>VERGN RD LOGO STICKER COFF MACHIN 8CM AT</t>
  </si>
  <si>
    <t>10093186</t>
  </si>
  <si>
    <t xml:space="preserve">VERG LET STICKR FOR COF MACHIN BL GLO AT </t>
  </si>
  <si>
    <t>10093187</t>
  </si>
  <si>
    <t>VERG LET STICKR FOR COF MACHIN SV GLO AT</t>
  </si>
  <si>
    <t>10093189</t>
  </si>
  <si>
    <t>VERGNANO GRINDER STICKER AT</t>
  </si>
  <si>
    <t>10093190</t>
  </si>
  <si>
    <t>VERGN SIGN SINGLE FACE ALUMINIUM 48CM AT</t>
  </si>
  <si>
    <t>10093191</t>
  </si>
  <si>
    <t>VERG SIG FLAG DOUB FACE SPOTLIGH 48CM AT</t>
  </si>
  <si>
    <t>10093197</t>
  </si>
  <si>
    <t>VERGN SIGN WALL SINGLE FACE BACKLIT AT</t>
  </si>
  <si>
    <t>10093198</t>
  </si>
  <si>
    <t>VERGN CV POLO SHIRT SLEEVE MAN M AT</t>
  </si>
  <si>
    <t>10093199</t>
  </si>
  <si>
    <t>VERGN CV POLO SHIRT SLEEVE MAN L AT</t>
  </si>
  <si>
    <t>10093200</t>
  </si>
  <si>
    <t xml:space="preserve">VERGN CV POLO SHIRT SLEEVE MAN XL AT </t>
  </si>
  <si>
    <t>10093201</t>
  </si>
  <si>
    <t>VERGN CV POLO SHIRT SLEEVE MAN XXL AT</t>
  </si>
  <si>
    <t>10093223</t>
  </si>
  <si>
    <t>COKE OUTDOOR SNOWBOARD SEAT AT</t>
  </si>
  <si>
    <t>10093229</t>
  </si>
  <si>
    <t>RON BARCELO BAMBOO GLAS &amp; STROHHALM AT</t>
  </si>
  <si>
    <t>RON BARCELO BAMBUS UNTERSETZER AT</t>
  </si>
  <si>
    <t>10093224</t>
  </si>
  <si>
    <t>RON BARCELO BARKIT 10TLG AT</t>
  </si>
  <si>
    <t>10093230</t>
  </si>
  <si>
    <t xml:space="preserve">KINLEY GLASSES X6 AT </t>
  </si>
  <si>
    <t>RON BARCELO BARMATTE AT</t>
  </si>
  <si>
    <t>COKE WOODEN SPOON AT</t>
  </si>
  <si>
    <t>10093318</t>
  </si>
  <si>
    <t>VERGNANO GRINDER ADAPTER FIORENZATO AT</t>
  </si>
  <si>
    <t xml:space="preserve">10093319 </t>
  </si>
  <si>
    <t>VERGNANO GRINDER ADAPTER MAZZER ROBUR AT</t>
  </si>
  <si>
    <t>10093320</t>
  </si>
  <si>
    <t>VERG GRINDER ADAPTER MAZZER SUP JOLLY AT</t>
  </si>
  <si>
    <t>10093340</t>
  </si>
  <si>
    <t>COKE HAND WARMER AT</t>
  </si>
  <si>
    <t>10093349</t>
  </si>
  <si>
    <t>RQ DESIGN GLASS X6 WITHOUT GAUCHE MARK</t>
  </si>
  <si>
    <t>10093360</t>
  </si>
  <si>
    <t>ROEMERQUELLE SERVING TRAY 2023 AT</t>
  </si>
  <si>
    <t>10093644</t>
  </si>
  <si>
    <t>COKE GASTRO APRON ECOM AT</t>
  </si>
  <si>
    <t>10093645</t>
  </si>
  <si>
    <t>RQ APRON ECOM AT</t>
  </si>
  <si>
    <t>10093646</t>
  </si>
  <si>
    <t>COCA COLA TABLE SOCCER ECOM AT</t>
  </si>
  <si>
    <t>10093647</t>
  </si>
  <si>
    <t>COKE CHALKBOARD WOODEN FRAME ECOM AT</t>
  </si>
  <si>
    <t>10093648</t>
  </si>
  <si>
    <t>RQ CHALKBOARD WOODEN FRAME ECOM AT</t>
  </si>
  <si>
    <t>COKE RETRO MODULAR DISPLAY RACK FC AT</t>
  </si>
  <si>
    <t>10093681</t>
  </si>
  <si>
    <t>PERMANENT CC XMAS TREE DISPLAY FC AT</t>
  </si>
  <si>
    <t>10093682</t>
  </si>
  <si>
    <t>RQ 1L CRATES E3 DISPLAY AT</t>
  </si>
  <si>
    <t>10093832</t>
  </si>
  <si>
    <t>VERG WHITE HOT CHOCOLATE CUP&amp;SAUCR AT</t>
  </si>
  <si>
    <t>10093833</t>
  </si>
  <si>
    <t>VERGNANO WHITE MUG AT</t>
  </si>
  <si>
    <t>10093834</t>
  </si>
  <si>
    <t>VERGN CV POLO SHIRT SLEEVE MAN S AT</t>
  </si>
  <si>
    <t>10093835</t>
  </si>
  <si>
    <t>VERGN POLO SHIRT SLEEVE FOR WOMAN XS A</t>
  </si>
  <si>
    <t>10093836</t>
  </si>
  <si>
    <t>VERGN POLO SHIRT SLEEVE FOR WOMAN S AT</t>
  </si>
  <si>
    <t>10093837</t>
  </si>
  <si>
    <t>VERGN POLO SHIRT SLEEVE FOR WOMAN M AT</t>
  </si>
  <si>
    <t>10093838</t>
  </si>
  <si>
    <t>VERGN POLO SHIRT SLEEVE FOR WOMAN L AT</t>
  </si>
  <si>
    <t>10093839</t>
  </si>
  <si>
    <t>VERGN POLO SHIRT SLEEVE FOR WOMAN XL AT</t>
  </si>
  <si>
    <t>10093840</t>
  </si>
  <si>
    <t>VERGNANO CV PARASOL AT</t>
  </si>
  <si>
    <t>10093841</t>
  </si>
  <si>
    <t>VERGNANO CV UMBRELLA COVER AT</t>
  </si>
  <si>
    <t>10093842</t>
  </si>
  <si>
    <t>VERGNANO UMBRELLA STAND METAL CROSS AT</t>
  </si>
  <si>
    <t>10093843</t>
  </si>
  <si>
    <t>VERGNANO CONCRETE SLAB AT</t>
  </si>
  <si>
    <t>10093844</t>
  </si>
  <si>
    <t>VERGNANO CONCRETE BASE AT</t>
  </si>
  <si>
    <t>10093845</t>
  </si>
  <si>
    <t xml:space="preserve">VERGNANO GROUND SLEEVE AT </t>
  </si>
  <si>
    <t>ROEMERQUELLE STEM GLASSES X6 AT</t>
  </si>
  <si>
    <t>10093892</t>
  </si>
  <si>
    <t>ROEMERQUELLE LONGDRINK GLASSES X6 AT</t>
  </si>
  <si>
    <t>10093893</t>
  </si>
  <si>
    <t>COCA COLA UMBRELLA 3.5M RED 2024 AT</t>
  </si>
  <si>
    <t>10093894</t>
  </si>
  <si>
    <t>COCA COLA UMBRELLA 3.5M BEIGE 2024 AT</t>
  </si>
  <si>
    <t>10093895</t>
  </si>
  <si>
    <t>KINLEY UMBRELLA 3.5M 2024 AT</t>
  </si>
  <si>
    <t>COKE XMAS SLEDGE PERMANENT DISPLAY AT</t>
  </si>
  <si>
    <t>FUZETEA PERMANENT RACK AT</t>
  </si>
  <si>
    <t>COKE SPRINGLOAD DISPLAY AT</t>
  </si>
  <si>
    <t>KINLEY GLAS VIANA 50CL NO GAUCHE MARK AT</t>
  </si>
  <si>
    <t>COKE A STAND A1 AT</t>
  </si>
  <si>
    <t>RQ A STAND A1 AT</t>
  </si>
  <si>
    <t xml:space="preserve">COKE CONTOR GLAS 0.37CL X6 NO CALIB L AT </t>
  </si>
  <si>
    <t xml:space="preserve">COCA COLA BOTTLE OPENER WOODEN AT </t>
  </si>
  <si>
    <t>POWERADE HYDRATION BELT AT</t>
  </si>
  <si>
    <t>COCA COLA UMBRELLA COVER BEIGE 2024 AT</t>
  </si>
  <si>
    <t>COKE SMALL UMBRELLA 180 SQUARE RED 24 AT</t>
  </si>
  <si>
    <t>COKE SMALL UMBREL 180 SQUARE BEIGE 24 AT</t>
  </si>
  <si>
    <t>COKE BEACH BLANKET ECOM AT</t>
  </si>
  <si>
    <t>COKE WOODEN BEACH CHAIR ECOM AT</t>
  </si>
  <si>
    <t>COKE WINTER SUNCHAIR BLACK AT</t>
  </si>
  <si>
    <t>COKE CREATIONS E3 DISPLAY AT</t>
  </si>
  <si>
    <t>COKE PIZZA E3 DISPLAY AT</t>
  </si>
  <si>
    <t>COKE EASTER EGG E3 DISPLAY AT</t>
  </si>
  <si>
    <t>COCA COLA TRUMPET AT</t>
  </si>
  <si>
    <t>POWERADE REPAIR STATION AT</t>
  </si>
  <si>
    <t>POWERADE E3 DISPLAY IC AT</t>
  </si>
  <si>
    <t>COCA COLA SOCCER BALL AT</t>
  </si>
  <si>
    <t>KINLEY MIXING BAR CARD HOLDER AT</t>
  </si>
  <si>
    <t>COKE RGB CRATES E3 DISPLAY W SCREEN AT</t>
  </si>
  <si>
    <t>PADRE AZUL 40 BARMATS BLACK AT</t>
  </si>
  <si>
    <t>PADRECITO 40 BARMATS LIGHT BLUE AT</t>
  </si>
  <si>
    <t>PADRE AZUL ANEJO SCHWENKER X6 GLASSES AT</t>
  </si>
  <si>
    <t>KINLEY LED ICE BUCKET AT</t>
  </si>
  <si>
    <t>KINLEY DECORATIVE CUSION 4PACK AT</t>
  </si>
  <si>
    <t>KINLEY DECKCHAIR AT</t>
  </si>
  <si>
    <t>KINLEY SIDE TABLE AT</t>
  </si>
  <si>
    <t>KINLEY BARMATT AT</t>
  </si>
  <si>
    <t>COKE PIZZA SLICE SHELF AT</t>
  </si>
  <si>
    <t>COKE GENERIC GONDOLA END AT</t>
  </si>
  <si>
    <t>KINLEY UMBRELLA SMALL TURQUOISE 150CM AT</t>
  </si>
  <si>
    <t>KINLEY UMBRELLA SMALL GREY 150CM AT</t>
  </si>
  <si>
    <t>POWERADE UMBRELLA SMALL 150CM AT</t>
  </si>
  <si>
    <t>COKE POPCORN MACHINE AT</t>
  </si>
  <si>
    <t>METAL BARREL SHUTE JACK&amp;COKE AT</t>
  </si>
  <si>
    <t>POWERADE BIKE STAND AT</t>
  </si>
  <si>
    <t>COCA COLA MENU HOLDER AT</t>
  </si>
  <si>
    <t>MONSTER GENERIC DISPLAY 4F AT</t>
  </si>
  <si>
    <t>COKE STADIUM E3 DISPLAY AT</t>
  </si>
  <si>
    <t>FINLANDIA X12 LONGDRINKGLASSES AT</t>
  </si>
  <si>
    <t>FINLANDIA X1 ICE BUCKETS AT</t>
  </si>
  <si>
    <t>FINLANDIA X1 BOTTLE POURER AT</t>
  </si>
  <si>
    <t>FINLANDIA X1 APRON AT</t>
  </si>
  <si>
    <t>FINLANDIA X1 WINTER HAT AT</t>
  </si>
  <si>
    <t>FINLANDIA X1 BAR SPOON AT</t>
  </si>
  <si>
    <t>FINLANDIA X1 SHAKER AT</t>
  </si>
  <si>
    <t>FINLANDIA X6 LONGDRINK GLASSES AT</t>
  </si>
  <si>
    <t>FINLANDIA X6 COPAGLASSES AT</t>
  </si>
  <si>
    <t>FINLANDIA X1 BAR CADDY AT</t>
  </si>
  <si>
    <t>FINLANDIA X1 LED SIGN AT</t>
  </si>
  <si>
    <t>COSTA COFFEE BEACHFLAG AT</t>
  </si>
  <si>
    <t>COSTA COFFE BEACHFLAG COFFEE TO GO AT</t>
  </si>
  <si>
    <t>COSTA COFFEE BEACHFLAG POLE SET AT</t>
  </si>
  <si>
    <t>COSTA COFFEE PREMIUM BAG BEACHFLAG AT</t>
  </si>
  <si>
    <t>COSTA COFFEE OUTDOOR SIGN AT</t>
  </si>
  <si>
    <t>COSTA BARISTA ZONE INDOOR SIGN AT</t>
  </si>
  <si>
    <t>WOODEN TRAYS CV AT</t>
  </si>
  <si>
    <t>FINLANDIA SHOTGLASSES X12 AT</t>
  </si>
  <si>
    <t>POWERADE E3 DISPLAY AT</t>
  </si>
  <si>
    <t>ROUND COOLER 1 JACK&amp;COKE AT</t>
  </si>
  <si>
    <t>LIMONCETTA X6 APERITIVOGLASSES AT</t>
  </si>
  <si>
    <t>FINLANDIA X1 BARMAT AT</t>
  </si>
  <si>
    <t>MONSTER PARASOL 3.5 X 3.5 AT</t>
  </si>
  <si>
    <t>MONSTER PARASOL BASE SET AT</t>
  </si>
  <si>
    <t>DUMMIE REPOSADO 1 PADRE AZUL AT</t>
  </si>
  <si>
    <t>DUMMIE BLANCO 1 PADRE AZUL AT</t>
  </si>
  <si>
    <t>DUMMIE ANEJO 1 PADRE AZUL AT</t>
  </si>
  <si>
    <t>NECKHANGER 1 FINLANDIA CLASSIC AT</t>
  </si>
  <si>
    <t>NECKHANGER 1 FINLANDIA REDBERRY AT</t>
  </si>
  <si>
    <t>COKE RUSTIC GONDOLA END AT</t>
  </si>
  <si>
    <t>COKE WINTER FLEECE BLANKETS AT</t>
  </si>
  <si>
    <t>COCA COLA WOODEN BLOCKS 2024 AT</t>
  </si>
  <si>
    <t>COCA COLA SNOWBOARD BENCH AT</t>
  </si>
  <si>
    <t>COCA COLA CUTLERY BOX AT</t>
  </si>
  <si>
    <t>RQ WINTER FLEECE BLANKETS AT</t>
  </si>
  <si>
    <t>COKE ALU TIN BARREL RED AT</t>
  </si>
  <si>
    <t>BARMAT BIG 1 PADRE AZUL AT</t>
  </si>
  <si>
    <t>TRIGON SPRINGLOAD DISPLAY COKE</t>
  </si>
  <si>
    <t>TRIGON SPRINGLOAD DISPLAY FANTA</t>
  </si>
  <si>
    <t>TRIGON SPRINGLOAD DISPLAY SPRITE</t>
  </si>
  <si>
    <t>TRIGON SPRINGLOAD DISPLAY POWERADE</t>
  </si>
  <si>
    <t>VERGNANO WOODEN TRAY 26X13CM AT</t>
  </si>
  <si>
    <t>VERGNANO CV SPOON 1X12 AT</t>
  </si>
  <si>
    <t>VERGNANO WIC T-SHIRT (SIZE M) AT</t>
  </si>
  <si>
    <t>VERGNANO WIC T-SHIRT (SIZE L) AT</t>
  </si>
  <si>
    <t>VERGNANO WIC T-SHIRT (SIZE XL) AT</t>
  </si>
  <si>
    <t>VERGNANO WIC APRON AT</t>
  </si>
  <si>
    <t>VERGN WIC NOTEBOOK PENNIKA YELLOW AT</t>
  </si>
  <si>
    <t>VERGN WIC NOTEBOOK PENNIKA VIOLET AT</t>
  </si>
  <si>
    <t>VERGN WIC NOTEBOOK PENNIKA PINK AT</t>
  </si>
  <si>
    <t>RQ &amp; WINE DISPLAY AT</t>
  </si>
  <si>
    <t>COSTA BASE PLATE AT</t>
  </si>
  <si>
    <t>COKE XMAS BALL E3 DISPLAY AT</t>
  </si>
  <si>
    <t>COCA-COLA MENU STAND 2024 AT</t>
  </si>
  <si>
    <t>FINLANDIA ICEBUCKET BOAT LED 1 AT</t>
  </si>
  <si>
    <t>CUSTOMISED E3 DISPLAY COKE &amp; RQ AT</t>
  </si>
  <si>
    <t>KINLEY ICE BUCKET SILVER BAMBOO AT</t>
  </si>
  <si>
    <t>COKE ICE BUCKET SILVER BAMBOO AT</t>
  </si>
  <si>
    <t>COCA COLA SMALL ROUND COOLER AT</t>
  </si>
  <si>
    <t>XBOX SERIES S AT</t>
  </si>
  <si>
    <t>XBOX WIRELESS CONTROLLER AT</t>
  </si>
  <si>
    <t>PIZZA OVEN ECOM AT</t>
  </si>
  <si>
    <t>METAL BARREL 1 BACARDI COKE AT</t>
  </si>
  <si>
    <t>RQ AND COFFEE CHALKBOARD 60X80 AT</t>
  </si>
  <si>
    <t>COKE AND MEAL CHALKBOARD 60X80 AT</t>
  </si>
  <si>
    <t>COSTA COFFEE UMBRELLA AT</t>
  </si>
  <si>
    <t>VERGNANO COFFEE UMBRELLA AT</t>
  </si>
  <si>
    <t>CUSTOMIZED COKE GONDOLA END ISP AT</t>
  </si>
  <si>
    <t>CUSTOMIZED COKE GONDOLA END BP AT</t>
  </si>
  <si>
    <t>GYMBAG 1 JACK&amp;COKE AT</t>
  </si>
  <si>
    <t>KINLEY PURPLE FLEECE BLANKETS 2025 AT</t>
  </si>
  <si>
    <t>POWERADE E3 DISPLAY V1 AT</t>
  </si>
  <si>
    <t>POWERADE E3 DISPLAY V2 AT</t>
  </si>
  <si>
    <t>POWERADE GONDOLA END AT</t>
  </si>
  <si>
    <t xml:space="preserve">MONSTER GENERIC E3 DISPLAY AT </t>
  </si>
  <si>
    <t>RQ E3 DISPLAY WITH CHANGEABLE HEADER AT</t>
  </si>
  <si>
    <t>COKE SINGLE BOTTLE SPRINGLOAD DISP 1L AT</t>
  </si>
  <si>
    <t>COKE SING BOTTLE SPRINGLOAD DISP 0.5L AT</t>
  </si>
  <si>
    <t>COKE&amp;MEAL DISPLAY AT</t>
  </si>
  <si>
    <t>PLEXIGLASS FOR COMBO DISPLAY 1X6 AT</t>
  </si>
  <si>
    <t>VERGNANO MOKA POT WHITE NEW DESIGN AT</t>
  </si>
  <si>
    <t>COSTA COFFEE WOODEN TRAY AT</t>
  </si>
  <si>
    <t>POWERADE BAR RACK AT</t>
  </si>
  <si>
    <t>SSD RGB E3 DISPLAY AT</t>
  </si>
  <si>
    <t>COKE GENERIC E3 DISPLAY AT</t>
  </si>
  <si>
    <t>KINLEY PURPLE FLOWER E3 DISPLAY AT</t>
  </si>
  <si>
    <t>KINLEY PURPLE BIKE AT</t>
  </si>
  <si>
    <t>METALBARREL ARTD MIXED AT</t>
  </si>
  <si>
    <t>COCA-COLA DIRECTOR CHAIR AT</t>
  </si>
  <si>
    <t>COCA-COLA SIDE TABLE 70X70CM AT</t>
  </si>
  <si>
    <t>4ER TRAGERL BOLD JACK &amp; COKE AT</t>
  </si>
  <si>
    <t>SIDETABLE JACK &amp; COKE WOOD CUBE AT</t>
  </si>
  <si>
    <t>FATBOY JACK &amp; COKE 140X180 AT</t>
  </si>
  <si>
    <t>BEACHCHAIR JACK &amp; COKE SOLO AT</t>
  </si>
  <si>
    <t>SUNGLASSES STANDARD JACK &amp; COKE AT</t>
  </si>
  <si>
    <t>METAL ICEBUCKET 6L JACK &amp; COKE AT</t>
  </si>
  <si>
    <t>COKE XMAS CALENDAR E3 DISPLAYS AT</t>
  </si>
  <si>
    <t>COKE XMAS ROUND E3 DISPLAY AT</t>
  </si>
  <si>
    <t>CUSTOMIZED GONDOLA END E3 AT</t>
  </si>
  <si>
    <t>COKE WOODEN RACK AT</t>
  </si>
  <si>
    <t>KINLEY ICE BUCKET BLACK ECOM AT</t>
  </si>
  <si>
    <t>RQ TABLE LAMP SILVER AT</t>
  </si>
  <si>
    <t>COCA COLA TABLE LAMP BLACK AT</t>
  </si>
  <si>
    <t>POWERADE SEATING CUBE AT</t>
  </si>
  <si>
    <t>MONSTER PERMANENT FOLDABLE MODULISER AT</t>
  </si>
  <si>
    <t>COCA COLA HIGH DESK BLACK BARREL AT</t>
  </si>
  <si>
    <t>WOODEN WRACK DISPLAY RQ AT</t>
  </si>
  <si>
    <t>WOODEN WRACK DISPLAY RQEM AT</t>
  </si>
  <si>
    <t>WOODEN WRACK DISPLAY FUZETEA AT</t>
  </si>
  <si>
    <t>COKE BAKERY SHELF AT</t>
  </si>
  <si>
    <t>COKE GENERIC MEALS KITCHEN E3 AT</t>
  </si>
  <si>
    <t xml:space="preserve">MONSTER GLORFIER 3 CANS AT </t>
  </si>
  <si>
    <t>THEKENDISPLAY J&amp;C B&amp;C AT</t>
  </si>
  <si>
    <t>VERGNANO SMALL WHITE MILK JUG</t>
  </si>
  <si>
    <t>VERGNANO SHOPPING BAGS-PAPER</t>
  </si>
  <si>
    <t>GAGGIA COFFEE MACHINE MARKETING AT</t>
  </si>
  <si>
    <t>THREE CENTS LED GLORIFIER 3 BOTTLES AT</t>
  </si>
  <si>
    <t>COKE FLEECE BLANKET BEIGE VIENNA AT</t>
  </si>
  <si>
    <t>JACK&amp;COKE DOUBLE SUN CHAIR AT</t>
  </si>
  <si>
    <t>COKE METAL TABLE OUTDOOR 40X40 CM</t>
  </si>
  <si>
    <t>COFFEE PARASOL BASE VIS 3.5 SIMPLE CROSS</t>
  </si>
  <si>
    <t>RQ &amp; WINE LED BOTTLE DISPLAY</t>
  </si>
  <si>
    <t>Status</t>
  </si>
  <si>
    <t>Date</t>
  </si>
  <si>
    <t>relevant for DRS</t>
  </si>
  <si>
    <t>#</t>
  </si>
  <si>
    <t xml:space="preserve">SKU </t>
  </si>
  <si>
    <t>Material Description</t>
  </si>
  <si>
    <t>SINGLE UNIT Bottle EAN *OLD*</t>
  </si>
  <si>
    <t>CONSUMER UNIT PAC EAN</t>
  </si>
  <si>
    <t>DESPATCH UNIT Case EAN</t>
  </si>
  <si>
    <t>New DRS SKU Number</t>
  </si>
  <si>
    <t>DRS Material Description</t>
  </si>
  <si>
    <t>Bottle EAN DRS</t>
  </si>
  <si>
    <t>CONSUMER UNIT PAC EAN DRS</t>
  </si>
  <si>
    <t>DESPATCH UNIT Case EAN DRS</t>
  </si>
  <si>
    <t>Local/Import</t>
  </si>
  <si>
    <r>
      <t xml:space="preserve">Status </t>
    </r>
    <r>
      <rPr>
        <b/>
        <sz val="9"/>
        <color rgb="FFFFFFFF"/>
        <rFont val="Calibri"/>
        <family val="2"/>
      </rPr>
      <t>EWP</t>
    </r>
    <r>
      <rPr>
        <sz val="9"/>
        <color rgb="FFFFFFFF"/>
        <rFont val="Calibri"/>
        <family val="2"/>
      </rPr>
      <t xml:space="preserve"> Registrierung (single PET/CAN)</t>
    </r>
  </si>
  <si>
    <r>
      <t>Datum der Registrierung</t>
    </r>
    <r>
      <rPr>
        <b/>
        <sz val="9"/>
        <color rgb="FFFFFFFF"/>
        <rFont val="Calibri"/>
        <family val="2"/>
      </rPr>
      <t xml:space="preserve"> EWP</t>
    </r>
  </si>
  <si>
    <t>comment</t>
  </si>
  <si>
    <t>500 PET X24 CAPPY APPLE SPRIZZ AT</t>
  </si>
  <si>
    <t>-</t>
  </si>
  <si>
    <t>500 PET X24 CAPPY APPLE SPRIZZ DRS AT</t>
  </si>
  <si>
    <t>LOCAL</t>
  </si>
  <si>
    <t>registriert</t>
  </si>
  <si>
    <t>500 PET X24 CAPPY OR SPRITZ AT</t>
  </si>
  <si>
    <t>500 PET X24 CAPPY OR SPRITZ DRS AT</t>
  </si>
  <si>
    <t>1.0 PET X6 SPRITE DRS AT</t>
  </si>
  <si>
    <t>330 CAN X24 COKE ZERO LEMON DRS AT</t>
  </si>
  <si>
    <t>Coca-Cola Zero</t>
  </si>
  <si>
    <t>330 CAN X24 VANILLA COKE DRS AT</t>
  </si>
  <si>
    <t>Fanta Zero/diet/light</t>
  </si>
  <si>
    <t>1.0 PET X6 COKE ZERO LEMON DRS AT</t>
  </si>
  <si>
    <t>1.5 PET X6 FAN EXOTIC ZER LITETOP DRS AT</t>
  </si>
  <si>
    <t>1.5 PET X6 FANTA EXOTIC ZERO DRS AT</t>
  </si>
  <si>
    <t>1.0 PET X6 COKE ZERO DRS AT</t>
  </si>
  <si>
    <t>500 PET X24 FANTA ORANGE AT</t>
  </si>
  <si>
    <t>500 PET X24 FANTA ORANGE DRS AT</t>
  </si>
  <si>
    <t>500 PET 4X6 FANTA ORANGE AT</t>
  </si>
  <si>
    <t>500 PET 4X6 FANTA ORANGE DRS AT</t>
  </si>
  <si>
    <t>1.5 PET X6 COKE LIGHT LITETOP DRS AT</t>
  </si>
  <si>
    <t>Coca-Cola light/diet Coke</t>
  </si>
  <si>
    <t>1.5 PET X6 COKE LIGHT DRS AT</t>
  </si>
  <si>
    <t>1.5 PET X6 COCA COLA LITETOP DRS AT</t>
  </si>
  <si>
    <t>1.5 PET X6 COCA-COLA DRS AT</t>
  </si>
  <si>
    <t>500 PET X24 MEZZO MIX DRS AT</t>
  </si>
  <si>
    <t>new Bottle EAN</t>
  </si>
  <si>
    <t>500 PET X24 SPRITE DRS AT</t>
  </si>
  <si>
    <t>500 PET X24 COKE ZERO LEMON DRS AT</t>
  </si>
  <si>
    <t>500 PET X24 SPRITE ZERO DRS AT</t>
  </si>
  <si>
    <t>Sprite Zero/diet Sprite/Sprite light</t>
  </si>
  <si>
    <t>330 CAN SLEEK X24 CCZ CAFF FREE DRS AT</t>
  </si>
  <si>
    <t>COCA-COLA ZERO SUGAR ZERO CAFFEINE</t>
  </si>
  <si>
    <t>1.5 PET X6 COKE ZERO LITETOP DRS AT</t>
  </si>
  <si>
    <t>1.5 PET X6 COKE ZERO DRS AT</t>
  </si>
  <si>
    <t>500 PET X24 COKE ZERO CAFF FREE DRS AT</t>
  </si>
  <si>
    <t>1.0 PET X6 COKE ZERO CAFF FREE DRS AT</t>
  </si>
  <si>
    <t>330 CAN X24 SPRITE SLEEK DRS AT</t>
  </si>
  <si>
    <t>1.5 PET X6 SPRITE LITETOP DRS AT</t>
  </si>
  <si>
    <t>1.5 PET X6 SPRITE DRS AT</t>
  </si>
  <si>
    <t>1.5 PET X6 SPRITE ZERO LITETOP DRS AT</t>
  </si>
  <si>
    <t>1.5 PET X6 SPRITE ZERO DRS AT</t>
  </si>
  <si>
    <t>1.5 PET X6 FANTA OR ZERO LITETOP DRS AT</t>
  </si>
  <si>
    <t>1.5 PET X6 FANTA ORANGE ZERO DRS AT</t>
  </si>
  <si>
    <t>1.5 PET X6 FANTA MANGO DRS AT</t>
  </si>
  <si>
    <t>1.0 PET X6 COKE LIGHT DRS AT</t>
  </si>
  <si>
    <t>2.0 PET X4 SPRITE DRS AT</t>
  </si>
  <si>
    <t>2.0 PET X4 FANTA ORANGE AT</t>
  </si>
  <si>
    <t>2.0 PET X4 FANTA ORANGE DRS AT</t>
  </si>
  <si>
    <t>1.5 PET X6 MEZZO MIX LITETOP DRS AT</t>
  </si>
  <si>
    <t>1.5 PET X6 MEZZO MIX DRS AT</t>
  </si>
  <si>
    <t>1.5 PET X6 FANTA ORANGE LITETOP DRS AT</t>
  </si>
  <si>
    <t>1.5 PET X6 FANTA ORANGE DRS AT</t>
  </si>
  <si>
    <t>1.5 PET X6 FANTA ZERO LEM LITETOP DRS AT</t>
  </si>
  <si>
    <t>1.5 PET X6 FANTA ZERO LEMON DRS AT</t>
  </si>
  <si>
    <t>1.0 PET X6 FANTA ORANGE DRS AT</t>
  </si>
  <si>
    <t>500 PET X24 FANTA ZERO LEMON AT</t>
  </si>
  <si>
    <t>500 PET X24 FANTA ZERO LEMON PROM DRS AT</t>
  </si>
  <si>
    <t>500 PET X24 FANTA ORANGE ZERO AT</t>
  </si>
  <si>
    <t>500 PET X24 FANTA ORANGE ZERO DRS AT</t>
  </si>
  <si>
    <t>500 PET X24 FANTA ORANGE ZERO PROMO AT</t>
  </si>
  <si>
    <t>500 PET X24 FANTA OR ZERO PROMO DRS AT</t>
  </si>
  <si>
    <t>JACK DANIELS&amp;COKE</t>
  </si>
  <si>
    <t>IMPORT</t>
  </si>
  <si>
    <t>250 CAN X12 KINLEY PINK GRAPFRUIT DRS AT</t>
  </si>
  <si>
    <t>Kinley CSD</t>
  </si>
  <si>
    <t>250 CAN X12 KINLEY LIME MINT DRS AT</t>
  </si>
  <si>
    <t>250 CAN X12 KINLEY TONIC WATER DRS AT</t>
  </si>
  <si>
    <t>Fuze Tea-KO</t>
  </si>
  <si>
    <t>500 CAN X24 COCA COLA DRS AT</t>
  </si>
  <si>
    <t>150 CAN X12 COCA COLA ZERO PAL DRS AT</t>
  </si>
  <si>
    <t>500 PET X12 POWERADE MOUNT BLAST DRS AT</t>
  </si>
  <si>
    <t>500 PET X12 POWERADE ZERO MBLAST DRS AT</t>
  </si>
  <si>
    <t>Powerade Light</t>
  </si>
  <si>
    <t>500 PET X12 FZ TEA BT PEACH HIBS DRS AT</t>
  </si>
  <si>
    <t>500 PET X12 FUZE TEA BT LN LEMGRS DRS AT</t>
  </si>
  <si>
    <t>500 PET X12 FT BT PEACH ROSE ZERO DRS AT</t>
  </si>
  <si>
    <t>150 CAN X12 COCA COLA PAL DRS AT</t>
  </si>
  <si>
    <t>1.0 PET X6 ROEMERQUELLE CARB DRS AT</t>
  </si>
  <si>
    <t>Roemerquelle</t>
  </si>
  <si>
    <t>500 PET X8 ROEMERQUELLE CARB DRS AT</t>
  </si>
  <si>
    <t>500 PET X24 ROEMERQUELLE CARB DRS AT</t>
  </si>
  <si>
    <t>1.5 PET X6 ROEMERQUELLE STILL DRS AT</t>
  </si>
  <si>
    <t>500 PET X8 ROEMERQUELLE STILL AT</t>
  </si>
  <si>
    <t>500 PET X8 ROEMERQUELLE STILL DRS AT</t>
  </si>
  <si>
    <t>500 PET X24 ROEMERQUELLE STILL DRS AT</t>
  </si>
  <si>
    <t>1.5 PET X6 ROEMERQUELLE PRICKELND AT</t>
  </si>
  <si>
    <t>1.5 PET X6 ROEMERQUELLE CARB DRS AT</t>
  </si>
  <si>
    <t>1.5 PET X6 ROEMERQUELLE MED DRS AT</t>
  </si>
  <si>
    <t>1.0 PET X6 ROEMERQUELLE MW STILL AT</t>
  </si>
  <si>
    <t>1.0 PET X6 ROEMERQUELLE STILL DRS AT</t>
  </si>
  <si>
    <t>500 PET X8 ROEMERQUELLE MILD AT</t>
  </si>
  <si>
    <t>500 PET X8 ROEMERQUELLE MILD DRS AT</t>
  </si>
  <si>
    <t>500 PET X24 ROEMERQUELLE MW MED AT</t>
  </si>
  <si>
    <t>500 PET X24 ROEMERQUELLE MED DRS AT</t>
  </si>
  <si>
    <t>750 PET X6 RQ SPORTS STILL DRS AT</t>
  </si>
  <si>
    <t>1.0 PET X6 ROEMERQUELLE MED AT</t>
  </si>
  <si>
    <t>1.0 PET X6 ROEMERQUELLE MED DRS AT</t>
  </si>
  <si>
    <t>750 PET X6 RQ EM PLUS APPLE ACAI DRS AT</t>
  </si>
  <si>
    <t>750 PET X6 RQ EM PLUS LEMON CACTUS AT</t>
  </si>
  <si>
    <t>750 PET X6 RQ EM PLUS LEM CACTUS DRS AT</t>
  </si>
  <si>
    <t>750 PET X6 RQ EM PLUS MANG ACEROL DRS AT</t>
  </si>
  <si>
    <t>330 CAN SLEEK X24 COCA - COLA AT</t>
  </si>
  <si>
    <t>330 CAN SLEEK X24 COCA COLA DRS AT</t>
  </si>
  <si>
    <t>330 CAN SLEEK 3X8 COKE KEELCLP DRS AT</t>
  </si>
  <si>
    <t>330 CAN SLEEK 4X6 COKE KEELCLP DRS AT</t>
  </si>
  <si>
    <t>330 CAN SLEEK X24 COKE LIGHT AT</t>
  </si>
  <si>
    <t>330 CAN SLEEK X24 COKE LIGHT DRS AT</t>
  </si>
  <si>
    <t>330 CAN SLEEK X24 FANTA AT</t>
  </si>
  <si>
    <t>330 CAN SLEEK X24 FANTA DRS AT</t>
  </si>
  <si>
    <t>330 CAN SLEEK 3X8 FANTA OR KEELCP DRS AT</t>
  </si>
  <si>
    <t>330 CAN SLEEK 4X6 FANTA OR KEELCP DRS AT</t>
  </si>
  <si>
    <t>330 CAN SLEEK X24 MEZZO MIX AT</t>
  </si>
  <si>
    <t>330 CAN SLEEK X24 MEZZO MIX DRS AT</t>
  </si>
  <si>
    <t>330 CAN SLEEK X24 COKE ZERO AT</t>
  </si>
  <si>
    <t>330 CAN SLEEK X24 COKE ZERO DRS AT</t>
  </si>
  <si>
    <t>330 CAN SLEEK 3X8 COKE ZER KEELCP DRS AT</t>
  </si>
  <si>
    <t>330 CAN SLEEK 4X6 COKE ZER KEELCP DRS AT</t>
  </si>
  <si>
    <t>750 PET X6 RQ EM PEAR MELISSA DRS AT</t>
  </si>
  <si>
    <t>375 PET X12 RQ BIOLIMO LIME MINT AT</t>
  </si>
  <si>
    <t>375 PET X12 RQ BIOLIMO LIME MINT DRS AT</t>
  </si>
  <si>
    <t>1.0 PET X4 RQ BIOLIMO OR MAN PSSFRT AT</t>
  </si>
  <si>
    <t>750 PET X6 RQ EM PEACH WATERMELON DRS AT</t>
  </si>
  <si>
    <t>500 PET X24 COKE LIGHT AT</t>
  </si>
  <si>
    <t>500 PET X24 COKE LIGHT DRS AT</t>
  </si>
  <si>
    <t>500 PET X24 COKE ZERO AT</t>
  </si>
  <si>
    <t>500 PET X24 COKE ZERO DRS AT</t>
  </si>
  <si>
    <t>500 PET 4X6 COCA COLA ZERO AT</t>
  </si>
  <si>
    <t>500 PET 4X6 COCA COLA ZERO DRS AT</t>
  </si>
  <si>
    <t>750 PET X6 RQ EM LEMONGRAS DRS AT</t>
  </si>
  <si>
    <t>375 PET X12 RQ BIOLIMO OR MAN PSSFRT AT</t>
  </si>
  <si>
    <t>750 PET X6 RQ EM BLACKBERRY LIME DRS AT</t>
  </si>
  <si>
    <t>750 PET X6 RQ EM APRICOT ELDERFLO DRS AT</t>
  </si>
  <si>
    <t>750 PET X6 RQ EM PINEAPPLE LEMON DRS AT</t>
  </si>
  <si>
    <t>1.0 PET X6 COCA COLA DRS AT</t>
  </si>
  <si>
    <t>500 PET X24 COCA COLA AT</t>
  </si>
  <si>
    <t>500 PET X24 COCA COLA DRS AT</t>
  </si>
  <si>
    <t>500 PET 4X6 COCA COLA AT</t>
  </si>
  <si>
    <t>500 PET 4X6 COCA COLA DRS AT</t>
  </si>
  <si>
    <t>500 PET X12 RQ EM APRICOT ELDERFLOWER AT</t>
  </si>
  <si>
    <t>500 PET X12 RQ EM APRIC ELDERFLOW DRS AT</t>
  </si>
  <si>
    <t>500 PET X12 RQ EM BLACKBERRY LIME AT</t>
  </si>
  <si>
    <t>500 PET X12 RQ EM BLACKBERRY LIME DRS AT</t>
  </si>
  <si>
    <t>500 PET X12 RQ EM PEAR AT</t>
  </si>
  <si>
    <t>500 PET X12 RQ EM PEAR MELISSA DRS AT</t>
  </si>
  <si>
    <t>2.0 PET X4 COCA COLA AT</t>
  </si>
  <si>
    <t>2.0 PET X4 COCA COLA DRS AT</t>
  </si>
  <si>
    <t>2.0 PET X4 COCA COLA ZERO DRS AT</t>
  </si>
  <si>
    <t>2.0 PET X4 COKE LIGHT AT</t>
  </si>
  <si>
    <t>2.0 PET X4 COKE LIGHT DRS AT</t>
  </si>
  <si>
    <t>500 PETX12 CAPPY IF MULTI ST ATHU</t>
  </si>
  <si>
    <t>1.0 PET X6 KINLEY PINK BERRY Y DRS AT</t>
  </si>
  <si>
    <t>1.0 PET X6 KINLEY TONIC WATER Y DRS AT</t>
  </si>
  <si>
    <t>500 CAN X24 MONSTER ENERGY DRS AT</t>
  </si>
  <si>
    <t>Monster-KO</t>
  </si>
  <si>
    <t>500 CAN X24 MONSTER EN ZERO ULTRA DRS AT</t>
  </si>
  <si>
    <t>500 CAN X12 MONST ULT WATERMELON DRS AT</t>
  </si>
  <si>
    <t>wird für DRS nicht benötigt!</t>
  </si>
  <si>
    <t>500 CAN X12 MONSTER ENERGY ZERO DRS AT</t>
  </si>
  <si>
    <t>500 CAN X24 MONST ULT FIESTA MNG DRS AT</t>
  </si>
  <si>
    <t>500 CAN X24 MONSTER ULTRA PARADIS DRS AT</t>
  </si>
  <si>
    <t>500 CAN X12 MONST JUI AUSS LEMADE DRS AT</t>
  </si>
  <si>
    <t>500 CAN X24 MONSTER MANGO LOCO DRS AT</t>
  </si>
  <si>
    <t>500 CAN X12 MONSTER ULT G PINEAPL DRS AT</t>
  </si>
  <si>
    <t xml:space="preserve">open </t>
  </si>
  <si>
    <t>1.5 PET X6 FANTA LEMON DRS AT</t>
  </si>
  <si>
    <t>in progress (waiting for extend AT)</t>
  </si>
  <si>
    <t>exklusiv für REWE</t>
  </si>
  <si>
    <t>Call of Duty Promo</t>
  </si>
  <si>
    <t>PROMO SKU only for Co-Packing</t>
  </si>
  <si>
    <t>Mezzo Mix Zero</t>
  </si>
  <si>
    <t>Shared Label CZ/SK</t>
  </si>
  <si>
    <r>
      <t>150 CAN X</t>
    </r>
    <r>
      <rPr>
        <sz val="9"/>
        <rFont val="Calibri"/>
        <family val="2"/>
        <scheme val="minor"/>
      </rPr>
      <t>12</t>
    </r>
    <r>
      <rPr>
        <sz val="9"/>
        <color theme="1"/>
        <rFont val="Calibri"/>
        <family val="2"/>
        <scheme val="minor"/>
      </rPr>
      <t xml:space="preserve"> COKE Z CAFF FREE DRS AT</t>
    </r>
  </si>
  <si>
    <t>Sampling Ware</t>
  </si>
  <si>
    <t>neue Palettierung ab KW18</t>
  </si>
  <si>
    <t>330 CAN SLEEK X24 COCA COLA PR1 DRS AT</t>
  </si>
  <si>
    <t>Produktions SKU nur für Co-Packing</t>
  </si>
  <si>
    <t>330 CAN SLEEK X24 COCA COLA PR2 DRS AT</t>
  </si>
  <si>
    <t>330 CAN SLEEK X24 COCA COLA PR3 DRS AT</t>
  </si>
  <si>
    <t>330 CAN SLEEK X24 COCA COLA PR4 DRS AT</t>
  </si>
  <si>
    <t>330 CAN SLEEK X24 COKE ZERO PR1 DRS AT</t>
  </si>
  <si>
    <t>330 CAN SLEEK X24 COKE ZERO PR2 DRS AT</t>
  </si>
  <si>
    <t>330 CAN SLEEK X24 COKE ZERO PR3 DRS AT</t>
  </si>
  <si>
    <t>330 CAN SLEEK X24 COKE ZERO PR4 DRS AT</t>
  </si>
  <si>
    <t xml:space="preserve">500 PET X24 COCA COLA PR1 DRS AT </t>
  </si>
  <si>
    <t xml:space="preserve">500 PET X24 COKE ZERO PR1 DRS AT </t>
  </si>
  <si>
    <t xml:space="preserve">1.5 PET X6 COCA COLA LITETOP PR1 DRS AT </t>
  </si>
  <si>
    <t xml:space="preserve">1.5 PET X6 COKE ZERO LITETOP PR1 DRS AT </t>
  </si>
  <si>
    <t xml:space="preserve">1.5 PET X6 COCA-COLA PR1 DRS AT (Shrink) </t>
  </si>
  <si>
    <t xml:space="preserve">1.5 PET X6 COKE ZERO PR1 DRS AT (Shrink) </t>
  </si>
  <si>
    <t>Muster/ DRS Sticker werden benötigt</t>
  </si>
  <si>
    <t>old EAN Code</t>
  </si>
  <si>
    <t>New EAN Code</t>
  </si>
  <si>
    <t xml:space="preserve">Brand </t>
  </si>
  <si>
    <t xml:space="preserve">SAP Creation </t>
  </si>
  <si>
    <t>SKU status</t>
  </si>
  <si>
    <t>Hofer</t>
  </si>
  <si>
    <t>500 PET 108X6 66CC 25CZ 17FA HP AT</t>
  </si>
  <si>
    <t>500 PET 108X6 66CC25CZ17FAO DRS HP HF AT</t>
  </si>
  <si>
    <t>Mix</t>
  </si>
  <si>
    <t>SSF Request:8005954908 / BOM:8005964289</t>
  </si>
  <si>
    <t>Halbpalette</t>
  </si>
  <si>
    <t>1.0 PET 35X6 TW10BL10PB ONPACK DRS HP AT</t>
  </si>
  <si>
    <t xml:space="preserve">SSF Request: 8005964526 </t>
  </si>
  <si>
    <t>Rolly</t>
  </si>
  <si>
    <t>1.0 PET 35X6 15TW10BLPB DRS ONPACK RO AT</t>
  </si>
  <si>
    <t>SSF 8005974126</t>
  </si>
  <si>
    <t>1.0 PET 44X6 20CC 10CCZ 10FA 4SP HP AT</t>
  </si>
  <si>
    <t>1.0 PET 44X6 20CC10CZ10FASP DRS HP HF AT</t>
  </si>
  <si>
    <t>Dolly</t>
  </si>
  <si>
    <t>500 PET X120 PW 45MB30MZMG15BO DRS DO AT</t>
  </si>
  <si>
    <t>1.0 PET 44X6 26CCR 6CCZ 12FAO DRS HP AT</t>
  </si>
  <si>
    <t>1.0 PET 44X6 28CC 16CCZ DRS HP AT</t>
  </si>
  <si>
    <t>Coke</t>
  </si>
  <si>
    <t>500 PET X270 180CC 90CZ DOLLY AT</t>
  </si>
  <si>
    <t>500 PET X270 180CC90CZ DRS DOLLY AT</t>
  </si>
  <si>
    <t>Chep</t>
  </si>
  <si>
    <t>500 PET X162 FUZ 54PLE36FF18PZ DRS CP AT</t>
  </si>
  <si>
    <t>330 CAN X240 160CC 80CCZ DOLLY AT</t>
  </si>
  <si>
    <t>330 CAN X240 160CC80CCZ DRS DOLLY AT</t>
  </si>
  <si>
    <t>500 PET 30X8 RQ 15STILL15CARB DRS DOL AT</t>
  </si>
  <si>
    <t>500 PET X162 FUZ 54PLE36FF18PZ DRS DO AT</t>
  </si>
  <si>
    <t>1.0 PET 44X6 28CC 16CCZ ONPACK DRS HP AT</t>
  </si>
  <si>
    <t>1.0 PET 55X6 KINLY TW20BL10PB DRS HP AT</t>
  </si>
  <si>
    <t>1.0 PET 35X6 25CC10CZ&amp;GLAS DRS ROLLY AT</t>
  </si>
  <si>
    <t>FG-0000011180</t>
  </si>
  <si>
    <t>EAN Code kommt von Monster</t>
  </si>
  <si>
    <t>500 PET X96 24FOFZLFEZ12FOZFM DRS CP AT</t>
  </si>
  <si>
    <t>150 CAN 40X12 30CR10CZ DRS CHEP AT</t>
  </si>
  <si>
    <r>
      <t xml:space="preserve">1.5 PET 36X6 CLMMFZL </t>
    </r>
    <r>
      <rPr>
        <b/>
        <sz val="9"/>
        <color theme="1"/>
        <rFont val="Calibri"/>
        <family val="2"/>
        <scheme val="minor"/>
      </rPr>
      <t>SHRINK</t>
    </r>
    <r>
      <rPr>
        <sz val="9"/>
        <color theme="1"/>
        <rFont val="Calibri"/>
        <family val="2"/>
        <scheme val="minor"/>
      </rPr>
      <t xml:space="preserve"> DRS HP HF AT</t>
    </r>
  </si>
  <si>
    <t>1.0 PET 55X6 KINLEY 30TW 25BL DRS ROL AT</t>
  </si>
  <si>
    <t>1.5 PET 36X6 FAOFAOZFZLFAMFEXZ DRS HP AT</t>
  </si>
  <si>
    <t>1.5 PET 36X6 COKE LITETOP DRS HP AT</t>
  </si>
  <si>
    <t>1.5 PET 36X6 COKE ZERO LITETOP DRS HP AT</t>
  </si>
  <si>
    <t>1.5 PET 40X6 ROEMERQUELLE CARB HP AT</t>
  </si>
  <si>
    <t>1.5 PET 40X6 ROEMERQUELLE CARB DRS HP AT</t>
  </si>
  <si>
    <t>Lidl</t>
  </si>
  <si>
    <t>1.5 PET 40X6 RQ 18CAB11MD11ST DRS IPP AT</t>
  </si>
  <si>
    <t>500 PET 45X6 25CC 15CCZ 5FAO DOLLY AT</t>
  </si>
  <si>
    <t>500 PET 45X6 25CC15CZ5FAO DRS DOL AT</t>
  </si>
  <si>
    <t>500 PET 45X6 25CC15CZ5FAO DRS CP AT</t>
  </si>
  <si>
    <t>1.0 PET 44X6 28CC16CCZ DRS ROLLY AT</t>
  </si>
  <si>
    <t>1.5 PET 40X6 RQ 21CARB 11MED 8ST HP AT</t>
  </si>
  <si>
    <t>1.5 PET 40X6 RQ 21CARB11MED8ST DRS HP AT</t>
  </si>
  <si>
    <t>Onpack</t>
  </si>
  <si>
    <t>1.0 PET X6 COKE ZERO PLUS GLAS (C) AT</t>
  </si>
  <si>
    <t>1.0 PET X6 COKE ZERO DRS PLUS GLAS AT</t>
  </si>
  <si>
    <t>500 PET 45X6 30CC15CZ DRS CHEP AT</t>
  </si>
  <si>
    <t>330 CAN 80X6 46CC 20CCZ 14FAO KC CHEP AT</t>
  </si>
  <si>
    <t>330 CAN 80X6 46CC20CZ14FAO KC DRS CP AT</t>
  </si>
  <si>
    <t>1.5 PET 40X6 RQ 21CB8MD11ST DRS HP HF AT</t>
  </si>
  <si>
    <t>1.5L PET 36X6 24CC12CZ LITETOP DRS HP AT</t>
  </si>
  <si>
    <t>150 CAN 40X12 COKE DRS DOLLY AT</t>
  </si>
  <si>
    <t>1.0 PET X136 RQ BIOLIMO 76LM 60MP CHE AT</t>
  </si>
  <si>
    <t>1.0 PET X136 RQ BIOLIM 76LM MP DRS CP AT</t>
  </si>
  <si>
    <t>2.0 PET 48X4 20CZ6CL16FO6SP DRS HP HF AT</t>
  </si>
  <si>
    <t>2.0 PET 48X4 28CCR 12CCZ 8FAO DRS HP AT</t>
  </si>
  <si>
    <t>330 CAN X240 120CC72CZ24FO24SP DRS DO AT</t>
  </si>
  <si>
    <t>330 CAN X240 144XCCV 96XCCZL DRS DOL AT</t>
  </si>
  <si>
    <t>330 CAN X240 144XCCV 96XCCZL DRS CP AT</t>
  </si>
  <si>
    <t>2.0 PET 48X4 28CCZ 16FAO 4SP DRS IPP AT</t>
  </si>
  <si>
    <t>150 CAN X528 48CCR 40X12CCR DRS DO AT</t>
  </si>
  <si>
    <t>150 CAN X528 48CCR 40X12CCR DRS CP AT</t>
  </si>
  <si>
    <t>150 CAN X528 24CRCZ 40X12CRCZ DRS DO AT</t>
  </si>
  <si>
    <t>150 CAN X528 X24CR/CZ 30CR/10CZX12 CP AT</t>
  </si>
  <si>
    <t>150 CAN X528 24CRCZ 40X12CRCZ DRS CP AT</t>
  </si>
  <si>
    <t>500 PET X162 FAOFOZFZLFAMFAEXZ DRS CP AT</t>
  </si>
  <si>
    <t>2.0 PET 48X4 COCA COLA HP AT</t>
  </si>
  <si>
    <t>2.0 PET 48X4 COCA COLA DRS HP HF AT</t>
  </si>
  <si>
    <t>2.0 PET 48X4 COKE ZERO HP AT</t>
  </si>
  <si>
    <t>2.0 PET 48X4 COKE ZERO DRS HP AT</t>
  </si>
  <si>
    <t>2.0 PET 48X4 COCA COLA DRS IPP AT</t>
  </si>
  <si>
    <t>250 CAN X96 KINLEY 24TW36LMPG DRS CP AT</t>
  </si>
  <si>
    <t>330 CAN 180X6 108CC 45CCZ 27FAO KC HP AT</t>
  </si>
  <si>
    <t>330 CAN 180X6 108CC45CZ27FA KC DRS HP AT</t>
  </si>
  <si>
    <t>1.0 PET X60 KINLEY 36TW24BL DRS DOL AT</t>
  </si>
  <si>
    <t>330 CAN X144 CCZ CAFF FREE DRS DOL AT</t>
  </si>
  <si>
    <t>330 CAN 180X6 135CR18CZ27FA DRS HP PY AT</t>
  </si>
  <si>
    <t>1.5 PET 36X6 22FAO4FAOZFZLFAM2FXZ ROL AT</t>
  </si>
  <si>
    <t>1.5 PET 36X6 FAO4FOZFZLFAM2FXZ DRS RO AT</t>
  </si>
  <si>
    <t>330 CAN 180X6 108XCCZ 72XFAO IPP AT</t>
  </si>
  <si>
    <t>330 CAN 180X6 108XCCZ 72XFAO DRS IPP AT</t>
  </si>
  <si>
    <t>330 CAN 180X6 81CC 63CCZ 36FAO KC HP AT</t>
  </si>
  <si>
    <t>330 CAN 180X6 81CC63CZFO KC DRS HP HF AT</t>
  </si>
  <si>
    <t>500 PET X270 180CC 90CZ CHEP (C) AT</t>
  </si>
  <si>
    <t>500 PET X270 180CC90CZ DRS CHEP (C) AT</t>
  </si>
  <si>
    <t>1.0 PET X6 COCA-COLA PLUS GLASS (C) AT</t>
  </si>
  <si>
    <t>1.0 PET X6 COCA-COLA DRS PLUS GLAS AT</t>
  </si>
  <si>
    <t>330 CAN 45X24 27CC 11CCZ 7FAO DRS HP AT</t>
  </si>
  <si>
    <t>500 PET X270 CC60CZ30FOFMSPSPZ DRS CP AT</t>
  </si>
  <si>
    <t>500 PET X270 CC60CZ30FOFMSPSPZ DRS DO AT</t>
  </si>
  <si>
    <t>330 CAN 180X6 COCA COLA DRS IPP AT</t>
  </si>
  <si>
    <t>330 CAN 45X24 CCVCCZLCCZZSPMM DRS HP AT</t>
  </si>
  <si>
    <t>1.0 PET X136 96CCR 40CCZ DOLLY AT</t>
  </si>
  <si>
    <t>1.0 PET X136 96CCR40CCZ DRS DOLLY AT</t>
  </si>
  <si>
    <t>1.0 PET X136 96CCR 40CCZ CHEP AT</t>
  </si>
  <si>
    <t>1.0 PET X136 96CCR40CCZ DRS CHEP AT</t>
  </si>
  <si>
    <t>330 CAN 45X3X8 20CC16CCZ9FO DRS HP HF AT</t>
  </si>
  <si>
    <t>330 CAN 45X3X8 20CCR16CCZ9FAO IPP AT</t>
  </si>
  <si>
    <t>330 CAN 45X3X8 20CR16CZ9FO DRS IPP AT</t>
  </si>
  <si>
    <t>330 CAN 45X3X8 COCA COLA DRS IPP AT</t>
  </si>
  <si>
    <t>330 CAN X240 160CC 80CCZ CHEP AT</t>
  </si>
  <si>
    <t>330 CAN X240 160CC80CCZ DRS CHEP AT</t>
  </si>
  <si>
    <t>330 CAN 45X3X8 COKE ZERO DRS IPP AT</t>
  </si>
  <si>
    <t>330 CAN 45X3X8 FANTA ORANGE DRS IPP AT</t>
  </si>
  <si>
    <t>500 PET X270 120CC90CZ30FO30SP DRS DO AT</t>
  </si>
  <si>
    <t>330 CAN 45X4X6 COKE ZERO DRS IPP AT</t>
  </si>
  <si>
    <t>500 PET X270 CZ30CZLSPZFOZFZL DRS DO AT</t>
  </si>
  <si>
    <t>330 CAN X240 CC48CZ24CZZFOSP DRS CP AT</t>
  </si>
  <si>
    <t>330 CAN X240 CC48CZ24CZZFAOSP DRS DO AT</t>
  </si>
  <si>
    <t>500 PET X270 CRCZFOMMSPCZZ DRS MUS DO AT</t>
  </si>
  <si>
    <t>500 PET X270 CRCZFOMMSPCZZ DRS MUS CP AT</t>
  </si>
  <si>
    <t>1.0 PET 55X6 KIN 25TW20BL10PB DRS ROL AT</t>
  </si>
  <si>
    <t>750 PET X120 RQ EM PLUS AAMAC DRS DOL AT</t>
  </si>
  <si>
    <t>500 PET X120 PW 60MB30MBZ30BO DRS DO AT</t>
  </si>
  <si>
    <t>500 PET X120 PW 45MB30MZMG15BO DRS CP AT</t>
  </si>
  <si>
    <t>500 PET X120 PW 60MB30MBZ30GM CHEP AT</t>
  </si>
  <si>
    <t>500 PET X120 PW 60MB30MBZ30GM DRS CHP AT</t>
  </si>
  <si>
    <t>500 PET X270 180CR60CZ30CZZ DRS DOLLY AT</t>
  </si>
  <si>
    <t>500 PET X270 180CR60CZ30CZZ DRS CHEP AT</t>
  </si>
  <si>
    <t>330 CAN 45X4X6 FANTA ORANGE DRS IPP AT</t>
  </si>
  <si>
    <t>330 CAN 45X24 15CCVCZLCZZSPMM DRS ROL AT</t>
  </si>
  <si>
    <t>330 CAN 45X24 7CCVCZLCZZSPMM DRS ROL AT</t>
  </si>
  <si>
    <t>FG-0000011181</t>
  </si>
  <si>
    <t>1.5 PET 36X6 24CR12CZ LITETOP DRS ROL AT</t>
  </si>
  <si>
    <t>330 CAN 80X6 46CC 20CCZ 14FAO KC DOL AT</t>
  </si>
  <si>
    <t>330 CAN 80X6 46CC20CZ14FAO KC DRS DOL AT</t>
  </si>
  <si>
    <t>500 PET 45X6 30CC15CZ DRS DOLLY AT</t>
  </si>
  <si>
    <t>500 PET 108X6 58CC 28CZ 22FA HP AT</t>
  </si>
  <si>
    <t>500 PET 108X6 58CC28CZ22FA DRS HP HF AT</t>
  </si>
  <si>
    <t>1.0 PET X6 COCA COLA ONPACK AT</t>
  </si>
  <si>
    <t>1.0 PET X6 COCA COLA DRS ONPACK AT</t>
  </si>
  <si>
    <t>500 PET 72X8 RQ 42CARB 30STILL HP AT</t>
  </si>
  <si>
    <t>500 PET 72X8 RQ 42CARB 30STILL DRS HP AT</t>
  </si>
  <si>
    <t>IPP</t>
  </si>
  <si>
    <t>500 PET 72X8 RQ 42CARB30STILL DRS IPP AT</t>
  </si>
  <si>
    <t>250 CAN X96 KINLEY 24TW36LMPG DRS DO AT</t>
  </si>
  <si>
    <t>1.0 PET X60 KINLEY 24TWBL 12PB DRS DO AT</t>
  </si>
  <si>
    <t>1.0 PET X60 KINLEY 24TWBL 12PB DRS CP AT</t>
  </si>
  <si>
    <r>
      <t>330 CAN X240 96CCV72CCZL72</t>
    </r>
    <r>
      <rPr>
        <b/>
        <sz val="9"/>
        <color rgb="FFFF0000"/>
        <rFont val="Calibri"/>
        <family val="2"/>
        <scheme val="minor"/>
      </rPr>
      <t>CCZC</t>
    </r>
    <r>
      <rPr>
        <sz val="9"/>
        <color theme="1"/>
        <rFont val="Calibri"/>
        <family val="2"/>
        <scheme val="minor"/>
      </rPr>
      <t xml:space="preserve"> DRS CP AT</t>
    </r>
  </si>
  <si>
    <r>
      <t>330 CAN X240 96CCV72CCZL72</t>
    </r>
    <r>
      <rPr>
        <b/>
        <sz val="9"/>
        <color rgb="FFFF0000"/>
        <rFont val="Calibri"/>
        <family val="2"/>
        <scheme val="minor"/>
      </rPr>
      <t>CCZC</t>
    </r>
    <r>
      <rPr>
        <sz val="9"/>
        <color theme="1"/>
        <rFont val="Calibri"/>
        <family val="2"/>
        <scheme val="minor"/>
      </rPr>
      <t xml:space="preserve"> DRS DO AT</t>
    </r>
  </si>
  <si>
    <t>500 PET X270 CZ30CZLSPZFOZFZL DRS CP AT</t>
  </si>
  <si>
    <t>500 CAN X200 MON UWENENZLHUFML DO AT</t>
  </si>
  <si>
    <t>330 CAN X144 CCZ CAFF FREE DRS CHEP AT</t>
  </si>
  <si>
    <t>EP</t>
  </si>
  <si>
    <t>750 PET 145X6 RQ EM PMBLAEPLGL DRS EP AT</t>
  </si>
  <si>
    <t>750 PET 65X6 RQ EM PMBLAEPLLG DRS ROL AT</t>
  </si>
  <si>
    <t>500 PET X162 FAOFOZFZLFAMFAEXZ DRS DO AT</t>
  </si>
  <si>
    <t>750 PET 65X6 RQ EM PMBLMH DRS HP HF AT</t>
  </si>
  <si>
    <t>150 CAN 40X12 30CR10CZ DRS DOLLY AT</t>
  </si>
  <si>
    <t>1.0 PET 44X6 28CC16CZ DRS ONPACK ROL AT</t>
  </si>
  <si>
    <t>750 PET 65X6 RQ EM 30PM20BLMH DRS IPP AT</t>
  </si>
  <si>
    <t>750 PET 65X6 RQ EM PMBLAEPLG LL HP PY AT</t>
  </si>
  <si>
    <t>750 PET 65X6 RQ EM 5V LLIM DRS HP PY AT</t>
  </si>
  <si>
    <t>750 PET 65X6 RQ EM PMBLAEPLLG LL HP AT</t>
  </si>
  <si>
    <t>750 PET 65X6 RQ EM PMBLAEPLLGL DRS HP AT</t>
  </si>
  <si>
    <t>500 PET X120 POWERADE 75MB45BO DRS CP AT</t>
  </si>
  <si>
    <t>500 PET X120 POWERADE 75MB45BO DRS DO AT</t>
  </si>
  <si>
    <t>1.0 PET X6 COCA COLA ZERO ONPACK AT</t>
  </si>
  <si>
    <t>1.0 PET X6 COCA COLA ZERO DRS ONPACK AT</t>
  </si>
  <si>
    <t>1.0 PET 85X6 TW25BL25PB ONPACK DRS EP AT</t>
  </si>
  <si>
    <t>750 PET X120 RQ EM PLUS AAMAC DRS CP AT</t>
  </si>
  <si>
    <t>1.5 PET 36X6 COCA-COLA HP AT</t>
  </si>
  <si>
    <t>1.5 PET 36X6 COCA-COLA DRS HP AT</t>
  </si>
  <si>
    <t>new Displays</t>
  </si>
  <si>
    <r>
      <t xml:space="preserve">1.5 PET 36X6 CZFOSP </t>
    </r>
    <r>
      <rPr>
        <b/>
        <sz val="9"/>
        <color rgb="FF000000"/>
        <rFont val="Calibri"/>
        <family val="2"/>
      </rPr>
      <t xml:space="preserve">SHRINK </t>
    </r>
    <r>
      <rPr>
        <sz val="9"/>
        <color rgb="FF000000"/>
        <rFont val="Calibri"/>
        <family val="2"/>
      </rPr>
      <t>DRS HP HF AT</t>
    </r>
  </si>
  <si>
    <t xml:space="preserve">DRS EAN Code angefordert </t>
  </si>
  <si>
    <t>330 CAN 40X4X6 20CR12CZ8FO DRS HP HF AT</t>
  </si>
  <si>
    <t>330 CAN 180X6 81CC63CCZ36FAO DRS IPP AT</t>
  </si>
  <si>
    <t xml:space="preserve">EAN Codes angefordert </t>
  </si>
  <si>
    <t>1.0 PET 44X6 CR8CZ4CZLCZZSP5F DRS IPP AT</t>
  </si>
  <si>
    <t>500 PET X120 POW 60MB30MBZ30GM DOLLY AT               </t>
  </si>
  <si>
    <t>500 PET X120 POW 60MB30MBZ30GM DRS DOLLY AT      </t>
  </si>
  <si>
    <t>1.5 PET 36X6 20CCZ 8FAO 4MM 4SP LTP HP AT</t>
  </si>
  <si>
    <t>500 CAN X120 MO 20ENTSBAAL40UW DRS DO AT</t>
  </si>
  <si>
    <t>500 CAN X120 MO 20ENTSBAAL40UW DRS CP AT</t>
  </si>
  <si>
    <t>500 CAN X160 MONST 40ENTSALUW DRS DOL AT</t>
  </si>
  <si>
    <t>500 CAN X160 48EZ40LN32ML20UPAL DRS C AT</t>
  </si>
  <si>
    <t>500 CAN X200 MO UWAS25ENEZTSBA DRS DO AT</t>
  </si>
  <si>
    <t>500 CAN X200 MONST 80ENUW40TS DRS CP AT</t>
  </si>
  <si>
    <t>330 CAN 40X4X6 20CC10CZ6FA4FAOZ HP HF AT</t>
  </si>
  <si>
    <t xml:space="preserve">Dolly </t>
  </si>
  <si>
    <t>5000112472172 </t>
  </si>
  <si>
    <t>5000112472189  </t>
  </si>
  <si>
    <t>330 CAN X240 CRCH48CZ24CZZCZLE DRS CP AT</t>
  </si>
  <si>
    <t>500 CAN X756 17X24EWM29X12EZRB DRS HP AT</t>
  </si>
  <si>
    <t>Änderung Artikelbeschreibung</t>
  </si>
  <si>
    <t>500 CAN X1512 35X24EF56X12EABT DRS EP AT</t>
  </si>
  <si>
    <t>750 PET 65X6 RQ EM 4V 10LCMA DRS HP AT</t>
  </si>
  <si>
    <t>500 CAN X120 MON 40LNBA20ENUSD DRS DO AT</t>
  </si>
  <si>
    <t>500 CAN X120 MON 40LNBA20ENUSD DRS CP AT</t>
  </si>
  <si>
    <t>500 CAN X160 MO 40TSENASLUF DRS DO AT</t>
  </si>
  <si>
    <t>500 CAN X160 MO 40TSENASLUF DRS CP AT</t>
  </si>
  <si>
    <t>500 CAN X200 50BAUF25ENEZASLTS DRS DO AT</t>
  </si>
  <si>
    <t>500/330 PET/CAN X200 4V 40FBZFO DRS C AT</t>
  </si>
  <si>
    <t>500/330 PET/CAN X200 4V 40FBZ DRS CP AT</t>
  </si>
  <si>
    <t>HP</t>
  </si>
  <si>
    <t xml:space="preserve">Mix Tray </t>
  </si>
  <si>
    <t>nur für Co-Packing</t>
  </si>
  <si>
    <r>
      <t xml:space="preserve">500 CAN </t>
    </r>
    <r>
      <rPr>
        <b/>
        <sz val="9"/>
        <color rgb="FF000000"/>
        <rFont val="Calibri"/>
        <family val="2"/>
      </rPr>
      <t>40</t>
    </r>
    <r>
      <rPr>
        <sz val="9"/>
        <color rgb="FF000000"/>
        <rFont val="Calibri"/>
        <family val="2"/>
      </rPr>
      <t xml:space="preserve">X24 MO MIX12UW6EN6ML DRS EP AT </t>
    </r>
  </si>
  <si>
    <t xml:space="preserve">Chep </t>
  </si>
  <si>
    <r>
      <t>500 CAN X160 MO 40UWLNRO20EN</t>
    </r>
    <r>
      <rPr>
        <sz val="10"/>
        <color rgb="FF000000"/>
        <rFont val="Calibri"/>
        <family val="2"/>
      </rPr>
      <t>BA DRS CP AT</t>
    </r>
  </si>
  <si>
    <r>
      <t>500 CAN X160 MO 40UWLNRO20EN</t>
    </r>
    <r>
      <rPr>
        <sz val="10"/>
        <color rgb="FF000000"/>
        <rFont val="Calibri"/>
        <family val="2"/>
      </rPr>
      <t>BA DRS DO AT</t>
    </r>
  </si>
  <si>
    <r>
      <t>500 CAN X200 MO 50UWLNRO25EN</t>
    </r>
    <r>
      <rPr>
        <sz val="10"/>
        <color rgb="FF000000"/>
        <rFont val="Calibri"/>
        <family val="2"/>
      </rPr>
      <t>BA DRS DO AT</t>
    </r>
  </si>
  <si>
    <t>dieser SKU wird nicht benötigt</t>
  </si>
  <si>
    <t>4IPP</t>
  </si>
  <si>
    <r>
      <t xml:space="preserve">330 CAN 180X6 78CRCZ24FA </t>
    </r>
    <r>
      <rPr>
        <b/>
        <sz val="9"/>
        <color rgb="FF000000"/>
        <rFont val="Calibri"/>
        <family val="2"/>
      </rPr>
      <t>PROM</t>
    </r>
    <r>
      <rPr>
        <sz val="9"/>
        <color rgb="FF000000"/>
        <rFont val="Calibri"/>
        <family val="2"/>
      </rPr>
      <t xml:space="preserve"> DRS HP AT </t>
    </r>
  </si>
  <si>
    <r>
      <t xml:space="preserve">330 CAN 180X6 78CRCZ24FA </t>
    </r>
    <r>
      <rPr>
        <b/>
        <sz val="9"/>
        <color rgb="FF000000"/>
        <rFont val="Calibri"/>
        <family val="2"/>
      </rPr>
      <t>PROM</t>
    </r>
    <r>
      <rPr>
        <sz val="9"/>
        <color rgb="FF000000"/>
        <rFont val="Calibri"/>
        <family val="2"/>
      </rPr>
      <t xml:space="preserve"> DRS ROL AT</t>
    </r>
  </si>
  <si>
    <r>
      <t xml:space="preserve">330 CAN 80X6 36CRCZ8FAO </t>
    </r>
    <r>
      <rPr>
        <b/>
        <sz val="9"/>
        <color rgb="FF000000"/>
        <rFont val="Calibri"/>
        <family val="2"/>
      </rPr>
      <t>PROM</t>
    </r>
    <r>
      <rPr>
        <sz val="9"/>
        <color rgb="FF000000"/>
        <rFont val="Calibri"/>
        <family val="2"/>
      </rPr>
      <t xml:space="preserve"> DRS DOL AT</t>
    </r>
  </si>
  <si>
    <r>
      <t xml:space="preserve">330 CAN 80X6 36CRCZ8FAO </t>
    </r>
    <r>
      <rPr>
        <b/>
        <sz val="9"/>
        <color rgb="FF000000"/>
        <rFont val="Calibri"/>
        <family val="2"/>
      </rPr>
      <t>PROM</t>
    </r>
    <r>
      <rPr>
        <sz val="9"/>
        <color rgb="FF000000"/>
        <rFont val="Calibri"/>
        <family val="2"/>
      </rPr>
      <t xml:space="preserve"> DRS 4IP AT</t>
    </r>
  </si>
  <si>
    <t>Size (ml)</t>
  </si>
  <si>
    <t>Pack Typ</t>
  </si>
  <si>
    <t>CAN</t>
  </si>
  <si>
    <t>Coke Zero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</si>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</sst>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rgb="FF676767"/>
      <name val="Verdana"/>
      <family val="2"/>
    </font>
    <font>
      <b/>
      <sz val="10"/>
      <name val="Arial"/>
      <family val="2"/>
    </font>
    <font>
      <b/>
      <sz val="10"/>
      <color rgb="FF000000"/>
      <name val="Effra Corp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u/>
      <sz val="10"/>
      <color indexed="12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9C0006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i/>
      <sz val="11"/>
      <color rgb="FF7F7F7F"/>
      <name val="Arial"/>
      <family val="2"/>
    </font>
    <font>
      <sz val="11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FA7D00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9"/>
      <color indexed="81"/>
      <name val="Tahoma"/>
      <family val="2"/>
    </font>
    <font>
      <b/>
      <sz val="10"/>
      <color rgb="FF000000"/>
      <name val="Arial"/>
      <family val="2"/>
    </font>
    <font>
      <sz val="11"/>
      <color rgb="FF00B050"/>
      <name val="Calibri"/>
      <family val="2"/>
      <scheme val="minor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9"/>
      <color theme="0"/>
      <name val="Calibri"/>
      <family val="2"/>
    </font>
    <font>
      <sz val="9"/>
      <color rgb="FF000000"/>
      <name val="Calibri"/>
      <family val="2"/>
    </font>
    <font>
      <sz val="9"/>
      <color rgb="FFFFFFFF"/>
      <name val="Calibri"/>
      <family val="2"/>
    </font>
    <font>
      <b/>
      <sz val="9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000000"/>
      <name val="Calibri Light"/>
      <family val="2"/>
    </font>
    <font>
      <sz val="9"/>
      <color rgb="FF000000"/>
      <name val="Calibri Light"/>
      <family val="2"/>
    </font>
    <font>
      <sz val="9"/>
      <color rgb="FF00B050"/>
      <name val="Calibri"/>
      <family val="2"/>
      <scheme val="minor"/>
    </font>
    <font>
      <b/>
      <sz val="11"/>
      <color rgb="FF000000"/>
      <name val="Calibri"/>
      <family val="2"/>
    </font>
    <font>
      <b/>
      <sz val="9"/>
      <color theme="0"/>
      <name val="Calibri"/>
      <family val="2"/>
      <scheme val="minor"/>
    </font>
    <font>
      <b/>
      <sz val="11"/>
      <color theme="1"/>
      <name val="Effra Corp"/>
      <family val="2"/>
    </font>
    <font>
      <sz val="11"/>
      <color theme="1"/>
      <name val="Aptos"/>
      <family val="2"/>
    </font>
    <font>
      <b/>
      <sz val="11"/>
      <name val="Effra Corp"/>
      <family val="2"/>
    </font>
    <font>
      <sz val="9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000000"/>
      <name val="Calibri"/>
      <family val="2"/>
    </font>
    <font>
      <b/>
      <strike/>
      <sz val="11"/>
      <color rgb="FF0070C0"/>
      <name val="Calibri"/>
      <family val="2"/>
      <scheme val="minor"/>
    </font>
    <font>
      <b/>
      <sz val="9"/>
      <color rgb="FFFFFFFF"/>
      <name val="Calibri"/>
      <family val="2"/>
    </font>
    <font>
      <b/>
      <strike/>
      <sz val="9"/>
      <name val="Calibri"/>
      <family val="2"/>
    </font>
    <font>
      <strike/>
      <sz val="9"/>
      <name val="Calibri"/>
      <family val="2"/>
    </font>
    <font>
      <strike/>
      <sz val="9"/>
      <color rgb="FF000000"/>
      <name val="Calibri"/>
      <family val="2"/>
    </font>
    <font>
      <b/>
      <strike/>
      <sz val="9"/>
      <color rgb="FF000000"/>
      <name val="Calibri"/>
      <family val="2"/>
    </font>
    <font>
      <b/>
      <strike/>
      <sz val="10"/>
      <color rgb="FF000000"/>
      <name val="Effra Corp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trike/>
      <sz val="9"/>
      <color theme="1"/>
      <name val="Calibri"/>
      <family val="2"/>
    </font>
    <font>
      <strike/>
      <sz val="9"/>
      <color theme="1"/>
      <name val="Calibri"/>
      <family val="2"/>
      <scheme val="minor"/>
    </font>
    <font>
      <strike/>
      <sz val="9"/>
      <color theme="1"/>
      <name val="Calibri"/>
      <family val="2"/>
    </font>
    <font>
      <b/>
      <strike/>
      <sz val="11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strike/>
      <sz val="9"/>
      <color rgb="FFFF0000"/>
      <name val="Calibri"/>
      <family val="2"/>
    </font>
    <font>
      <b/>
      <strike/>
      <sz val="9"/>
      <color rgb="FFFF0000"/>
      <name val="Calibri"/>
      <family val="2"/>
      <scheme val="minor"/>
    </font>
    <font>
      <strike/>
      <sz val="9"/>
      <color rgb="FFFF0000"/>
      <name val="Calibri"/>
      <family val="2"/>
    </font>
    <font>
      <sz val="9"/>
      <color rgb="FF7030A0"/>
      <name val="Calibri"/>
      <family val="2"/>
    </font>
  </fonts>
  <fills count="5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66FF"/>
        <bgColor rgb="FF000000"/>
      </patternFill>
    </fill>
    <fill>
      <patternFill patternType="solid">
        <fgColor rgb="FFFF66FF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05">
    <xf numFmtId="0" fontId="0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0" borderId="0"/>
    <xf numFmtId="0" fontId="35" fillId="0" borderId="0"/>
    <xf numFmtId="0" fontId="2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38" fillId="0" borderId="0"/>
    <xf numFmtId="0" fontId="38" fillId="0" borderId="0"/>
    <xf numFmtId="0" fontId="22" fillId="16" borderId="0" applyNumberFormat="0" applyBorder="0" applyAlignment="0" applyProtection="0"/>
    <xf numFmtId="0" fontId="39" fillId="16" borderId="0" applyNumberFormat="0" applyBorder="0" applyAlignment="0" applyProtection="0"/>
    <xf numFmtId="0" fontId="22" fillId="20" borderId="0" applyNumberFormat="0" applyBorder="0" applyAlignment="0" applyProtection="0"/>
    <xf numFmtId="0" fontId="39" fillId="20" borderId="0" applyNumberFormat="0" applyBorder="0" applyAlignment="0" applyProtection="0"/>
    <xf numFmtId="0" fontId="22" fillId="24" borderId="0" applyNumberFormat="0" applyBorder="0" applyAlignment="0" applyProtection="0"/>
    <xf numFmtId="0" fontId="39" fillId="24" borderId="0" applyNumberFormat="0" applyBorder="0" applyAlignment="0" applyProtection="0"/>
    <xf numFmtId="0" fontId="22" fillId="28" borderId="0" applyNumberFormat="0" applyBorder="0" applyAlignment="0" applyProtection="0"/>
    <xf numFmtId="0" fontId="39" fillId="28" borderId="0" applyNumberFormat="0" applyBorder="0" applyAlignment="0" applyProtection="0"/>
    <xf numFmtId="0" fontId="22" fillId="32" borderId="0" applyNumberFormat="0" applyBorder="0" applyAlignment="0" applyProtection="0"/>
    <xf numFmtId="0" fontId="39" fillId="32" borderId="0" applyNumberFormat="0" applyBorder="0" applyAlignment="0" applyProtection="0"/>
    <xf numFmtId="0" fontId="22" fillId="36" borderId="0" applyNumberFormat="0" applyBorder="0" applyAlignment="0" applyProtection="0"/>
    <xf numFmtId="0" fontId="39" fillId="36" borderId="0" applyNumberFormat="0" applyBorder="0" applyAlignment="0" applyProtection="0"/>
    <xf numFmtId="0" fontId="22" fillId="17" borderId="0" applyNumberFormat="0" applyBorder="0" applyAlignment="0" applyProtection="0"/>
    <xf numFmtId="0" fontId="39" fillId="17" borderId="0" applyNumberFormat="0" applyBorder="0" applyAlignment="0" applyProtection="0"/>
    <xf numFmtId="0" fontId="22" fillId="21" borderId="0" applyNumberFormat="0" applyBorder="0" applyAlignment="0" applyProtection="0"/>
    <xf numFmtId="0" fontId="39" fillId="21" borderId="0" applyNumberFormat="0" applyBorder="0" applyAlignment="0" applyProtection="0"/>
    <xf numFmtId="0" fontId="22" fillId="25" borderId="0" applyNumberFormat="0" applyBorder="0" applyAlignment="0" applyProtection="0"/>
    <xf numFmtId="0" fontId="39" fillId="25" borderId="0" applyNumberFormat="0" applyBorder="0" applyAlignment="0" applyProtection="0"/>
    <xf numFmtId="0" fontId="22" fillId="29" borderId="0" applyNumberFormat="0" applyBorder="0" applyAlignment="0" applyProtection="0"/>
    <xf numFmtId="0" fontId="39" fillId="29" borderId="0" applyNumberFormat="0" applyBorder="0" applyAlignment="0" applyProtection="0"/>
    <xf numFmtId="0" fontId="22" fillId="33" borderId="0" applyNumberFormat="0" applyBorder="0" applyAlignment="0" applyProtection="0"/>
    <xf numFmtId="0" fontId="39" fillId="33" borderId="0" applyNumberFormat="0" applyBorder="0" applyAlignment="0" applyProtection="0"/>
    <xf numFmtId="0" fontId="22" fillId="37" borderId="0" applyNumberFormat="0" applyBorder="0" applyAlignment="0" applyProtection="0"/>
    <xf numFmtId="0" fontId="39" fillId="37" borderId="0" applyNumberFormat="0" applyBorder="0" applyAlignment="0" applyProtection="0"/>
    <xf numFmtId="0" fontId="15" fillId="18" borderId="0" applyNumberFormat="0" applyBorder="0" applyAlignment="0" applyProtection="0"/>
    <xf numFmtId="0" fontId="40" fillId="18" borderId="0" applyNumberFormat="0" applyBorder="0" applyAlignment="0" applyProtection="0"/>
    <xf numFmtId="0" fontId="15" fillId="22" borderId="0" applyNumberFormat="0" applyBorder="0" applyAlignment="0" applyProtection="0"/>
    <xf numFmtId="0" fontId="40" fillId="22" borderId="0" applyNumberFormat="0" applyBorder="0" applyAlignment="0" applyProtection="0"/>
    <xf numFmtId="0" fontId="15" fillId="26" borderId="0" applyNumberFormat="0" applyBorder="0" applyAlignment="0" applyProtection="0"/>
    <xf numFmtId="0" fontId="40" fillId="26" borderId="0" applyNumberFormat="0" applyBorder="0" applyAlignment="0" applyProtection="0"/>
    <xf numFmtId="0" fontId="15" fillId="30" borderId="0" applyNumberFormat="0" applyBorder="0" applyAlignment="0" applyProtection="0"/>
    <xf numFmtId="0" fontId="40" fillId="30" borderId="0" applyNumberFormat="0" applyBorder="0" applyAlignment="0" applyProtection="0"/>
    <xf numFmtId="0" fontId="15" fillId="34" borderId="0" applyNumberFormat="0" applyBorder="0" applyAlignment="0" applyProtection="0"/>
    <xf numFmtId="0" fontId="40" fillId="34" borderId="0" applyNumberFormat="0" applyBorder="0" applyAlignment="0" applyProtection="0"/>
    <xf numFmtId="0" fontId="15" fillId="38" borderId="0" applyNumberFormat="0" applyBorder="0" applyAlignment="0" applyProtection="0"/>
    <xf numFmtId="0" fontId="40" fillId="38" borderId="0" applyNumberFormat="0" applyBorder="0" applyAlignment="0" applyProtection="0"/>
    <xf numFmtId="0" fontId="15" fillId="15" borderId="0" applyNumberFormat="0" applyBorder="0" applyAlignment="0" applyProtection="0"/>
    <xf numFmtId="0" fontId="40" fillId="15" borderId="0" applyNumberFormat="0" applyBorder="0" applyAlignment="0" applyProtection="0"/>
    <xf numFmtId="0" fontId="15" fillId="19" borderId="0" applyNumberFormat="0" applyBorder="0" applyAlignment="0" applyProtection="0"/>
    <xf numFmtId="0" fontId="40" fillId="19" borderId="0" applyNumberFormat="0" applyBorder="0" applyAlignment="0" applyProtection="0"/>
    <xf numFmtId="0" fontId="15" fillId="23" borderId="0" applyNumberFormat="0" applyBorder="0" applyAlignment="0" applyProtection="0"/>
    <xf numFmtId="0" fontId="40" fillId="23" borderId="0" applyNumberFormat="0" applyBorder="0" applyAlignment="0" applyProtection="0"/>
    <xf numFmtId="0" fontId="15" fillId="27" borderId="0" applyNumberFormat="0" applyBorder="0" applyAlignment="0" applyProtection="0"/>
    <xf numFmtId="0" fontId="40" fillId="27" borderId="0" applyNumberFormat="0" applyBorder="0" applyAlignment="0" applyProtection="0"/>
    <xf numFmtId="0" fontId="15" fillId="31" borderId="0" applyNumberFormat="0" applyBorder="0" applyAlignment="0" applyProtection="0"/>
    <xf numFmtId="0" fontId="40" fillId="31" borderId="0" applyNumberFormat="0" applyBorder="0" applyAlignment="0" applyProtection="0"/>
    <xf numFmtId="0" fontId="15" fillId="35" borderId="0" applyNumberFormat="0" applyBorder="0" applyAlignment="0" applyProtection="0"/>
    <xf numFmtId="0" fontId="40" fillId="35" borderId="0" applyNumberFormat="0" applyBorder="0" applyAlignment="0" applyProtection="0"/>
    <xf numFmtId="0" fontId="27" fillId="9" borderId="0" applyNumberFormat="0" applyBorder="0" applyAlignment="0" applyProtection="0"/>
    <xf numFmtId="0" fontId="41" fillId="9" borderId="0" applyNumberFormat="0" applyBorder="0" applyAlignment="0" applyProtection="0"/>
    <xf numFmtId="0" fontId="31" fillId="12" borderId="15" applyNumberFormat="0" applyAlignment="0" applyProtection="0"/>
    <xf numFmtId="0" fontId="42" fillId="12" borderId="15" applyNumberFormat="0" applyAlignment="0" applyProtection="0"/>
    <xf numFmtId="0" fontId="1" fillId="13" borderId="18" applyNumberFormat="0" applyAlignment="0" applyProtection="0"/>
    <xf numFmtId="0" fontId="43" fillId="13" borderId="18" applyNumberFormat="0" applyAlignment="0" applyProtection="0"/>
    <xf numFmtId="0" fontId="3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8" borderId="0" applyNumberFormat="0" applyBorder="0" applyAlignment="0" applyProtection="0"/>
    <xf numFmtId="0" fontId="45" fillId="8" borderId="0" applyNumberFormat="0" applyBorder="0" applyAlignment="0" applyProtection="0"/>
    <xf numFmtId="0" fontId="23" fillId="0" borderId="12" applyNumberFormat="0" applyFill="0" applyAlignment="0" applyProtection="0"/>
    <xf numFmtId="0" fontId="46" fillId="0" borderId="12" applyNumberFormat="0" applyFill="0" applyAlignment="0" applyProtection="0"/>
    <xf numFmtId="0" fontId="24" fillId="0" borderId="13" applyNumberFormat="0" applyFill="0" applyAlignment="0" applyProtection="0"/>
    <xf numFmtId="0" fontId="47" fillId="0" borderId="13" applyNumberFormat="0" applyFill="0" applyAlignment="0" applyProtection="0"/>
    <xf numFmtId="0" fontId="25" fillId="0" borderId="14" applyNumberFormat="0" applyFill="0" applyAlignment="0" applyProtection="0"/>
    <xf numFmtId="0" fontId="48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29" fillId="11" borderId="15" applyNumberFormat="0" applyAlignment="0" applyProtection="0"/>
    <xf numFmtId="0" fontId="49" fillId="11" borderId="15" applyNumberFormat="0" applyAlignment="0" applyProtection="0"/>
    <xf numFmtId="0" fontId="32" fillId="0" borderId="17" applyNumberFormat="0" applyFill="0" applyAlignment="0" applyProtection="0"/>
    <xf numFmtId="0" fontId="50" fillId="0" borderId="17" applyNumberFormat="0" applyFill="0" applyAlignment="0" applyProtection="0"/>
    <xf numFmtId="0" fontId="28" fillId="10" borderId="0" applyNumberFormat="0" applyBorder="0" applyAlignment="0" applyProtection="0"/>
    <xf numFmtId="0" fontId="51" fillId="10" borderId="0" applyNumberFormat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39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30" fillId="12" borderId="16" applyNumberFormat="0" applyAlignment="0" applyProtection="0"/>
    <xf numFmtId="0" fontId="52" fillId="12" borderId="16" applyNumberFormat="0" applyAlignment="0" applyProtection="0"/>
    <xf numFmtId="0" fontId="53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54" fillId="0" borderId="20" applyNumberFormat="0" applyFill="0" applyAlignment="0" applyProtection="0"/>
    <xf numFmtId="0" fontId="33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0" borderId="0"/>
    <xf numFmtId="0" fontId="14" fillId="0" borderId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22" fillId="14" borderId="19" applyNumberFormat="0" applyFont="0" applyAlignment="0" applyProtection="0"/>
    <xf numFmtId="0" fontId="6" fillId="0" borderId="0"/>
    <xf numFmtId="0" fontId="62" fillId="0" borderId="0"/>
    <xf numFmtId="9" fontId="14" fillId="0" borderId="0" applyFont="0" applyFill="0" applyBorder="0" applyAlignment="0" applyProtection="0"/>
  </cellStyleXfs>
  <cellXfs count="48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5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0" fillId="7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0" fillId="7" borderId="2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0" borderId="1" xfId="0" applyBorder="1"/>
    <xf numFmtId="14" fontId="0" fillId="0" borderId="1" xfId="0" applyNumberFormat="1" applyBorder="1"/>
    <xf numFmtId="14" fontId="0" fillId="7" borderId="1" xfId="0" applyNumberFormat="1" applyFill="1" applyBorder="1" applyAlignment="1">
      <alignment vertical="center"/>
    </xf>
    <xf numFmtId="0" fontId="0" fillId="7" borderId="0" xfId="0" applyFill="1" applyAlignment="1">
      <alignment vertical="center"/>
    </xf>
    <xf numFmtId="0" fontId="4" fillId="7" borderId="0" xfId="0" applyFont="1" applyFill="1" applyAlignment="1">
      <alignment vertical="center"/>
    </xf>
    <xf numFmtId="0" fontId="4" fillId="7" borderId="9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9" xfId="0" applyNumberFormat="1" applyBorder="1"/>
    <xf numFmtId="0" fontId="2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right" vertical="center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5" fillId="6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7" borderId="1" xfId="0" applyFont="1" applyFill="1" applyBorder="1"/>
    <xf numFmtId="0" fontId="18" fillId="0" borderId="0" xfId="0" applyFont="1" applyAlignment="1">
      <alignment horizontal="left" vertical="center" wrapText="1"/>
    </xf>
    <xf numFmtId="0" fontId="0" fillId="7" borderId="1" xfId="0" applyFill="1" applyBorder="1"/>
    <xf numFmtId="14" fontId="0" fillId="7" borderId="1" xfId="0" applyNumberFormat="1" applyFill="1" applyBorder="1"/>
    <xf numFmtId="0" fontId="2" fillId="7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1" fontId="1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right" vertical="center"/>
    </xf>
    <xf numFmtId="0" fontId="9" fillId="0" borderId="0" xfId="0" applyFont="1"/>
    <xf numFmtId="0" fontId="9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2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right" vertical="center"/>
    </xf>
    <xf numFmtId="0" fontId="13" fillId="0" borderId="1" xfId="0" applyFont="1" applyBorder="1" applyAlignment="1">
      <alignment vertical="center"/>
    </xf>
    <xf numFmtId="0" fontId="7" fillId="7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14" fontId="13" fillId="7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center"/>
    </xf>
    <xf numFmtId="0" fontId="0" fillId="7" borderId="0" xfId="0" applyFill="1"/>
    <xf numFmtId="0" fontId="20" fillId="7" borderId="1" xfId="0" applyFont="1" applyFill="1" applyBorder="1" applyAlignment="1">
      <alignment horizontal="center"/>
    </xf>
    <xf numFmtId="0" fontId="20" fillId="7" borderId="1" xfId="0" applyFont="1" applyFill="1" applyBorder="1"/>
    <xf numFmtId="0" fontId="7" fillId="0" borderId="9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7" fillId="0" borderId="1" xfId="0" applyFont="1" applyBorder="1"/>
    <xf numFmtId="0" fontId="21" fillId="7" borderId="1" xfId="0" applyFont="1" applyFill="1" applyBorder="1" applyAlignment="1">
      <alignment horizontal="center"/>
    </xf>
    <xf numFmtId="0" fontId="21" fillId="7" borderId="1" xfId="0" applyFont="1" applyFill="1" applyBorder="1"/>
    <xf numFmtId="0" fontId="0" fillId="7" borderId="0" xfId="0" applyFill="1" applyAlignment="1">
      <alignment horizontal="center"/>
    </xf>
    <xf numFmtId="0" fontId="2" fillId="7" borderId="0" xfId="0" applyFont="1" applyFill="1" applyAlignment="1">
      <alignment vertical="center" wrapText="1"/>
    </xf>
    <xf numFmtId="0" fontId="0" fillId="0" borderId="1" xfId="0" applyBorder="1" applyAlignment="1">
      <alignment horizontal="right"/>
    </xf>
    <xf numFmtId="0" fontId="13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33" fillId="0" borderId="1" xfId="0" applyFont="1" applyBorder="1"/>
    <xf numFmtId="0" fontId="7" fillId="7" borderId="1" xfId="0" applyFont="1" applyFill="1" applyBorder="1" applyAlignment="1">
      <alignment horizontal="left" vertical="center"/>
    </xf>
    <xf numFmtId="0" fontId="7" fillId="7" borderId="11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/>
    </xf>
    <xf numFmtId="0" fontId="13" fillId="7" borderId="2" xfId="0" applyFont="1" applyFill="1" applyBorder="1" applyAlignment="1">
      <alignment vertical="center"/>
    </xf>
    <xf numFmtId="0" fontId="2" fillId="0" borderId="11" xfId="0" applyFont="1" applyBorder="1" applyAlignment="1">
      <alignment horizontal="center"/>
    </xf>
    <xf numFmtId="0" fontId="2" fillId="7" borderId="11" xfId="0" applyFont="1" applyFill="1" applyBorder="1"/>
    <xf numFmtId="0" fontId="13" fillId="7" borderId="1" xfId="0" applyFont="1" applyFill="1" applyBorder="1"/>
    <xf numFmtId="14" fontId="0" fillId="7" borderId="1" xfId="0" applyNumberFormat="1" applyFill="1" applyBorder="1" applyAlignment="1">
      <alignment horizontal="right"/>
    </xf>
    <xf numFmtId="0" fontId="2" fillId="0" borderId="11" xfId="0" applyFont="1" applyBorder="1" applyAlignment="1">
      <alignment vertical="center" wrapText="1"/>
    </xf>
    <xf numFmtId="0" fontId="20" fillId="0" borderId="21" xfId="0" applyFont="1" applyBorder="1"/>
    <xf numFmtId="0" fontId="20" fillId="0" borderId="0" xfId="0" applyFont="1"/>
    <xf numFmtId="0" fontId="2" fillId="0" borderId="11" xfId="0" applyFont="1" applyBorder="1" applyAlignment="1">
      <alignment vertical="center"/>
    </xf>
    <xf numFmtId="0" fontId="0" fillId="0" borderId="11" xfId="0" applyBorder="1"/>
    <xf numFmtId="14" fontId="0" fillId="0" borderId="11" xfId="0" applyNumberFormat="1" applyBorder="1"/>
    <xf numFmtId="0" fontId="13" fillId="7" borderId="1" xfId="0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/>
    </xf>
    <xf numFmtId="0" fontId="2" fillId="0" borderId="11" xfId="0" applyFont="1" applyBorder="1"/>
    <xf numFmtId="0" fontId="33" fillId="0" borderId="1" xfId="0" applyFont="1" applyBorder="1" applyAlignment="1">
      <alignment horizontal="center"/>
    </xf>
    <xf numFmtId="0" fontId="59" fillId="0" borderId="1" xfId="1202" applyFont="1" applyBorder="1" applyProtection="1">
      <protection hidden="1"/>
    </xf>
    <xf numFmtId="0" fontId="61" fillId="0" borderId="1" xfId="1202" applyFont="1" applyBorder="1" applyProtection="1">
      <protection hidden="1"/>
    </xf>
    <xf numFmtId="0" fontId="60" fillId="0" borderId="22" xfId="0" applyFont="1" applyBorder="1" applyAlignment="1">
      <alignment horizontal="center"/>
    </xf>
    <xf numFmtId="0" fontId="60" fillId="0" borderId="9" xfId="0" applyFont="1" applyBorder="1" applyAlignment="1">
      <alignment horizontal="center"/>
    </xf>
    <xf numFmtId="0" fontId="20" fillId="0" borderId="1" xfId="0" applyFont="1" applyBorder="1" applyAlignment="1">
      <alignment vertical="center"/>
    </xf>
    <xf numFmtId="0" fontId="14" fillId="0" borderId="1" xfId="0" applyFont="1" applyBorder="1" applyAlignment="1">
      <alignment wrapText="1"/>
    </xf>
    <xf numFmtId="0" fontId="63" fillId="0" borderId="9" xfId="0" applyFont="1" applyBorder="1" applyAlignment="1">
      <alignment horizontal="center"/>
    </xf>
    <xf numFmtId="14" fontId="13" fillId="0" borderId="1" xfId="0" applyNumberFormat="1" applyFont="1" applyBorder="1"/>
    <xf numFmtId="0" fontId="13" fillId="0" borderId="0" xfId="0" applyFont="1"/>
    <xf numFmtId="0" fontId="57" fillId="0" borderId="1" xfId="0" applyFont="1" applyBorder="1"/>
    <xf numFmtId="0" fontId="63" fillId="0" borderId="22" xfId="0" applyFont="1" applyBorder="1" applyAlignment="1">
      <alignment horizontal="center"/>
    </xf>
    <xf numFmtId="0" fontId="64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65" fillId="0" borderId="1" xfId="0" applyFont="1" applyBorder="1"/>
    <xf numFmtId="0" fontId="2" fillId="39" borderId="1" xfId="0" applyFont="1" applyFill="1" applyBorder="1"/>
    <xf numFmtId="0" fontId="0" fillId="39" borderId="1" xfId="0" applyFill="1" applyBorder="1"/>
    <xf numFmtId="14" fontId="0" fillId="39" borderId="1" xfId="0" applyNumberFormat="1" applyFill="1" applyBorder="1"/>
    <xf numFmtId="14" fontId="9" fillId="0" borderId="1" xfId="0" applyNumberFormat="1" applyFont="1" applyBorder="1"/>
    <xf numFmtId="0" fontId="9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71" fillId="0" borderId="0" xfId="0" applyFont="1"/>
    <xf numFmtId="0" fontId="67" fillId="0" borderId="1" xfId="0" applyFont="1" applyBorder="1"/>
    <xf numFmtId="1" fontId="67" fillId="0" borderId="1" xfId="0" applyNumberFormat="1" applyFont="1" applyBorder="1"/>
    <xf numFmtId="1" fontId="67" fillId="0" borderId="1" xfId="0" applyNumberFormat="1" applyFont="1" applyBorder="1" applyAlignment="1">
      <alignment horizontal="right"/>
    </xf>
    <xf numFmtId="1" fontId="67" fillId="0" borderId="22" xfId="0" applyNumberFormat="1" applyFont="1" applyBorder="1" applyAlignment="1">
      <alignment horizontal="right"/>
    </xf>
    <xf numFmtId="0" fontId="72" fillId="0" borderId="25" xfId="0" applyFont="1" applyBorder="1" applyAlignment="1">
      <alignment horizontal="center"/>
    </xf>
    <xf numFmtId="0" fontId="72" fillId="0" borderId="1" xfId="0" applyFont="1" applyBorder="1"/>
    <xf numFmtId="1" fontId="67" fillId="45" borderId="1" xfId="0" applyNumberFormat="1" applyFont="1" applyFill="1" applyBorder="1" applyAlignment="1">
      <alignment horizontal="center"/>
    </xf>
    <xf numFmtId="0" fontId="71" fillId="0" borderId="0" xfId="0" applyFont="1" applyAlignment="1">
      <alignment horizontal="center"/>
    </xf>
    <xf numFmtId="1" fontId="71" fillId="0" borderId="0" xfId="0" applyNumberFormat="1" applyFont="1"/>
    <xf numFmtId="1" fontId="71" fillId="0" borderId="0" xfId="0" applyNumberFormat="1" applyFont="1" applyAlignment="1">
      <alignment horizontal="right"/>
    </xf>
    <xf numFmtId="1" fontId="71" fillId="0" borderId="0" xfId="0" applyNumberFormat="1" applyFont="1" applyAlignment="1">
      <alignment horizontal="center"/>
    </xf>
    <xf numFmtId="0" fontId="72" fillId="0" borderId="1" xfId="0" applyFont="1" applyBorder="1" applyAlignment="1">
      <alignment horizontal="right"/>
    </xf>
    <xf numFmtId="14" fontId="67" fillId="0" borderId="1" xfId="0" applyNumberFormat="1" applyFont="1" applyBorder="1" applyAlignment="1">
      <alignment horizontal="center"/>
    </xf>
    <xf numFmtId="1" fontId="67" fillId="0" borderId="0" xfId="0" applyNumberFormat="1" applyFont="1" applyAlignment="1">
      <alignment horizontal="right"/>
    </xf>
    <xf numFmtId="0" fontId="78" fillId="0" borderId="0" xfId="0" applyFont="1"/>
    <xf numFmtId="0" fontId="79" fillId="0" borderId="0" xfId="0" applyFont="1"/>
    <xf numFmtId="0" fontId="78" fillId="0" borderId="0" xfId="0" applyFont="1" applyAlignment="1">
      <alignment horizontal="center"/>
    </xf>
    <xf numFmtId="1" fontId="79" fillId="0" borderId="0" xfId="0" applyNumberFormat="1" applyFont="1" applyAlignment="1">
      <alignment horizontal="left"/>
    </xf>
    <xf numFmtId="1" fontId="79" fillId="0" borderId="0" xfId="0" applyNumberFormat="1" applyFont="1" applyAlignment="1">
      <alignment horizontal="left" vertical="center"/>
    </xf>
    <xf numFmtId="0" fontId="79" fillId="0" borderId="0" xfId="0" applyFont="1" applyAlignment="1">
      <alignment horizontal="left"/>
    </xf>
    <xf numFmtId="0" fontId="77" fillId="42" borderId="23" xfId="0" applyFont="1" applyFill="1" applyBorder="1" applyAlignment="1">
      <alignment horizontal="left" vertical="center" wrapText="1"/>
    </xf>
    <xf numFmtId="0" fontId="78" fillId="0" borderId="27" xfId="0" applyFont="1" applyBorder="1"/>
    <xf numFmtId="0" fontId="78" fillId="0" borderId="27" xfId="0" applyFont="1" applyBorder="1" applyAlignment="1">
      <alignment vertical="center"/>
    </xf>
    <xf numFmtId="0" fontId="77" fillId="0" borderId="0" xfId="0" applyFont="1" applyAlignment="1">
      <alignment horizontal="left" vertical="center" wrapText="1"/>
    </xf>
    <xf numFmtId="0" fontId="74" fillId="43" borderId="28" xfId="0" applyFont="1" applyFill="1" applyBorder="1" applyAlignment="1">
      <alignment horizontal="center" vertical="top" wrapText="1"/>
    </xf>
    <xf numFmtId="1" fontId="74" fillId="0" borderId="24" xfId="0" applyNumberFormat="1" applyFont="1" applyBorder="1" applyAlignment="1">
      <alignment horizontal="left"/>
    </xf>
    <xf numFmtId="0" fontId="74" fillId="0" borderId="24" xfId="0" applyFont="1" applyBorder="1"/>
    <xf numFmtId="1" fontId="74" fillId="0" borderId="24" xfId="0" applyNumberFormat="1" applyFont="1" applyBorder="1" applyAlignment="1">
      <alignment horizontal="left" vertical="center"/>
    </xf>
    <xf numFmtId="14" fontId="78" fillId="0" borderId="0" xfId="0" applyNumberFormat="1" applyFont="1" applyAlignment="1">
      <alignment horizontal="center"/>
    </xf>
    <xf numFmtId="0" fontId="82" fillId="7" borderId="0" xfId="0" applyFont="1" applyFill="1" applyAlignment="1">
      <alignment horizontal="center"/>
    </xf>
    <xf numFmtId="0" fontId="85" fillId="0" borderId="0" xfId="0" applyFont="1"/>
    <xf numFmtId="0" fontId="76" fillId="47" borderId="29" xfId="0" applyFont="1" applyFill="1" applyBorder="1" applyAlignment="1">
      <alignment vertical="center" wrapText="1"/>
    </xf>
    <xf numFmtId="0" fontId="77" fillId="42" borderId="28" xfId="0" applyFont="1" applyFill="1" applyBorder="1" applyAlignment="1">
      <alignment vertical="center" wrapText="1"/>
    </xf>
    <xf numFmtId="0" fontId="82" fillId="44" borderId="23" xfId="0" applyFont="1" applyFill="1" applyBorder="1" applyAlignment="1">
      <alignment horizontal="left" vertical="center" wrapText="1"/>
    </xf>
    <xf numFmtId="1" fontId="67" fillId="0" borderId="24" xfId="0" applyNumberFormat="1" applyFont="1" applyBorder="1" applyAlignment="1">
      <alignment horizontal="left"/>
    </xf>
    <xf numFmtId="0" fontId="71" fillId="0" borderId="1" xfId="0" applyFont="1" applyBorder="1"/>
    <xf numFmtId="1" fontId="71" fillId="0" borderId="1" xfId="0" applyNumberFormat="1" applyFont="1" applyBorder="1" applyAlignment="1">
      <alignment horizontal="center"/>
    </xf>
    <xf numFmtId="0" fontId="67" fillId="7" borderId="25" xfId="0" applyFont="1" applyFill="1" applyBorder="1" applyAlignment="1">
      <alignment horizontal="center"/>
    </xf>
    <xf numFmtId="0" fontId="73" fillId="7" borderId="25" xfId="0" applyFont="1" applyFill="1" applyBorder="1" applyAlignment="1">
      <alignment horizontal="center"/>
    </xf>
    <xf numFmtId="0" fontId="84" fillId="0" borderId="24" xfId="0" applyFont="1" applyBorder="1" applyAlignment="1">
      <alignment vertical="center"/>
    </xf>
    <xf numFmtId="1" fontId="74" fillId="7" borderId="24" xfId="0" applyNumberFormat="1" applyFont="1" applyFill="1" applyBorder="1" applyAlignment="1">
      <alignment horizontal="left"/>
    </xf>
    <xf numFmtId="1" fontId="79" fillId="7" borderId="0" xfId="0" applyNumberFormat="1" applyFont="1" applyFill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77" fillId="42" borderId="28" xfId="0" applyFont="1" applyFill="1" applyBorder="1" applyAlignment="1">
      <alignment horizontal="left" vertical="center" wrapText="1"/>
    </xf>
    <xf numFmtId="0" fontId="86" fillId="0" borderId="32" xfId="0" applyFont="1" applyBorder="1"/>
    <xf numFmtId="0" fontId="86" fillId="0" borderId="33" xfId="0" applyFont="1" applyBorder="1"/>
    <xf numFmtId="0" fontId="86" fillId="0" borderId="1" xfId="0" applyFont="1" applyBorder="1"/>
    <xf numFmtId="1" fontId="67" fillId="0" borderId="24" xfId="0" applyNumberFormat="1" applyFont="1" applyBorder="1" applyAlignment="1">
      <alignment horizontal="left" vertical="center"/>
    </xf>
    <xf numFmtId="0" fontId="72" fillId="0" borderId="1" xfId="0" applyFont="1" applyBorder="1" applyAlignment="1">
      <alignment horizontal="right" vertical="center"/>
    </xf>
    <xf numFmtId="1" fontId="67" fillId="0" borderId="1" xfId="0" applyNumberFormat="1" applyFont="1" applyBorder="1" applyAlignment="1">
      <alignment vertical="center"/>
    </xf>
    <xf numFmtId="1" fontId="67" fillId="0" borderId="1" xfId="0" applyNumberFormat="1" applyFont="1" applyBorder="1" applyAlignment="1">
      <alignment horizontal="right" vertical="center"/>
    </xf>
    <xf numFmtId="1" fontId="67" fillId="0" borderId="22" xfId="0" applyNumberFormat="1" applyFont="1" applyBorder="1" applyAlignment="1">
      <alignment horizontal="right" vertical="center"/>
    </xf>
    <xf numFmtId="0" fontId="70" fillId="0" borderId="25" xfId="0" applyFont="1" applyBorder="1" applyAlignment="1">
      <alignment horizontal="center"/>
    </xf>
    <xf numFmtId="1" fontId="71" fillId="0" borderId="1" xfId="0" applyNumberFormat="1" applyFont="1" applyBorder="1"/>
    <xf numFmtId="1" fontId="71" fillId="0" borderId="1" xfId="0" applyNumberFormat="1" applyFont="1" applyBorder="1" applyAlignment="1">
      <alignment horizontal="right"/>
    </xf>
    <xf numFmtId="0" fontId="87" fillId="6" borderId="23" xfId="0" applyFont="1" applyFill="1" applyBorder="1" applyAlignment="1">
      <alignment horizontal="center"/>
    </xf>
    <xf numFmtId="1" fontId="71" fillId="0" borderId="22" xfId="0" applyNumberFormat="1" applyFont="1" applyBorder="1" applyAlignment="1">
      <alignment horizontal="right"/>
    </xf>
    <xf numFmtId="0" fontId="71" fillId="0" borderId="25" xfId="0" applyFont="1" applyBorder="1" applyAlignment="1">
      <alignment horizontal="center"/>
    </xf>
    <xf numFmtId="0" fontId="78" fillId="7" borderId="0" xfId="0" applyFont="1" applyFill="1"/>
    <xf numFmtId="0" fontId="86" fillId="7" borderId="1" xfId="0" applyFont="1" applyFill="1" applyBorder="1"/>
    <xf numFmtId="1" fontId="2" fillId="7" borderId="1" xfId="0" applyNumberFormat="1" applyFont="1" applyFill="1" applyBorder="1" applyAlignment="1">
      <alignment horizontal="left"/>
    </xf>
    <xf numFmtId="14" fontId="67" fillId="7" borderId="1" xfId="0" applyNumberFormat="1" applyFont="1" applyFill="1" applyBorder="1" applyAlignment="1">
      <alignment horizontal="center"/>
    </xf>
    <xf numFmtId="14" fontId="71" fillId="7" borderId="1" xfId="0" applyNumberFormat="1" applyFont="1" applyFill="1" applyBorder="1" applyAlignment="1">
      <alignment horizontal="center"/>
    </xf>
    <xf numFmtId="0" fontId="78" fillId="7" borderId="0" xfId="0" applyFont="1" applyFill="1" applyAlignment="1">
      <alignment horizontal="center"/>
    </xf>
    <xf numFmtId="0" fontId="79" fillId="7" borderId="0" xfId="0" applyFont="1" applyFill="1" applyAlignment="1">
      <alignment horizontal="left"/>
    </xf>
    <xf numFmtId="0" fontId="88" fillId="0" borderId="1" xfId="0" applyFont="1" applyBorder="1" applyAlignment="1">
      <alignment vertical="center"/>
    </xf>
    <xf numFmtId="0" fontId="67" fillId="0" borderId="11" xfId="0" applyFont="1" applyBorder="1"/>
    <xf numFmtId="1" fontId="67" fillId="0" borderId="24" xfId="0" applyNumberFormat="1" applyFont="1" applyBorder="1" applyAlignment="1">
      <alignment horizontal="center" vertical="center"/>
    </xf>
    <xf numFmtId="1" fontId="67" fillId="0" borderId="24" xfId="0" applyNumberFormat="1" applyFont="1" applyBorder="1" applyAlignment="1">
      <alignment horizontal="center"/>
    </xf>
    <xf numFmtId="0" fontId="74" fillId="0" borderId="24" xfId="0" applyFont="1" applyBorder="1" applyAlignment="1">
      <alignment horizontal="left"/>
    </xf>
    <xf numFmtId="0" fontId="70" fillId="0" borderId="31" xfId="0" applyFont="1" applyBorder="1" applyAlignment="1">
      <alignment horizontal="center"/>
    </xf>
    <xf numFmtId="1" fontId="67" fillId="45" borderId="11" xfId="0" applyNumberFormat="1" applyFont="1" applyFill="1" applyBorder="1" applyAlignment="1">
      <alignment horizontal="center"/>
    </xf>
    <xf numFmtId="0" fontId="71" fillId="0" borderId="11" xfId="0" applyFont="1" applyBorder="1"/>
    <xf numFmtId="0" fontId="73" fillId="7" borderId="31" xfId="0" applyFont="1" applyFill="1" applyBorder="1" applyAlignment="1">
      <alignment horizontal="center"/>
    </xf>
    <xf numFmtId="14" fontId="71" fillId="7" borderId="11" xfId="0" applyNumberFormat="1" applyFont="1" applyFill="1" applyBorder="1" applyAlignment="1">
      <alignment horizontal="center"/>
    </xf>
    <xf numFmtId="0" fontId="71" fillId="0" borderId="11" xfId="0" applyFont="1" applyBorder="1" applyAlignment="1">
      <alignment horizontal="right"/>
    </xf>
    <xf numFmtId="1" fontId="71" fillId="0" borderId="11" xfId="0" applyNumberFormat="1" applyFont="1" applyBorder="1"/>
    <xf numFmtId="1" fontId="71" fillId="0" borderId="11" xfId="0" applyNumberFormat="1" applyFont="1" applyBorder="1" applyAlignment="1">
      <alignment horizontal="right"/>
    </xf>
    <xf numFmtId="1" fontId="71" fillId="0" borderId="30" xfId="0" applyNumberFormat="1" applyFont="1" applyBorder="1" applyAlignment="1">
      <alignment horizontal="right"/>
    </xf>
    <xf numFmtId="0" fontId="67" fillId="7" borderId="3" xfId="0" applyFont="1" applyFill="1" applyBorder="1" applyAlignment="1">
      <alignment horizontal="center"/>
    </xf>
    <xf numFmtId="14" fontId="67" fillId="0" borderId="4" xfId="0" applyNumberFormat="1" applyFont="1" applyBorder="1" applyAlignment="1">
      <alignment horizontal="center"/>
    </xf>
    <xf numFmtId="0" fontId="67" fillId="0" borderId="4" xfId="0" applyFont="1" applyBorder="1"/>
    <xf numFmtId="0" fontId="72" fillId="0" borderId="4" xfId="0" applyFont="1" applyBorder="1"/>
    <xf numFmtId="1" fontId="67" fillId="0" borderId="4" xfId="0" applyNumberFormat="1" applyFont="1" applyBorder="1"/>
    <xf numFmtId="1" fontId="67" fillId="0" borderId="4" xfId="0" applyNumberFormat="1" applyFont="1" applyBorder="1" applyAlignment="1">
      <alignment horizontal="right"/>
    </xf>
    <xf numFmtId="1" fontId="67" fillId="0" borderId="26" xfId="0" applyNumberFormat="1" applyFont="1" applyBorder="1" applyAlignment="1">
      <alignment horizontal="right"/>
    </xf>
    <xf numFmtId="0" fontId="73" fillId="0" borderId="31" xfId="0" applyFont="1" applyBorder="1" applyAlignment="1">
      <alignment horizontal="center"/>
    </xf>
    <xf numFmtId="14" fontId="71" fillId="0" borderId="1" xfId="0" applyNumberFormat="1" applyFont="1" applyBorder="1" applyAlignment="1">
      <alignment horizontal="center"/>
    </xf>
    <xf numFmtId="0" fontId="71" fillId="0" borderId="1" xfId="0" applyFont="1" applyBorder="1" applyAlignment="1">
      <alignment horizontal="right"/>
    </xf>
    <xf numFmtId="0" fontId="63" fillId="0" borderId="1" xfId="0" applyFont="1" applyBorder="1" applyAlignment="1">
      <alignment horizontal="center"/>
    </xf>
    <xf numFmtId="0" fontId="64" fillId="7" borderId="1" xfId="0" applyFont="1" applyFill="1" applyBorder="1" applyAlignment="1">
      <alignment horizontal="center"/>
    </xf>
    <xf numFmtId="0" fontId="71" fillId="7" borderId="0" xfId="0" applyFont="1" applyFill="1"/>
    <xf numFmtId="0" fontId="71" fillId="7" borderId="11" xfId="0" applyFont="1" applyFill="1" applyBorder="1"/>
    <xf numFmtId="0" fontId="73" fillId="0" borderId="25" xfId="0" applyFont="1" applyBorder="1" applyAlignment="1">
      <alignment horizontal="center"/>
    </xf>
    <xf numFmtId="1" fontId="67" fillId="0" borderId="1" xfId="0" applyNumberFormat="1" applyFont="1" applyBorder="1" applyAlignment="1">
      <alignment horizontal="center"/>
    </xf>
    <xf numFmtId="1" fontId="67" fillId="0" borderId="11" xfId="0" applyNumberFormat="1" applyFont="1" applyBorder="1" applyAlignment="1">
      <alignment horizontal="center"/>
    </xf>
    <xf numFmtId="0" fontId="63" fillId="0" borderId="0" xfId="0" applyFont="1" applyAlignment="1">
      <alignment horizontal="center"/>
    </xf>
    <xf numFmtId="0" fontId="78" fillId="0" borderId="0" xfId="0" applyFont="1" applyAlignment="1">
      <alignment horizontal="left"/>
    </xf>
    <xf numFmtId="0" fontId="78" fillId="7" borderId="0" xfId="0" applyFont="1" applyFill="1" applyAlignment="1">
      <alignment horizontal="left"/>
    </xf>
    <xf numFmtId="0" fontId="74" fillId="0" borderId="0" xfId="0" applyFont="1" applyAlignment="1">
      <alignment horizontal="left" vertical="center"/>
    </xf>
    <xf numFmtId="0" fontId="74" fillId="0" borderId="0" xfId="0" applyFont="1" applyAlignment="1">
      <alignment vertical="center"/>
    </xf>
    <xf numFmtId="0" fontId="67" fillId="48" borderId="0" xfId="0" applyFont="1" applyFill="1" applyAlignment="1">
      <alignment horizontal="left"/>
    </xf>
    <xf numFmtId="0" fontId="67" fillId="0" borderId="0" xfId="0" applyFont="1" applyAlignment="1">
      <alignment vertical="center"/>
    </xf>
    <xf numFmtId="0" fontId="67" fillId="0" borderId="0" xfId="0" applyFont="1" applyAlignment="1">
      <alignment horizontal="left"/>
    </xf>
    <xf numFmtId="0" fontId="67" fillId="0" borderId="0" xfId="0" applyFont="1"/>
    <xf numFmtId="0" fontId="67" fillId="0" borderId="0" xfId="0" applyFont="1" applyAlignment="1">
      <alignment horizontal="left" vertical="center"/>
    </xf>
    <xf numFmtId="0" fontId="74" fillId="0" borderId="0" xfId="0" applyFont="1" applyAlignment="1">
      <alignment horizontal="left"/>
    </xf>
    <xf numFmtId="0" fontId="67" fillId="0" borderId="0" xfId="0" applyFont="1" applyAlignment="1">
      <alignment horizontal="center"/>
    </xf>
    <xf numFmtId="0" fontId="74" fillId="43" borderId="29" xfId="0" applyFont="1" applyFill="1" applyBorder="1" applyAlignment="1">
      <alignment horizontal="center" vertical="top" wrapText="1"/>
    </xf>
    <xf numFmtId="0" fontId="74" fillId="43" borderId="28" xfId="0" applyFont="1" applyFill="1" applyBorder="1" applyAlignment="1">
      <alignment vertical="top" wrapText="1"/>
    </xf>
    <xf numFmtId="0" fontId="82" fillId="49" borderId="28" xfId="0" applyFont="1" applyFill="1" applyBorder="1" applyAlignment="1">
      <alignment horizontal="center"/>
    </xf>
    <xf numFmtId="0" fontId="63" fillId="0" borderId="3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1" fillId="7" borderId="1" xfId="0" applyFont="1" applyFill="1" applyBorder="1" applyAlignment="1">
      <alignment horizontal="center"/>
    </xf>
    <xf numFmtId="0" fontId="71" fillId="0" borderId="1" xfId="0" applyFont="1" applyBorder="1" applyAlignment="1">
      <alignment horizontal="center"/>
    </xf>
    <xf numFmtId="0" fontId="89" fillId="0" borderId="1" xfId="0" applyFont="1" applyBorder="1"/>
    <xf numFmtId="0" fontId="71" fillId="0" borderId="31" xfId="0" applyFont="1" applyBorder="1" applyAlignment="1">
      <alignment horizontal="center"/>
    </xf>
    <xf numFmtId="14" fontId="71" fillId="0" borderId="11" xfId="0" applyNumberFormat="1" applyFont="1" applyBorder="1" applyAlignment="1">
      <alignment horizontal="center"/>
    </xf>
    <xf numFmtId="0" fontId="2" fillId="45" borderId="1" xfId="0" applyFont="1" applyFill="1" applyBorder="1" applyAlignment="1">
      <alignment horizontal="center"/>
    </xf>
    <xf numFmtId="0" fontId="2" fillId="45" borderId="1" xfId="0" applyFont="1" applyFill="1" applyBorder="1"/>
    <xf numFmtId="0" fontId="82" fillId="6" borderId="29" xfId="0" applyFont="1" applyFill="1" applyBorder="1" applyAlignment="1">
      <alignment horizontal="center"/>
    </xf>
    <xf numFmtId="0" fontId="78" fillId="0" borderId="27" xfId="0" applyFont="1" applyBorder="1" applyAlignment="1">
      <alignment horizontal="center"/>
    </xf>
    <xf numFmtId="0" fontId="88" fillId="0" borderId="1" xfId="0" applyFont="1" applyBorder="1" applyAlignment="1">
      <alignment horizontal="left" vertical="center"/>
    </xf>
    <xf numFmtId="0" fontId="63" fillId="0" borderId="25" xfId="0" applyFont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5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78" fillId="0" borderId="1" xfId="0" applyFont="1" applyBorder="1"/>
    <xf numFmtId="0" fontId="67" fillId="50" borderId="1" xfId="0" applyFont="1" applyFill="1" applyBorder="1"/>
    <xf numFmtId="0" fontId="71" fillId="50" borderId="1" xfId="0" applyFont="1" applyFill="1" applyBorder="1"/>
    <xf numFmtId="0" fontId="71" fillId="50" borderId="11" xfId="0" applyFont="1" applyFill="1" applyBorder="1"/>
    <xf numFmtId="0" fontId="78" fillId="50" borderId="1" xfId="0" applyFont="1" applyFill="1" applyBorder="1"/>
    <xf numFmtId="0" fontId="78" fillId="50" borderId="11" xfId="0" applyFont="1" applyFill="1" applyBorder="1"/>
    <xf numFmtId="1" fontId="78" fillId="45" borderId="1" xfId="0" applyNumberFormat="1" applyFont="1" applyFill="1" applyBorder="1" applyAlignment="1">
      <alignment horizontal="center"/>
    </xf>
    <xf numFmtId="0" fontId="78" fillId="45" borderId="1" xfId="0" applyFont="1" applyFill="1" applyBorder="1" applyAlignment="1">
      <alignment horizontal="center"/>
    </xf>
    <xf numFmtId="1" fontId="74" fillId="45" borderId="1" xfId="0" applyNumberFormat="1" applyFont="1" applyFill="1" applyBorder="1" applyAlignment="1">
      <alignment horizontal="center"/>
    </xf>
    <xf numFmtId="1" fontId="79" fillId="0" borderId="1" xfId="0" applyNumberFormat="1" applyFont="1" applyBorder="1" applyAlignment="1">
      <alignment horizontal="center"/>
    </xf>
    <xf numFmtId="0" fontId="74" fillId="45" borderId="1" xfId="0" applyFont="1" applyFill="1" applyBorder="1" applyAlignment="1">
      <alignment horizontal="center"/>
    </xf>
    <xf numFmtId="1" fontId="76" fillId="45" borderId="1" xfId="0" applyNumberFormat="1" applyFont="1" applyFill="1" applyBorder="1" applyAlignment="1">
      <alignment horizontal="center"/>
    </xf>
    <xf numFmtId="0" fontId="79" fillId="0" borderId="1" xfId="0" applyFont="1" applyBorder="1" applyAlignment="1">
      <alignment horizontal="center"/>
    </xf>
    <xf numFmtId="0" fontId="67" fillId="50" borderId="1" xfId="0" applyFont="1" applyFill="1" applyBorder="1" applyAlignment="1">
      <alignment vertical="center"/>
    </xf>
    <xf numFmtId="1" fontId="67" fillId="45" borderId="1" xfId="0" applyNumberFormat="1" applyFont="1" applyFill="1" applyBorder="1" applyAlignment="1">
      <alignment horizontal="center" vertical="center"/>
    </xf>
    <xf numFmtId="1" fontId="78" fillId="45" borderId="1" xfId="0" applyNumberFormat="1" applyFont="1" applyFill="1" applyBorder="1" applyAlignment="1">
      <alignment horizontal="center" vertical="center"/>
    </xf>
    <xf numFmtId="0" fontId="72" fillId="0" borderId="3" xfId="0" applyFont="1" applyBorder="1" applyAlignment="1">
      <alignment horizontal="center"/>
    </xf>
    <xf numFmtId="0" fontId="78" fillId="50" borderId="4" xfId="0" applyFont="1" applyFill="1" applyBorder="1"/>
    <xf numFmtId="1" fontId="67" fillId="45" borderId="4" xfId="0" applyNumberFormat="1" applyFont="1" applyFill="1" applyBorder="1" applyAlignment="1">
      <alignment horizontal="center"/>
    </xf>
    <xf numFmtId="0" fontId="78" fillId="0" borderId="26" xfId="0" applyFont="1" applyBorder="1"/>
    <xf numFmtId="0" fontId="78" fillId="0" borderId="22" xfId="0" applyFont="1" applyBorder="1"/>
    <xf numFmtId="0" fontId="83" fillId="0" borderId="25" xfId="0" applyFont="1" applyBorder="1" applyAlignment="1">
      <alignment horizontal="center"/>
    </xf>
    <xf numFmtId="0" fontId="63" fillId="7" borderId="25" xfId="0" applyFont="1" applyFill="1" applyBorder="1" applyAlignment="1">
      <alignment horizontal="center"/>
    </xf>
    <xf numFmtId="0" fontId="80" fillId="0" borderId="25" xfId="0" applyFont="1" applyBorder="1" applyAlignment="1">
      <alignment horizontal="center"/>
    </xf>
    <xf numFmtId="0" fontId="69" fillId="0" borderId="25" xfId="0" applyFont="1" applyBorder="1" applyAlignment="1">
      <alignment horizontal="center"/>
    </xf>
    <xf numFmtId="0" fontId="75" fillId="0" borderId="25" xfId="0" applyFont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78" fillId="7" borderId="22" xfId="0" applyFont="1" applyFill="1" applyBorder="1"/>
    <xf numFmtId="0" fontId="82" fillId="49" borderId="29" xfId="0" applyFont="1" applyFill="1" applyBorder="1" applyAlignment="1">
      <alignment horizontal="center"/>
    </xf>
    <xf numFmtId="0" fontId="78" fillId="7" borderId="25" xfId="0" applyFont="1" applyFill="1" applyBorder="1" applyAlignment="1">
      <alignment horizontal="center"/>
    </xf>
    <xf numFmtId="14" fontId="63" fillId="0" borderId="22" xfId="0" applyNumberFormat="1" applyFont="1" applyBorder="1" applyAlignment="1">
      <alignment horizontal="center"/>
    </xf>
    <xf numFmtId="0" fontId="78" fillId="0" borderId="25" xfId="0" applyFont="1" applyBorder="1" applyAlignment="1">
      <alignment horizontal="center"/>
    </xf>
    <xf numFmtId="14" fontId="63" fillId="7" borderId="22" xfId="0" applyNumberFormat="1" applyFont="1" applyFill="1" applyBorder="1" applyAlignment="1">
      <alignment horizontal="center"/>
    </xf>
    <xf numFmtId="0" fontId="92" fillId="0" borderId="24" xfId="0" applyFont="1" applyBorder="1"/>
    <xf numFmtId="0" fontId="93" fillId="49" borderId="23" xfId="0" applyFont="1" applyFill="1" applyBorder="1"/>
    <xf numFmtId="0" fontId="94" fillId="0" borderId="24" xfId="0" applyFont="1" applyBorder="1" applyAlignment="1">
      <alignment horizontal="left"/>
    </xf>
    <xf numFmtId="0" fontId="92" fillId="0" borderId="0" xfId="0" applyFont="1"/>
    <xf numFmtId="0" fontId="67" fillId="0" borderId="1" xfId="0" applyFont="1" applyBorder="1" applyAlignment="1">
      <alignment vertical="center"/>
    </xf>
    <xf numFmtId="0" fontId="95" fillId="0" borderId="1" xfId="0" applyFont="1" applyBorder="1" applyAlignment="1">
      <alignment horizontal="center"/>
    </xf>
    <xf numFmtId="0" fontId="78" fillId="50" borderId="1" xfId="0" applyFont="1" applyFill="1" applyBorder="1" applyAlignment="1">
      <alignment vertical="center"/>
    </xf>
    <xf numFmtId="0" fontId="92" fillId="0" borderId="24" xfId="0" applyFont="1" applyBorder="1" applyAlignment="1">
      <alignment horizontal="center"/>
    </xf>
    <xf numFmtId="0" fontId="90" fillId="0" borderId="1" xfId="0" applyFont="1" applyBorder="1" applyAlignment="1">
      <alignment horizontal="center" vertical="center"/>
    </xf>
    <xf numFmtId="0" fontId="78" fillId="0" borderId="30" xfId="0" applyFont="1" applyBorder="1"/>
    <xf numFmtId="0" fontId="72" fillId="0" borderId="33" xfId="0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68" fillId="42" borderId="9" xfId="0" applyFont="1" applyFill="1" applyBorder="1" applyAlignment="1">
      <alignment vertical="top" wrapText="1"/>
    </xf>
    <xf numFmtId="0" fontId="71" fillId="0" borderId="9" xfId="0" applyFont="1" applyBorder="1"/>
    <xf numFmtId="0" fontId="68" fillId="51" borderId="7" xfId="0" applyFont="1" applyFill="1" applyBorder="1" applyAlignment="1">
      <alignment vertical="top" wrapText="1"/>
    </xf>
    <xf numFmtId="0" fontId="97" fillId="0" borderId="25" xfId="0" applyFont="1" applyBorder="1" applyAlignment="1">
      <alignment horizontal="center"/>
    </xf>
    <xf numFmtId="0" fontId="98" fillId="50" borderId="1" xfId="0" applyFont="1" applyFill="1" applyBorder="1"/>
    <xf numFmtId="0" fontId="98" fillId="7" borderId="25" xfId="0" applyFont="1" applyFill="1" applyBorder="1" applyAlignment="1">
      <alignment horizontal="center"/>
    </xf>
    <xf numFmtId="14" fontId="99" fillId="7" borderId="1" xfId="0" applyNumberFormat="1" applyFont="1" applyFill="1" applyBorder="1" applyAlignment="1">
      <alignment horizontal="center"/>
    </xf>
    <xf numFmtId="0" fontId="99" fillId="0" borderId="1" xfId="0" applyFont="1" applyBorder="1"/>
    <xf numFmtId="0" fontId="100" fillId="0" borderId="1" xfId="0" applyFont="1" applyBorder="1" applyAlignment="1">
      <alignment horizontal="right" vertical="center"/>
    </xf>
    <xf numFmtId="0" fontId="99" fillId="0" borderId="1" xfId="0" applyFont="1" applyBorder="1" applyAlignment="1">
      <alignment vertical="center"/>
    </xf>
    <xf numFmtId="1" fontId="99" fillId="0" borderId="1" xfId="0" applyNumberFormat="1" applyFont="1" applyBorder="1" applyAlignment="1">
      <alignment vertical="center"/>
    </xf>
    <xf numFmtId="1" fontId="99" fillId="0" borderId="1" xfId="0" applyNumberFormat="1" applyFont="1" applyBorder="1" applyAlignment="1">
      <alignment horizontal="right" vertical="center"/>
    </xf>
    <xf numFmtId="1" fontId="99" fillId="0" borderId="22" xfId="0" applyNumberFormat="1" applyFont="1" applyBorder="1" applyAlignment="1">
      <alignment vertical="center"/>
    </xf>
    <xf numFmtId="1" fontId="73" fillId="45" borderId="1" xfId="0" applyNumberFormat="1" applyFont="1" applyFill="1" applyBorder="1" applyAlignment="1">
      <alignment horizontal="center"/>
    </xf>
    <xf numFmtId="0" fontId="101" fillId="0" borderId="1" xfId="0" applyFont="1" applyBorder="1" applyAlignment="1">
      <alignment vertical="center"/>
    </xf>
    <xf numFmtId="0" fontId="71" fillId="0" borderId="34" xfId="0" applyFont="1" applyBorder="1"/>
    <xf numFmtId="0" fontId="68" fillId="52" borderId="7" xfId="0" applyFont="1" applyFill="1" applyBorder="1" applyAlignment="1">
      <alignment vertical="top" wrapText="1"/>
    </xf>
    <xf numFmtId="0" fontId="72" fillId="50" borderId="1" xfId="0" applyFont="1" applyFill="1" applyBorder="1"/>
    <xf numFmtId="0" fontId="104" fillId="0" borderId="25" xfId="0" applyFont="1" applyBorder="1" applyAlignment="1">
      <alignment horizontal="center"/>
    </xf>
    <xf numFmtId="0" fontId="105" fillId="0" borderId="1" xfId="0" applyFont="1" applyBorder="1"/>
    <xf numFmtId="1" fontId="99" fillId="0" borderId="1" xfId="0" applyNumberFormat="1" applyFont="1" applyBorder="1" applyAlignment="1">
      <alignment horizontal="center"/>
    </xf>
    <xf numFmtId="1" fontId="106" fillId="0" borderId="1" xfId="0" applyNumberFormat="1" applyFont="1" applyBorder="1" applyAlignment="1">
      <alignment horizontal="center"/>
    </xf>
    <xf numFmtId="1" fontId="98" fillId="0" borderId="1" xfId="0" applyNumberFormat="1" applyFont="1" applyBorder="1" applyAlignment="1">
      <alignment horizontal="center"/>
    </xf>
    <xf numFmtId="0" fontId="106" fillId="0" borderId="1" xfId="0" applyFont="1" applyBorder="1"/>
    <xf numFmtId="0" fontId="107" fillId="0" borderId="1" xfId="0" applyFont="1" applyBorder="1" applyAlignment="1">
      <alignment horizontal="center"/>
    </xf>
    <xf numFmtId="0" fontId="72" fillId="0" borderId="32" xfId="0" applyFont="1" applyBorder="1" applyAlignment="1">
      <alignment horizontal="center"/>
    </xf>
    <xf numFmtId="0" fontId="72" fillId="0" borderId="33" xfId="0" applyFont="1" applyBorder="1" applyAlignment="1">
      <alignment horizontal="center"/>
    </xf>
    <xf numFmtId="0" fontId="78" fillId="7" borderId="27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9" xfId="0" applyBorder="1"/>
    <xf numFmtId="0" fontId="2" fillId="0" borderId="21" xfId="0" applyFont="1" applyBorder="1"/>
    <xf numFmtId="0" fontId="2" fillId="7" borderId="21" xfId="0" applyFont="1" applyFill="1" applyBorder="1"/>
    <xf numFmtId="0" fontId="82" fillId="6" borderId="3" xfId="0" applyFont="1" applyFill="1" applyBorder="1" applyAlignment="1">
      <alignment horizontal="center" vertical="center"/>
    </xf>
    <xf numFmtId="0" fontId="82" fillId="6" borderId="3" xfId="0" applyFont="1" applyFill="1" applyBorder="1" applyAlignment="1">
      <alignment horizontal="center" vertical="center" wrapText="1"/>
    </xf>
    <xf numFmtId="0" fontId="78" fillId="0" borderId="0" xfId="0" applyFont="1" applyAlignment="1">
      <alignment horizontal="center" vertical="center"/>
    </xf>
    <xf numFmtId="0" fontId="82" fillId="6" borderId="4" xfId="0" applyFont="1" applyFill="1" applyBorder="1" applyAlignment="1">
      <alignment horizontal="center" vertical="center"/>
    </xf>
    <xf numFmtId="0" fontId="74" fillId="0" borderId="4" xfId="0" applyFont="1" applyBorder="1" applyAlignment="1">
      <alignment horizontal="center" vertical="center" wrapText="1"/>
    </xf>
    <xf numFmtId="0" fontId="78" fillId="0" borderId="4" xfId="0" applyFont="1" applyBorder="1" applyAlignment="1">
      <alignment horizontal="center" vertical="center" wrapText="1"/>
    </xf>
    <xf numFmtId="0" fontId="78" fillId="0" borderId="7" xfId="0" applyFont="1" applyBorder="1" applyAlignment="1">
      <alignment horizontal="center" vertical="center" wrapText="1"/>
    </xf>
    <xf numFmtId="0" fontId="78" fillId="0" borderId="5" xfId="0" applyFont="1" applyBorder="1" applyAlignment="1">
      <alignment horizontal="center" vertical="center"/>
    </xf>
    <xf numFmtId="0" fontId="78" fillId="0" borderId="6" xfId="0" applyFont="1" applyBorder="1" applyAlignment="1">
      <alignment horizontal="center" vertical="center"/>
    </xf>
    <xf numFmtId="0" fontId="82" fillId="4" borderId="6" xfId="0" applyFont="1" applyFill="1" applyBorder="1" applyAlignment="1">
      <alignment horizontal="center" vertical="center"/>
    </xf>
    <xf numFmtId="0" fontId="78" fillId="7" borderId="6" xfId="0" applyFont="1" applyFill="1" applyBorder="1" applyAlignment="1">
      <alignment horizontal="center" vertical="center"/>
    </xf>
    <xf numFmtId="0" fontId="78" fillId="0" borderId="1" xfId="0" applyFont="1" applyBorder="1" applyAlignment="1">
      <alignment horizontal="center"/>
    </xf>
    <xf numFmtId="0" fontId="74" fillId="0" borderId="1" xfId="0" applyFont="1" applyBorder="1" applyAlignment="1">
      <alignment horizontal="center"/>
    </xf>
    <xf numFmtId="0" fontId="82" fillId="53" borderId="4" xfId="0" applyFont="1" applyFill="1" applyBorder="1" applyAlignment="1">
      <alignment horizontal="center" vertical="center" wrapText="1"/>
    </xf>
    <xf numFmtId="14" fontId="78" fillId="0" borderId="1" xfId="0" applyNumberFormat="1" applyFont="1" applyBorder="1" applyAlignment="1">
      <alignment horizontal="center"/>
    </xf>
    <xf numFmtId="0" fontId="78" fillId="2" borderId="4" xfId="0" applyFont="1" applyFill="1" applyBorder="1" applyAlignment="1">
      <alignment horizontal="center" vertical="center" wrapText="1"/>
    </xf>
    <xf numFmtId="0" fontId="78" fillId="0" borderId="2" xfId="0" applyFont="1" applyBorder="1"/>
    <xf numFmtId="14" fontId="78" fillId="0" borderId="2" xfId="0" applyNumberFormat="1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4" fillId="0" borderId="2" xfId="0" applyFont="1" applyBorder="1" applyAlignment="1">
      <alignment horizontal="center"/>
    </xf>
    <xf numFmtId="0" fontId="63" fillId="0" borderId="2" xfId="0" applyFont="1" applyBorder="1" applyAlignment="1">
      <alignment horizontal="center"/>
    </xf>
    <xf numFmtId="0" fontId="78" fillId="0" borderId="6" xfId="0" applyFont="1" applyBorder="1"/>
    <xf numFmtId="14" fontId="78" fillId="0" borderId="6" xfId="0" applyNumberFormat="1" applyFont="1" applyBorder="1" applyAlignment="1">
      <alignment horizontal="center"/>
    </xf>
    <xf numFmtId="0" fontId="78" fillId="0" borderId="38" xfId="0" applyFont="1" applyBorder="1"/>
    <xf numFmtId="0" fontId="78" fillId="0" borderId="6" xfId="0" applyFont="1" applyBorder="1" applyAlignment="1">
      <alignment horizontal="center"/>
    </xf>
    <xf numFmtId="0" fontId="74" fillId="0" borderId="6" xfId="0" applyFont="1" applyBorder="1" applyAlignment="1">
      <alignment horizontal="center"/>
    </xf>
    <xf numFmtId="0" fontId="63" fillId="0" borderId="6" xfId="0" applyFont="1" applyBorder="1" applyAlignment="1">
      <alignment horizontal="center"/>
    </xf>
    <xf numFmtId="0" fontId="2" fillId="0" borderId="35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" fillId="0" borderId="21" xfId="0" applyFont="1" applyBorder="1" applyAlignment="1">
      <alignment vertical="center"/>
    </xf>
    <xf numFmtId="0" fontId="82" fillId="0" borderId="0" xfId="0" applyFont="1"/>
    <xf numFmtId="0" fontId="73" fillId="7" borderId="1" xfId="0" applyFont="1" applyFill="1" applyBorder="1"/>
    <xf numFmtId="1" fontId="73" fillId="0" borderId="1" xfId="0" applyNumberFormat="1" applyFont="1" applyBorder="1" applyAlignment="1">
      <alignment horizontal="center"/>
    </xf>
    <xf numFmtId="0" fontId="67" fillId="0" borderId="39" xfId="0" applyFont="1" applyBorder="1" applyAlignment="1">
      <alignment horizontal="center"/>
    </xf>
    <xf numFmtId="0" fontId="67" fillId="0" borderId="36" xfId="0" applyFont="1" applyBorder="1"/>
    <xf numFmtId="0" fontId="67" fillId="0" borderId="40" xfId="0" applyFont="1" applyBorder="1" applyAlignment="1">
      <alignment horizontal="center"/>
    </xf>
    <xf numFmtId="0" fontId="67" fillId="0" borderId="32" xfId="0" applyFont="1" applyBorder="1"/>
    <xf numFmtId="0" fontId="67" fillId="0" borderId="41" xfId="0" applyFont="1" applyBorder="1" applyAlignment="1">
      <alignment horizontal="center"/>
    </xf>
    <xf numFmtId="0" fontId="67" fillId="0" borderId="37" xfId="0" applyFont="1" applyBorder="1"/>
    <xf numFmtId="0" fontId="67" fillId="0" borderId="42" xfId="0" applyFont="1" applyBorder="1"/>
    <xf numFmtId="0" fontId="67" fillId="0" borderId="43" xfId="0" applyFont="1" applyBorder="1"/>
    <xf numFmtId="0" fontId="67" fillId="0" borderId="44" xfId="0" applyFont="1" applyBorder="1"/>
    <xf numFmtId="0" fontId="67" fillId="0" borderId="2" xfId="0" applyFont="1" applyBorder="1" applyAlignment="1">
      <alignment horizontal="center"/>
    </xf>
    <xf numFmtId="0" fontId="67" fillId="0" borderId="6" xfId="0" applyFont="1" applyBorder="1" applyAlignment="1">
      <alignment horizontal="center"/>
    </xf>
    <xf numFmtId="0" fontId="67" fillId="0" borderId="1" xfId="0" applyFont="1" applyBorder="1" applyAlignment="1">
      <alignment horizontal="center"/>
    </xf>
    <xf numFmtId="0" fontId="109" fillId="0" borderId="1" xfId="0" applyFont="1" applyBorder="1" applyAlignment="1">
      <alignment horizontal="center" vertical="center"/>
    </xf>
    <xf numFmtId="0" fontId="108" fillId="0" borderId="1" xfId="0" applyFont="1" applyBorder="1"/>
    <xf numFmtId="0" fontId="111" fillId="50" borderId="1" xfId="0" applyFont="1" applyFill="1" applyBorder="1"/>
    <xf numFmtId="0" fontId="110" fillId="0" borderId="25" xfId="0" applyFont="1" applyBorder="1" applyAlignment="1">
      <alignment horizontal="center"/>
    </xf>
    <xf numFmtId="1" fontId="111" fillId="0" borderId="1" xfId="0" applyNumberFormat="1" applyFont="1" applyBorder="1" applyAlignment="1">
      <alignment horizontal="center" vertical="center"/>
    </xf>
    <xf numFmtId="14" fontId="71" fillId="0" borderId="9" xfId="0" applyNumberFormat="1" applyFont="1" applyBorder="1" applyAlignment="1">
      <alignment horizontal="center"/>
    </xf>
    <xf numFmtId="0" fontId="73" fillId="0" borderId="1" xfId="0" applyFon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3" fillId="2" borderId="1" xfId="0" applyFont="1" applyFill="1" applyBorder="1" applyAlignment="1">
      <alignment horizontal="center"/>
    </xf>
    <xf numFmtId="0" fontId="63" fillId="2" borderId="25" xfId="0" applyFont="1" applyFill="1" applyBorder="1" applyAlignment="1">
      <alignment horizontal="center"/>
    </xf>
    <xf numFmtId="0" fontId="78" fillId="2" borderId="25" xfId="0" applyFont="1" applyFill="1" applyBorder="1" applyAlignment="1">
      <alignment horizontal="center"/>
    </xf>
    <xf numFmtId="0" fontId="78" fillId="2" borderId="27" xfId="0" applyFont="1" applyFill="1" applyBorder="1" applyAlignment="1">
      <alignment horizontal="center"/>
    </xf>
    <xf numFmtId="0" fontId="78" fillId="2" borderId="0" xfId="0" applyFont="1" applyFill="1" applyAlignment="1">
      <alignment horizontal="center"/>
    </xf>
    <xf numFmtId="0" fontId="72" fillId="2" borderId="1" xfId="0" applyFont="1" applyFill="1" applyBorder="1" applyAlignment="1">
      <alignment horizontal="center" vertical="center"/>
    </xf>
    <xf numFmtId="0" fontId="7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78" fillId="2" borderId="1" xfId="0" applyFont="1" applyFill="1" applyBorder="1" applyAlignment="1">
      <alignment horizontal="center"/>
    </xf>
    <xf numFmtId="0" fontId="73" fillId="7" borderId="22" xfId="0" applyFont="1" applyFill="1" applyBorder="1" applyAlignment="1">
      <alignment horizontal="center"/>
    </xf>
    <xf numFmtId="0" fontId="91" fillId="7" borderId="22" xfId="0" applyFont="1" applyFill="1" applyBorder="1" applyAlignment="1">
      <alignment horizontal="center"/>
    </xf>
    <xf numFmtId="0" fontId="67" fillId="7" borderId="30" xfId="0" applyFont="1" applyFill="1" applyBorder="1" applyAlignment="1">
      <alignment horizontal="center"/>
    </xf>
    <xf numFmtId="0" fontId="68" fillId="46" borderId="26" xfId="0" applyFont="1" applyFill="1" applyBorder="1" applyAlignment="1">
      <alignment horizontal="center" vertical="top" wrapText="1"/>
    </xf>
    <xf numFmtId="0" fontId="68" fillId="46" borderId="22" xfId="0" applyFont="1" applyFill="1" applyBorder="1" applyAlignment="1">
      <alignment horizontal="center" vertical="top" wrapText="1"/>
    </xf>
    <xf numFmtId="0" fontId="67" fillId="0" borderId="22" xfId="0" applyFont="1" applyBorder="1" applyAlignment="1">
      <alignment horizontal="center"/>
    </xf>
    <xf numFmtId="0" fontId="67" fillId="2" borderId="22" xfId="0" applyFont="1" applyFill="1" applyBorder="1" applyAlignment="1">
      <alignment horizontal="center"/>
    </xf>
    <xf numFmtId="0" fontId="67" fillId="7" borderId="22" xfId="0" applyFont="1" applyFill="1" applyBorder="1" applyAlignment="1">
      <alignment horizontal="center"/>
    </xf>
    <xf numFmtId="0" fontId="71" fillId="0" borderId="22" xfId="0" applyFont="1" applyBorder="1" applyAlignment="1">
      <alignment horizontal="center"/>
    </xf>
    <xf numFmtId="0" fontId="71" fillId="0" borderId="30" xfId="0" applyFont="1" applyBorder="1" applyAlignment="1">
      <alignment horizontal="center"/>
    </xf>
    <xf numFmtId="0" fontId="71" fillId="7" borderId="22" xfId="0" applyFont="1" applyFill="1" applyBorder="1" applyAlignment="1">
      <alignment horizontal="center"/>
    </xf>
    <xf numFmtId="0" fontId="73" fillId="0" borderId="22" xfId="0" applyFont="1" applyBorder="1" applyAlignment="1">
      <alignment horizontal="center"/>
    </xf>
    <xf numFmtId="0" fontId="112" fillId="7" borderId="22" xfId="0" applyFont="1" applyFill="1" applyBorder="1" applyAlignment="1">
      <alignment horizontal="center"/>
    </xf>
    <xf numFmtId="0" fontId="71" fillId="2" borderId="1" xfId="0" applyFont="1" applyFill="1" applyBorder="1"/>
    <xf numFmtId="1" fontId="67" fillId="0" borderId="1" xfId="0" applyNumberFormat="1" applyFont="1" applyBorder="1" applyAlignment="1">
      <alignment horizontal="center" vertical="center"/>
    </xf>
    <xf numFmtId="1" fontId="70" fillId="43" borderId="4" xfId="0" applyNumberFormat="1" applyFont="1" applyFill="1" applyBorder="1" applyAlignment="1">
      <alignment horizontal="center" vertical="top" wrapText="1"/>
    </xf>
    <xf numFmtId="1" fontId="70" fillId="43" borderId="1" xfId="0" applyNumberFormat="1" applyFont="1" applyFill="1" applyBorder="1" applyAlignment="1">
      <alignment horizontal="center" vertical="top" wrapText="1"/>
    </xf>
    <xf numFmtId="0" fontId="68" fillId="42" borderId="4" xfId="0" applyFont="1" applyFill="1" applyBorder="1" applyAlignment="1">
      <alignment vertical="top" wrapText="1"/>
    </xf>
    <xf numFmtId="0" fontId="68" fillId="42" borderId="1" xfId="0" applyFont="1" applyFill="1" applyBorder="1" applyAlignment="1">
      <alignment vertical="top" wrapText="1"/>
    </xf>
    <xf numFmtId="0" fontId="69" fillId="43" borderId="3" xfId="0" applyFont="1" applyFill="1" applyBorder="1" applyAlignment="1">
      <alignment horizontal="center" vertical="top" wrapText="1"/>
    </xf>
    <xf numFmtId="0" fontId="69" fillId="43" borderId="25" xfId="0" applyFont="1" applyFill="1" applyBorder="1" applyAlignment="1">
      <alignment horizontal="center" vertical="top" wrapText="1"/>
    </xf>
    <xf numFmtId="0" fontId="69" fillId="43" borderId="4" xfId="0" applyFont="1" applyFill="1" applyBorder="1" applyAlignment="1">
      <alignment vertical="top" wrapText="1"/>
    </xf>
    <xf numFmtId="0" fontId="69" fillId="43" borderId="1" xfId="0" applyFont="1" applyFill="1" applyBorder="1" applyAlignment="1">
      <alignment vertical="top" wrapText="1"/>
    </xf>
    <xf numFmtId="0" fontId="69" fillId="43" borderId="4" xfId="0" applyFont="1" applyFill="1" applyBorder="1" applyAlignment="1">
      <alignment horizontal="center" vertical="top" wrapText="1"/>
    </xf>
    <xf numFmtId="0" fontId="69" fillId="43" borderId="1" xfId="0" applyFont="1" applyFill="1" applyBorder="1" applyAlignment="1">
      <alignment horizontal="center" vertical="top" wrapText="1"/>
    </xf>
    <xf numFmtId="1" fontId="69" fillId="43" borderId="4" xfId="0" applyNumberFormat="1" applyFont="1" applyFill="1" applyBorder="1" applyAlignment="1">
      <alignment horizontal="center" vertical="top" wrapText="1"/>
    </xf>
    <xf numFmtId="1" fontId="69" fillId="43" borderId="1" xfId="0" applyNumberFormat="1" applyFont="1" applyFill="1" applyBorder="1" applyAlignment="1">
      <alignment horizontal="center" vertical="top" wrapText="1"/>
    </xf>
    <xf numFmtId="1" fontId="68" fillId="44" borderId="4" xfId="0" applyNumberFormat="1" applyFont="1" applyFill="1" applyBorder="1" applyAlignment="1">
      <alignment vertical="top" wrapText="1"/>
    </xf>
    <xf numFmtId="1" fontId="68" fillId="44" borderId="1" xfId="0" applyNumberFormat="1" applyFont="1" applyFill="1" applyBorder="1" applyAlignment="1">
      <alignment vertical="top" wrapText="1"/>
    </xf>
    <xf numFmtId="1" fontId="68" fillId="44" borderId="11" xfId="0" applyNumberFormat="1" applyFont="1" applyFill="1" applyBorder="1" applyAlignment="1">
      <alignment vertical="top" wrapText="1"/>
    </xf>
    <xf numFmtId="1" fontId="68" fillId="44" borderId="4" xfId="0" applyNumberFormat="1" applyFont="1" applyFill="1" applyBorder="1" applyAlignment="1">
      <alignment horizontal="right" vertical="top" wrapText="1"/>
    </xf>
    <xf numFmtId="1" fontId="68" fillId="44" borderId="1" xfId="0" applyNumberFormat="1" applyFont="1" applyFill="1" applyBorder="1" applyAlignment="1">
      <alignment horizontal="right" vertical="top" wrapText="1"/>
    </xf>
    <xf numFmtId="1" fontId="68" fillId="44" borderId="11" xfId="0" applyNumberFormat="1" applyFont="1" applyFill="1" applyBorder="1" applyAlignment="1">
      <alignment horizontal="right" vertical="top" wrapText="1"/>
    </xf>
    <xf numFmtId="1" fontId="68" fillId="44" borderId="26" xfId="0" applyNumberFormat="1" applyFont="1" applyFill="1" applyBorder="1" applyAlignment="1">
      <alignment horizontal="right" vertical="top" wrapText="1"/>
    </xf>
    <xf numFmtId="1" fontId="68" fillId="44" borderId="22" xfId="0" applyNumberFormat="1" applyFont="1" applyFill="1" applyBorder="1" applyAlignment="1">
      <alignment horizontal="right" vertical="top" wrapText="1"/>
    </xf>
    <xf numFmtId="1" fontId="68" fillId="44" borderId="30" xfId="0" applyNumberFormat="1" applyFont="1" applyFill="1" applyBorder="1" applyAlignment="1">
      <alignment horizontal="right" vertical="top" wrapText="1"/>
    </xf>
    <xf numFmtId="0" fontId="66" fillId="46" borderId="3" xfId="0" applyFont="1" applyFill="1" applyBorder="1" applyAlignment="1">
      <alignment horizontal="center" vertical="top" wrapText="1"/>
    </xf>
    <xf numFmtId="0" fontId="66" fillId="46" borderId="25" xfId="0" applyFont="1" applyFill="1" applyBorder="1" applyAlignment="1">
      <alignment horizontal="center" vertical="top" wrapText="1"/>
    </xf>
    <xf numFmtId="0" fontId="66" fillId="46" borderId="31" xfId="0" applyFont="1" applyFill="1" applyBorder="1" applyAlignment="1">
      <alignment horizontal="center" vertical="top" wrapText="1"/>
    </xf>
    <xf numFmtId="0" fontId="67" fillId="40" borderId="4" xfId="0" applyFont="1" applyFill="1" applyBorder="1" applyAlignment="1">
      <alignment vertical="top" wrapText="1"/>
    </xf>
    <xf numFmtId="0" fontId="67" fillId="40" borderId="1" xfId="0" applyFont="1" applyFill="1" applyBorder="1" applyAlignment="1">
      <alignment vertical="top" wrapText="1"/>
    </xf>
    <xf numFmtId="0" fontId="67" fillId="40" borderId="11" xfId="0" applyFont="1" applyFill="1" applyBorder="1" applyAlignment="1">
      <alignment vertical="top" wrapText="1"/>
    </xf>
    <xf numFmtId="0" fontId="67" fillId="41" borderId="4" xfId="0" applyFont="1" applyFill="1" applyBorder="1" applyAlignment="1">
      <alignment vertical="top" wrapText="1"/>
    </xf>
    <xf numFmtId="0" fontId="67" fillId="41" borderId="1" xfId="0" applyFont="1" applyFill="1" applyBorder="1" applyAlignment="1">
      <alignment vertical="top" wrapText="1"/>
    </xf>
    <xf numFmtId="0" fontId="67" fillId="41" borderId="11" xfId="0" applyFont="1" applyFill="1" applyBorder="1" applyAlignment="1">
      <alignment vertical="top" wrapText="1"/>
    </xf>
    <xf numFmtId="0" fontId="68" fillId="42" borderId="11" xfId="0" applyFont="1" applyFill="1" applyBorder="1" applyAlignment="1">
      <alignment vertical="top" wrapText="1"/>
    </xf>
    <xf numFmtId="0" fontId="66" fillId="46" borderId="4" xfId="0" applyFont="1" applyFill="1" applyBorder="1" applyAlignment="1">
      <alignment horizontal="center" vertical="top" wrapText="1"/>
    </xf>
    <xf numFmtId="0" fontId="66" fillId="46" borderId="1" xfId="0" applyFont="1" applyFill="1" applyBorder="1" applyAlignment="1">
      <alignment horizontal="center" vertical="top" wrapText="1"/>
    </xf>
    <xf numFmtId="0" fontId="66" fillId="46" borderId="11" xfId="0" applyFont="1" applyFill="1" applyBorder="1" applyAlignment="1">
      <alignment horizontal="center" vertical="top" wrapText="1"/>
    </xf>
  </cellXfs>
  <cellStyles count="1205">
    <cellStyle name="%" xfId="1174" xr:uid="{00000000-0005-0000-0000-000000000000}"/>
    <cellStyle name="1991-" xfId="75" xr:uid="{00000000-0005-0000-0000-000001000000}"/>
    <cellStyle name="1991- 2" xfId="76" xr:uid="{00000000-0005-0000-0000-000002000000}"/>
    <cellStyle name="20% - Accent1 2" xfId="78" xr:uid="{00000000-0005-0000-0000-000003000000}"/>
    <cellStyle name="20% - Accent1 3" xfId="77" xr:uid="{00000000-0005-0000-0000-000004000000}"/>
    <cellStyle name="20% - Accent2 2" xfId="80" xr:uid="{00000000-0005-0000-0000-000005000000}"/>
    <cellStyle name="20% - Accent2 3" xfId="79" xr:uid="{00000000-0005-0000-0000-000006000000}"/>
    <cellStyle name="20% - Accent3 2" xfId="82" xr:uid="{00000000-0005-0000-0000-000007000000}"/>
    <cellStyle name="20% - Accent3 3" xfId="81" xr:uid="{00000000-0005-0000-0000-000008000000}"/>
    <cellStyle name="20% - Accent4 2" xfId="84" xr:uid="{00000000-0005-0000-0000-000009000000}"/>
    <cellStyle name="20% - Accent4 3" xfId="83" xr:uid="{00000000-0005-0000-0000-00000A000000}"/>
    <cellStyle name="20% - Accent5 2" xfId="86" xr:uid="{00000000-0005-0000-0000-00000B000000}"/>
    <cellStyle name="20% - Accent5 3" xfId="85" xr:uid="{00000000-0005-0000-0000-00000C000000}"/>
    <cellStyle name="20% - Accent6 2" xfId="88" xr:uid="{00000000-0005-0000-0000-00000D000000}"/>
    <cellStyle name="20% - Accent6 3" xfId="87" xr:uid="{00000000-0005-0000-0000-00000E000000}"/>
    <cellStyle name="40% - Accent1 2" xfId="90" xr:uid="{00000000-0005-0000-0000-00000F000000}"/>
    <cellStyle name="40% - Accent1 3" xfId="89" xr:uid="{00000000-0005-0000-0000-000010000000}"/>
    <cellStyle name="40% - Accent2 2" xfId="92" xr:uid="{00000000-0005-0000-0000-000011000000}"/>
    <cellStyle name="40% - Accent2 3" xfId="91" xr:uid="{00000000-0005-0000-0000-000012000000}"/>
    <cellStyle name="40% - Accent3 2" xfId="94" xr:uid="{00000000-0005-0000-0000-000013000000}"/>
    <cellStyle name="40% - Accent3 3" xfId="93" xr:uid="{00000000-0005-0000-0000-000014000000}"/>
    <cellStyle name="40% - Accent4 2" xfId="96" xr:uid="{00000000-0005-0000-0000-000015000000}"/>
    <cellStyle name="40% - Accent4 3" xfId="95" xr:uid="{00000000-0005-0000-0000-000016000000}"/>
    <cellStyle name="40% - Accent5 2" xfId="98" xr:uid="{00000000-0005-0000-0000-000017000000}"/>
    <cellStyle name="40% - Accent5 3" xfId="97" xr:uid="{00000000-0005-0000-0000-000018000000}"/>
    <cellStyle name="40% - Accent6 2" xfId="100" xr:uid="{00000000-0005-0000-0000-000019000000}"/>
    <cellStyle name="40% - Accent6 3" xfId="99" xr:uid="{00000000-0005-0000-0000-00001A000000}"/>
    <cellStyle name="60% - Accent1 2" xfId="102" xr:uid="{00000000-0005-0000-0000-00001B000000}"/>
    <cellStyle name="60% - Accent1 3" xfId="101" xr:uid="{00000000-0005-0000-0000-00001C000000}"/>
    <cellStyle name="60% - Accent2 2" xfId="104" xr:uid="{00000000-0005-0000-0000-00001D000000}"/>
    <cellStyle name="60% - Accent2 3" xfId="103" xr:uid="{00000000-0005-0000-0000-00001E000000}"/>
    <cellStyle name="60% - Accent3 2" xfId="106" xr:uid="{00000000-0005-0000-0000-00001F000000}"/>
    <cellStyle name="60% - Accent3 3" xfId="105" xr:uid="{00000000-0005-0000-0000-000020000000}"/>
    <cellStyle name="60% - Accent4 2" xfId="108" xr:uid="{00000000-0005-0000-0000-000021000000}"/>
    <cellStyle name="60% - Accent4 3" xfId="107" xr:uid="{00000000-0005-0000-0000-000022000000}"/>
    <cellStyle name="60% - Accent5 2" xfId="110" xr:uid="{00000000-0005-0000-0000-000023000000}"/>
    <cellStyle name="60% - Accent5 3" xfId="109" xr:uid="{00000000-0005-0000-0000-000024000000}"/>
    <cellStyle name="60% - Accent6 2" xfId="112" xr:uid="{00000000-0005-0000-0000-000025000000}"/>
    <cellStyle name="60% - Accent6 3" xfId="111" xr:uid="{00000000-0005-0000-0000-000026000000}"/>
    <cellStyle name="Accent1 2" xfId="114" xr:uid="{00000000-0005-0000-0000-000027000000}"/>
    <cellStyle name="Accent1 3" xfId="113" xr:uid="{00000000-0005-0000-0000-000028000000}"/>
    <cellStyle name="Accent2 2" xfId="116" xr:uid="{00000000-0005-0000-0000-000029000000}"/>
    <cellStyle name="Accent2 3" xfId="115" xr:uid="{00000000-0005-0000-0000-00002A000000}"/>
    <cellStyle name="Accent3 2" xfId="118" xr:uid="{00000000-0005-0000-0000-00002B000000}"/>
    <cellStyle name="Accent3 3" xfId="117" xr:uid="{00000000-0005-0000-0000-00002C000000}"/>
    <cellStyle name="Accent4 2" xfId="120" xr:uid="{00000000-0005-0000-0000-00002D000000}"/>
    <cellStyle name="Accent4 3" xfId="119" xr:uid="{00000000-0005-0000-0000-00002E000000}"/>
    <cellStyle name="Accent5 2" xfId="122" xr:uid="{00000000-0005-0000-0000-00002F000000}"/>
    <cellStyle name="Accent5 3" xfId="121" xr:uid="{00000000-0005-0000-0000-000030000000}"/>
    <cellStyle name="Accent6 2" xfId="124" xr:uid="{00000000-0005-0000-0000-000031000000}"/>
    <cellStyle name="Accent6 3" xfId="123" xr:uid="{00000000-0005-0000-0000-000032000000}"/>
    <cellStyle name="Bad 2" xfId="126" xr:uid="{00000000-0005-0000-0000-000033000000}"/>
    <cellStyle name="Bad 3" xfId="125" xr:uid="{00000000-0005-0000-0000-000034000000}"/>
    <cellStyle name="Calculation 2" xfId="128" xr:uid="{00000000-0005-0000-0000-000035000000}"/>
    <cellStyle name="Calculation 3" xfId="127" xr:uid="{00000000-0005-0000-0000-000036000000}"/>
    <cellStyle name="Check Cell 2" xfId="130" xr:uid="{00000000-0005-0000-0000-000037000000}"/>
    <cellStyle name="Check Cell 3" xfId="129" xr:uid="{00000000-0005-0000-0000-000038000000}"/>
    <cellStyle name="Explanatory Text 2" xfId="132" xr:uid="{00000000-0005-0000-0000-000039000000}"/>
    <cellStyle name="Explanatory Text 3" xfId="131" xr:uid="{00000000-0005-0000-0000-00003A000000}"/>
    <cellStyle name="Good 2" xfId="134" xr:uid="{00000000-0005-0000-0000-00003B000000}"/>
    <cellStyle name="Good 3" xfId="133" xr:uid="{00000000-0005-0000-0000-00003C000000}"/>
    <cellStyle name="Heading 1 2" xfId="136" xr:uid="{00000000-0005-0000-0000-00003D000000}"/>
    <cellStyle name="Heading 1 3" xfId="135" xr:uid="{00000000-0005-0000-0000-00003E000000}"/>
    <cellStyle name="Heading 2 2" xfId="138" xr:uid="{00000000-0005-0000-0000-00003F000000}"/>
    <cellStyle name="Heading 2 3" xfId="137" xr:uid="{00000000-0005-0000-0000-000040000000}"/>
    <cellStyle name="Heading 3 2" xfId="140" xr:uid="{00000000-0005-0000-0000-000041000000}"/>
    <cellStyle name="Heading 3 3" xfId="139" xr:uid="{00000000-0005-0000-0000-000042000000}"/>
    <cellStyle name="Heading 4 2" xfId="142" xr:uid="{00000000-0005-0000-0000-000043000000}"/>
    <cellStyle name="Heading 4 3" xfId="141" xr:uid="{00000000-0005-0000-0000-000044000000}"/>
    <cellStyle name="Hyperlink 2" xfId="143" xr:uid="{00000000-0005-0000-0000-000045000000}"/>
    <cellStyle name="Input 2" xfId="145" xr:uid="{00000000-0005-0000-0000-000046000000}"/>
    <cellStyle name="Input 3" xfId="144" xr:uid="{00000000-0005-0000-0000-000047000000}"/>
    <cellStyle name="Linked Cell 2" xfId="147" xr:uid="{00000000-0005-0000-0000-000048000000}"/>
    <cellStyle name="Linked Cell 3" xfId="146" xr:uid="{00000000-0005-0000-0000-000049000000}"/>
    <cellStyle name="Neutral 2" xfId="149" xr:uid="{00000000-0005-0000-0000-00004A000000}"/>
    <cellStyle name="Neutral 3" xfId="148" xr:uid="{00000000-0005-0000-0000-00004B000000}"/>
    <cellStyle name="Normal" xfId="0" builtinId="0"/>
    <cellStyle name="Normal 10" xfId="9" xr:uid="{00000000-0005-0000-0000-00004D000000}"/>
    <cellStyle name="Normal 10 2" xfId="150" xr:uid="{00000000-0005-0000-0000-00004E000000}"/>
    <cellStyle name="Normal 100" xfId="233" xr:uid="{00000000-0005-0000-0000-00004F000000}"/>
    <cellStyle name="Normal 1000" xfId="1133" xr:uid="{00000000-0005-0000-0000-000050000000}"/>
    <cellStyle name="Normal 1001" xfId="1134" xr:uid="{00000000-0005-0000-0000-000051000000}"/>
    <cellStyle name="Normal 1002" xfId="1135" xr:uid="{00000000-0005-0000-0000-000052000000}"/>
    <cellStyle name="Normal 1003" xfId="1136" xr:uid="{00000000-0005-0000-0000-000053000000}"/>
    <cellStyle name="Normal 1004" xfId="1137" xr:uid="{00000000-0005-0000-0000-000054000000}"/>
    <cellStyle name="Normal 1005" xfId="1138" xr:uid="{00000000-0005-0000-0000-000055000000}"/>
    <cellStyle name="Normal 1006" xfId="1139" xr:uid="{00000000-0005-0000-0000-000056000000}"/>
    <cellStyle name="Normal 1007" xfId="1140" xr:uid="{00000000-0005-0000-0000-000057000000}"/>
    <cellStyle name="Normal 1008" xfId="1141" xr:uid="{00000000-0005-0000-0000-000058000000}"/>
    <cellStyle name="Normal 1009" xfId="1142" xr:uid="{00000000-0005-0000-0000-000059000000}"/>
    <cellStyle name="Normal 101" xfId="234" xr:uid="{00000000-0005-0000-0000-00005A000000}"/>
    <cellStyle name="Normal 1010" xfId="1143" xr:uid="{00000000-0005-0000-0000-00005B000000}"/>
    <cellStyle name="Normal 1011" xfId="1144" xr:uid="{00000000-0005-0000-0000-00005C000000}"/>
    <cellStyle name="Normal 1012" xfId="1145" xr:uid="{00000000-0005-0000-0000-00005D000000}"/>
    <cellStyle name="Normal 1013" xfId="1146" xr:uid="{00000000-0005-0000-0000-00005E000000}"/>
    <cellStyle name="Normal 1014" xfId="1147" xr:uid="{00000000-0005-0000-0000-00005F000000}"/>
    <cellStyle name="Normal 1015" xfId="1148" xr:uid="{00000000-0005-0000-0000-000060000000}"/>
    <cellStyle name="Normal 1016" xfId="1149" xr:uid="{00000000-0005-0000-0000-000061000000}"/>
    <cellStyle name="Normal 1017" xfId="1150" xr:uid="{00000000-0005-0000-0000-000062000000}"/>
    <cellStyle name="Normal 1018" xfId="1151" xr:uid="{00000000-0005-0000-0000-000063000000}"/>
    <cellStyle name="Normal 1019" xfId="1152" xr:uid="{00000000-0005-0000-0000-000064000000}"/>
    <cellStyle name="Normal 102" xfId="235" xr:uid="{00000000-0005-0000-0000-000065000000}"/>
    <cellStyle name="Normal 1020" xfId="1153" xr:uid="{00000000-0005-0000-0000-000066000000}"/>
    <cellStyle name="Normal 1021" xfId="1154" xr:uid="{00000000-0005-0000-0000-000067000000}"/>
    <cellStyle name="Normal 1022" xfId="1155" xr:uid="{00000000-0005-0000-0000-000068000000}"/>
    <cellStyle name="Normal 1023" xfId="1156" xr:uid="{00000000-0005-0000-0000-000069000000}"/>
    <cellStyle name="Normal 1024" xfId="1157" xr:uid="{00000000-0005-0000-0000-00006A000000}"/>
    <cellStyle name="Normal 1025" xfId="1158" xr:uid="{00000000-0005-0000-0000-00006B000000}"/>
    <cellStyle name="Normal 1026" xfId="1159" xr:uid="{00000000-0005-0000-0000-00006C000000}"/>
    <cellStyle name="Normal 1027" xfId="1160" xr:uid="{00000000-0005-0000-0000-00006D000000}"/>
    <cellStyle name="Normal 1028" xfId="1161" xr:uid="{00000000-0005-0000-0000-00006E000000}"/>
    <cellStyle name="Normal 1029" xfId="1162" xr:uid="{00000000-0005-0000-0000-00006F000000}"/>
    <cellStyle name="Normal 103" xfId="236" xr:uid="{00000000-0005-0000-0000-000070000000}"/>
    <cellStyle name="Normal 1030" xfId="1163" xr:uid="{00000000-0005-0000-0000-000071000000}"/>
    <cellStyle name="Normal 1031" xfId="1164" xr:uid="{00000000-0005-0000-0000-000072000000}"/>
    <cellStyle name="Normal 1032" xfId="1165" xr:uid="{00000000-0005-0000-0000-000073000000}"/>
    <cellStyle name="Normal 1033" xfId="1166" xr:uid="{00000000-0005-0000-0000-000074000000}"/>
    <cellStyle name="Normal 1034" xfId="1167" xr:uid="{00000000-0005-0000-0000-000075000000}"/>
    <cellStyle name="Normal 1035" xfId="1168" xr:uid="{00000000-0005-0000-0000-000076000000}"/>
    <cellStyle name="Normal 1036" xfId="1169" xr:uid="{00000000-0005-0000-0000-000077000000}"/>
    <cellStyle name="Normal 1037" xfId="1170" xr:uid="{00000000-0005-0000-0000-000078000000}"/>
    <cellStyle name="Normal 1038" xfId="1171" xr:uid="{00000000-0005-0000-0000-000079000000}"/>
    <cellStyle name="Normal 1039" xfId="1172" xr:uid="{00000000-0005-0000-0000-00007A000000}"/>
    <cellStyle name="Normal 104" xfId="237" xr:uid="{00000000-0005-0000-0000-00007B000000}"/>
    <cellStyle name="Normal 1040" xfId="1173" xr:uid="{00000000-0005-0000-0000-00007C000000}"/>
    <cellStyle name="Normal 1041" xfId="1175" xr:uid="{00000000-0005-0000-0000-00007D000000}"/>
    <cellStyle name="Normal 1042" xfId="1203" xr:uid="{00000000-0005-0000-0000-00007E000000}"/>
    <cellStyle name="Normal 105" xfId="238" xr:uid="{00000000-0005-0000-0000-00007F000000}"/>
    <cellStyle name="Normal 106" xfId="239" xr:uid="{00000000-0005-0000-0000-000080000000}"/>
    <cellStyle name="Normal 107" xfId="240" xr:uid="{00000000-0005-0000-0000-000081000000}"/>
    <cellStyle name="Normal 108" xfId="241" xr:uid="{00000000-0005-0000-0000-000082000000}"/>
    <cellStyle name="Normal 109" xfId="242" xr:uid="{00000000-0005-0000-0000-000083000000}"/>
    <cellStyle name="Normal 11" xfId="11" xr:uid="{00000000-0005-0000-0000-000084000000}"/>
    <cellStyle name="Normal 11 2" xfId="151" xr:uid="{00000000-0005-0000-0000-000085000000}"/>
    <cellStyle name="Normal 110" xfId="243" xr:uid="{00000000-0005-0000-0000-000086000000}"/>
    <cellStyle name="Normal 111" xfId="244" xr:uid="{00000000-0005-0000-0000-000087000000}"/>
    <cellStyle name="Normal 112" xfId="245" xr:uid="{00000000-0005-0000-0000-000088000000}"/>
    <cellStyle name="Normal 113" xfId="246" xr:uid="{00000000-0005-0000-0000-000089000000}"/>
    <cellStyle name="Normal 114" xfId="247" xr:uid="{00000000-0005-0000-0000-00008A000000}"/>
    <cellStyle name="Normal 115" xfId="248" xr:uid="{00000000-0005-0000-0000-00008B000000}"/>
    <cellStyle name="Normal 116" xfId="249" xr:uid="{00000000-0005-0000-0000-00008C000000}"/>
    <cellStyle name="Normal 117" xfId="250" xr:uid="{00000000-0005-0000-0000-00008D000000}"/>
    <cellStyle name="Normal 118" xfId="251" xr:uid="{00000000-0005-0000-0000-00008E000000}"/>
    <cellStyle name="Normal 119" xfId="252" xr:uid="{00000000-0005-0000-0000-00008F000000}"/>
    <cellStyle name="Normal 12" xfId="14" xr:uid="{00000000-0005-0000-0000-000090000000}"/>
    <cellStyle name="Normal 12 2" xfId="152" xr:uid="{00000000-0005-0000-0000-000091000000}"/>
    <cellStyle name="Normal 120" xfId="253" xr:uid="{00000000-0005-0000-0000-000092000000}"/>
    <cellStyle name="Normal 121" xfId="254" xr:uid="{00000000-0005-0000-0000-000093000000}"/>
    <cellStyle name="Normal 122" xfId="255" xr:uid="{00000000-0005-0000-0000-000094000000}"/>
    <cellStyle name="Normal 123" xfId="256" xr:uid="{00000000-0005-0000-0000-000095000000}"/>
    <cellStyle name="Normal 124" xfId="257" xr:uid="{00000000-0005-0000-0000-000096000000}"/>
    <cellStyle name="Normal 125" xfId="258" xr:uid="{00000000-0005-0000-0000-000097000000}"/>
    <cellStyle name="Normal 126" xfId="259" xr:uid="{00000000-0005-0000-0000-000098000000}"/>
    <cellStyle name="Normal 127" xfId="260" xr:uid="{00000000-0005-0000-0000-000099000000}"/>
    <cellStyle name="Normal 128" xfId="261" xr:uid="{00000000-0005-0000-0000-00009A000000}"/>
    <cellStyle name="Normal 129" xfId="262" xr:uid="{00000000-0005-0000-0000-00009B000000}"/>
    <cellStyle name="Normal 13" xfId="13" xr:uid="{00000000-0005-0000-0000-00009C000000}"/>
    <cellStyle name="Normal 13 2" xfId="153" xr:uid="{00000000-0005-0000-0000-00009D000000}"/>
    <cellStyle name="Normal 130" xfId="263" xr:uid="{00000000-0005-0000-0000-00009E000000}"/>
    <cellStyle name="Normal 131" xfId="264" xr:uid="{00000000-0005-0000-0000-00009F000000}"/>
    <cellStyle name="Normal 132" xfId="265" xr:uid="{00000000-0005-0000-0000-0000A0000000}"/>
    <cellStyle name="Normal 133" xfId="266" xr:uid="{00000000-0005-0000-0000-0000A1000000}"/>
    <cellStyle name="Normal 134" xfId="267" xr:uid="{00000000-0005-0000-0000-0000A2000000}"/>
    <cellStyle name="Normal 135" xfId="268" xr:uid="{00000000-0005-0000-0000-0000A3000000}"/>
    <cellStyle name="Normal 136" xfId="269" xr:uid="{00000000-0005-0000-0000-0000A4000000}"/>
    <cellStyle name="Normal 137" xfId="270" xr:uid="{00000000-0005-0000-0000-0000A5000000}"/>
    <cellStyle name="Normal 138" xfId="271" xr:uid="{00000000-0005-0000-0000-0000A6000000}"/>
    <cellStyle name="Normal 139" xfId="272" xr:uid="{00000000-0005-0000-0000-0000A7000000}"/>
    <cellStyle name="Normal 14" xfId="12" xr:uid="{00000000-0005-0000-0000-0000A8000000}"/>
    <cellStyle name="Normal 14 2" xfId="154" xr:uid="{00000000-0005-0000-0000-0000A9000000}"/>
    <cellStyle name="Normal 140" xfId="273" xr:uid="{00000000-0005-0000-0000-0000AA000000}"/>
    <cellStyle name="Normal 141" xfId="274" xr:uid="{00000000-0005-0000-0000-0000AB000000}"/>
    <cellStyle name="Normal 142" xfId="275" xr:uid="{00000000-0005-0000-0000-0000AC000000}"/>
    <cellStyle name="Normal 143" xfId="276" xr:uid="{00000000-0005-0000-0000-0000AD000000}"/>
    <cellStyle name="Normal 144" xfId="277" xr:uid="{00000000-0005-0000-0000-0000AE000000}"/>
    <cellStyle name="Normal 145" xfId="278" xr:uid="{00000000-0005-0000-0000-0000AF000000}"/>
    <cellStyle name="Normal 146" xfId="279" xr:uid="{00000000-0005-0000-0000-0000B0000000}"/>
    <cellStyle name="Normal 147" xfId="280" xr:uid="{00000000-0005-0000-0000-0000B1000000}"/>
    <cellStyle name="Normal 148" xfId="281" xr:uid="{00000000-0005-0000-0000-0000B2000000}"/>
    <cellStyle name="Normal 149" xfId="282" xr:uid="{00000000-0005-0000-0000-0000B3000000}"/>
    <cellStyle name="Normal 15" xfId="15" xr:uid="{00000000-0005-0000-0000-0000B4000000}"/>
    <cellStyle name="Normal 15 2" xfId="155" xr:uid="{00000000-0005-0000-0000-0000B5000000}"/>
    <cellStyle name="Normal 150" xfId="283" xr:uid="{00000000-0005-0000-0000-0000B6000000}"/>
    <cellStyle name="Normal 151" xfId="284" xr:uid="{00000000-0005-0000-0000-0000B7000000}"/>
    <cellStyle name="Normal 152" xfId="285" xr:uid="{00000000-0005-0000-0000-0000B8000000}"/>
    <cellStyle name="Normal 153" xfId="286" xr:uid="{00000000-0005-0000-0000-0000B9000000}"/>
    <cellStyle name="Normal 154" xfId="287" xr:uid="{00000000-0005-0000-0000-0000BA000000}"/>
    <cellStyle name="Normal 155" xfId="288" xr:uid="{00000000-0005-0000-0000-0000BB000000}"/>
    <cellStyle name="Normal 156" xfId="289" xr:uid="{00000000-0005-0000-0000-0000BC000000}"/>
    <cellStyle name="Normal 157" xfId="290" xr:uid="{00000000-0005-0000-0000-0000BD000000}"/>
    <cellStyle name="Normal 158" xfId="291" xr:uid="{00000000-0005-0000-0000-0000BE000000}"/>
    <cellStyle name="Normal 159" xfId="292" xr:uid="{00000000-0005-0000-0000-0000BF000000}"/>
    <cellStyle name="Normal 16" xfId="16" xr:uid="{00000000-0005-0000-0000-0000C0000000}"/>
    <cellStyle name="Normal 16 2" xfId="156" xr:uid="{00000000-0005-0000-0000-0000C1000000}"/>
    <cellStyle name="Normal 160" xfId="293" xr:uid="{00000000-0005-0000-0000-0000C2000000}"/>
    <cellStyle name="Normal 161" xfId="294" xr:uid="{00000000-0005-0000-0000-0000C3000000}"/>
    <cellStyle name="Normal 162" xfId="295" xr:uid="{00000000-0005-0000-0000-0000C4000000}"/>
    <cellStyle name="Normal 163" xfId="296" xr:uid="{00000000-0005-0000-0000-0000C5000000}"/>
    <cellStyle name="Normal 164" xfId="297" xr:uid="{00000000-0005-0000-0000-0000C6000000}"/>
    <cellStyle name="Normal 165" xfId="298" xr:uid="{00000000-0005-0000-0000-0000C7000000}"/>
    <cellStyle name="Normal 166" xfId="299" xr:uid="{00000000-0005-0000-0000-0000C8000000}"/>
    <cellStyle name="Normal 167" xfId="300" xr:uid="{00000000-0005-0000-0000-0000C9000000}"/>
    <cellStyle name="Normal 168" xfId="301" xr:uid="{00000000-0005-0000-0000-0000CA000000}"/>
    <cellStyle name="Normal 169" xfId="302" xr:uid="{00000000-0005-0000-0000-0000CB000000}"/>
    <cellStyle name="Normal 17" xfId="18" xr:uid="{00000000-0005-0000-0000-0000CC000000}"/>
    <cellStyle name="Normal 17 2" xfId="157" xr:uid="{00000000-0005-0000-0000-0000CD000000}"/>
    <cellStyle name="Normal 170" xfId="303" xr:uid="{00000000-0005-0000-0000-0000CE000000}"/>
    <cellStyle name="Normal 171" xfId="304" xr:uid="{00000000-0005-0000-0000-0000CF000000}"/>
    <cellStyle name="Normal 172" xfId="305" xr:uid="{00000000-0005-0000-0000-0000D0000000}"/>
    <cellStyle name="Normal 173" xfId="306" xr:uid="{00000000-0005-0000-0000-0000D1000000}"/>
    <cellStyle name="Normal 174" xfId="307" xr:uid="{00000000-0005-0000-0000-0000D2000000}"/>
    <cellStyle name="Normal 175" xfId="308" xr:uid="{00000000-0005-0000-0000-0000D3000000}"/>
    <cellStyle name="Normal 176" xfId="309" xr:uid="{00000000-0005-0000-0000-0000D4000000}"/>
    <cellStyle name="Normal 177" xfId="310" xr:uid="{00000000-0005-0000-0000-0000D5000000}"/>
    <cellStyle name="Normal 178" xfId="311" xr:uid="{00000000-0005-0000-0000-0000D6000000}"/>
    <cellStyle name="Normal 179" xfId="312" xr:uid="{00000000-0005-0000-0000-0000D7000000}"/>
    <cellStyle name="Normal 18" xfId="17" xr:uid="{00000000-0005-0000-0000-0000D8000000}"/>
    <cellStyle name="Normal 18 2" xfId="158" xr:uid="{00000000-0005-0000-0000-0000D9000000}"/>
    <cellStyle name="Normal 180" xfId="313" xr:uid="{00000000-0005-0000-0000-0000DA000000}"/>
    <cellStyle name="Normal 181" xfId="314" xr:uid="{00000000-0005-0000-0000-0000DB000000}"/>
    <cellStyle name="Normal 182" xfId="315" xr:uid="{00000000-0005-0000-0000-0000DC000000}"/>
    <cellStyle name="Normal 183" xfId="316" xr:uid="{00000000-0005-0000-0000-0000DD000000}"/>
    <cellStyle name="Normal 184" xfId="317" xr:uid="{00000000-0005-0000-0000-0000DE000000}"/>
    <cellStyle name="Normal 185" xfId="318" xr:uid="{00000000-0005-0000-0000-0000DF000000}"/>
    <cellStyle name="Normal 186" xfId="319" xr:uid="{00000000-0005-0000-0000-0000E0000000}"/>
    <cellStyle name="Normal 187" xfId="320" xr:uid="{00000000-0005-0000-0000-0000E1000000}"/>
    <cellStyle name="Normal 188" xfId="321" xr:uid="{00000000-0005-0000-0000-0000E2000000}"/>
    <cellStyle name="Normal 189" xfId="322" xr:uid="{00000000-0005-0000-0000-0000E3000000}"/>
    <cellStyle name="Normal 19" xfId="19" xr:uid="{00000000-0005-0000-0000-0000E4000000}"/>
    <cellStyle name="Normal 19 2" xfId="159" xr:uid="{00000000-0005-0000-0000-0000E5000000}"/>
    <cellStyle name="Normal 190" xfId="323" xr:uid="{00000000-0005-0000-0000-0000E6000000}"/>
    <cellStyle name="Normal 191" xfId="324" xr:uid="{00000000-0005-0000-0000-0000E7000000}"/>
    <cellStyle name="Normal 192" xfId="325" xr:uid="{00000000-0005-0000-0000-0000E8000000}"/>
    <cellStyle name="Normal 193" xfId="326" xr:uid="{00000000-0005-0000-0000-0000E9000000}"/>
    <cellStyle name="Normal 194" xfId="327" xr:uid="{00000000-0005-0000-0000-0000EA000000}"/>
    <cellStyle name="Normal 195" xfId="328" xr:uid="{00000000-0005-0000-0000-0000EB000000}"/>
    <cellStyle name="Normal 196" xfId="329" xr:uid="{00000000-0005-0000-0000-0000EC000000}"/>
    <cellStyle name="Normal 197" xfId="330" xr:uid="{00000000-0005-0000-0000-0000ED000000}"/>
    <cellStyle name="Normal 198" xfId="331" xr:uid="{00000000-0005-0000-0000-0000EE000000}"/>
    <cellStyle name="Normal 199" xfId="332" xr:uid="{00000000-0005-0000-0000-0000EF000000}"/>
    <cellStyle name="Normal 2" xfId="1" xr:uid="{00000000-0005-0000-0000-0000F0000000}"/>
    <cellStyle name="Normal 2 2" xfId="160" xr:uid="{00000000-0005-0000-0000-0000F1000000}"/>
    <cellStyle name="Normal 2 3" xfId="2" xr:uid="{00000000-0005-0000-0000-0000F2000000}"/>
    <cellStyle name="Normal 20" xfId="20" xr:uid="{00000000-0005-0000-0000-0000F3000000}"/>
    <cellStyle name="Normal 20 2" xfId="161" xr:uid="{00000000-0005-0000-0000-0000F4000000}"/>
    <cellStyle name="Normal 200" xfId="333" xr:uid="{00000000-0005-0000-0000-0000F5000000}"/>
    <cellStyle name="Normal 201" xfId="334" xr:uid="{00000000-0005-0000-0000-0000F6000000}"/>
    <cellStyle name="Normal 202" xfId="335" xr:uid="{00000000-0005-0000-0000-0000F7000000}"/>
    <cellStyle name="Normal 203" xfId="336" xr:uid="{00000000-0005-0000-0000-0000F8000000}"/>
    <cellStyle name="Normal 204" xfId="337" xr:uid="{00000000-0005-0000-0000-0000F9000000}"/>
    <cellStyle name="Normal 205" xfId="338" xr:uid="{00000000-0005-0000-0000-0000FA000000}"/>
    <cellStyle name="Normal 206" xfId="339" xr:uid="{00000000-0005-0000-0000-0000FB000000}"/>
    <cellStyle name="Normal 207" xfId="340" xr:uid="{00000000-0005-0000-0000-0000FC000000}"/>
    <cellStyle name="Normal 208" xfId="341" xr:uid="{00000000-0005-0000-0000-0000FD000000}"/>
    <cellStyle name="Normal 209" xfId="342" xr:uid="{00000000-0005-0000-0000-0000FE000000}"/>
    <cellStyle name="Normal 21" xfId="21" xr:uid="{00000000-0005-0000-0000-0000FF000000}"/>
    <cellStyle name="Normal 21 2" xfId="162" xr:uid="{00000000-0005-0000-0000-000000010000}"/>
    <cellStyle name="Normal 210" xfId="343" xr:uid="{00000000-0005-0000-0000-000001010000}"/>
    <cellStyle name="Normal 211" xfId="344" xr:uid="{00000000-0005-0000-0000-000002010000}"/>
    <cellStyle name="Normal 212" xfId="345" xr:uid="{00000000-0005-0000-0000-000003010000}"/>
    <cellStyle name="Normal 213" xfId="346" xr:uid="{00000000-0005-0000-0000-000004010000}"/>
    <cellStyle name="Normal 214" xfId="347" xr:uid="{00000000-0005-0000-0000-000005010000}"/>
    <cellStyle name="Normal 215" xfId="348" xr:uid="{00000000-0005-0000-0000-000006010000}"/>
    <cellStyle name="Normal 216" xfId="349" xr:uid="{00000000-0005-0000-0000-000007010000}"/>
    <cellStyle name="Normal 217" xfId="350" xr:uid="{00000000-0005-0000-0000-000008010000}"/>
    <cellStyle name="Normal 218" xfId="351" xr:uid="{00000000-0005-0000-0000-000009010000}"/>
    <cellStyle name="Normal 219" xfId="352" xr:uid="{00000000-0005-0000-0000-00000A010000}"/>
    <cellStyle name="Normal 22" xfId="22" xr:uid="{00000000-0005-0000-0000-00000B010000}"/>
    <cellStyle name="Normal 22 2" xfId="163" xr:uid="{00000000-0005-0000-0000-00000C010000}"/>
    <cellStyle name="Normal 220" xfId="353" xr:uid="{00000000-0005-0000-0000-00000D010000}"/>
    <cellStyle name="Normal 221" xfId="354" xr:uid="{00000000-0005-0000-0000-00000E010000}"/>
    <cellStyle name="Normal 222" xfId="355" xr:uid="{00000000-0005-0000-0000-00000F010000}"/>
    <cellStyle name="Normal 223" xfId="356" xr:uid="{00000000-0005-0000-0000-000010010000}"/>
    <cellStyle name="Normal 224" xfId="357" xr:uid="{00000000-0005-0000-0000-000011010000}"/>
    <cellStyle name="Normal 225" xfId="358" xr:uid="{00000000-0005-0000-0000-000012010000}"/>
    <cellStyle name="Normal 226" xfId="359" xr:uid="{00000000-0005-0000-0000-000013010000}"/>
    <cellStyle name="Normal 227" xfId="360" xr:uid="{00000000-0005-0000-0000-000014010000}"/>
    <cellStyle name="Normal 228" xfId="361" xr:uid="{00000000-0005-0000-0000-000015010000}"/>
    <cellStyle name="Normal 229" xfId="362" xr:uid="{00000000-0005-0000-0000-000016010000}"/>
    <cellStyle name="Normal 23" xfId="23" xr:uid="{00000000-0005-0000-0000-000017010000}"/>
    <cellStyle name="Normal 23 2" xfId="164" xr:uid="{00000000-0005-0000-0000-000018010000}"/>
    <cellStyle name="Normal 230" xfId="363" xr:uid="{00000000-0005-0000-0000-000019010000}"/>
    <cellStyle name="Normal 231" xfId="364" xr:uid="{00000000-0005-0000-0000-00001A010000}"/>
    <cellStyle name="Normal 232" xfId="365" xr:uid="{00000000-0005-0000-0000-00001B010000}"/>
    <cellStyle name="Normal 233" xfId="366" xr:uid="{00000000-0005-0000-0000-00001C010000}"/>
    <cellStyle name="Normal 234" xfId="367" xr:uid="{00000000-0005-0000-0000-00001D010000}"/>
    <cellStyle name="Normal 235" xfId="368" xr:uid="{00000000-0005-0000-0000-00001E010000}"/>
    <cellStyle name="Normal 236" xfId="369" xr:uid="{00000000-0005-0000-0000-00001F010000}"/>
    <cellStyle name="Normal 237" xfId="370" xr:uid="{00000000-0005-0000-0000-000020010000}"/>
    <cellStyle name="Normal 238" xfId="371" xr:uid="{00000000-0005-0000-0000-000021010000}"/>
    <cellStyle name="Normal 239" xfId="372" xr:uid="{00000000-0005-0000-0000-000022010000}"/>
    <cellStyle name="Normal 24" xfId="24" xr:uid="{00000000-0005-0000-0000-000023010000}"/>
    <cellStyle name="Normal 24 2" xfId="165" xr:uid="{00000000-0005-0000-0000-000024010000}"/>
    <cellStyle name="Normal 240" xfId="373" xr:uid="{00000000-0005-0000-0000-000025010000}"/>
    <cellStyle name="Normal 241" xfId="374" xr:uid="{00000000-0005-0000-0000-000026010000}"/>
    <cellStyle name="Normal 242" xfId="375" xr:uid="{00000000-0005-0000-0000-000027010000}"/>
    <cellStyle name="Normal 243" xfId="376" xr:uid="{00000000-0005-0000-0000-000028010000}"/>
    <cellStyle name="Normal 244" xfId="377" xr:uid="{00000000-0005-0000-0000-000029010000}"/>
    <cellStyle name="Normal 245" xfId="378" xr:uid="{00000000-0005-0000-0000-00002A010000}"/>
    <cellStyle name="Normal 246" xfId="379" xr:uid="{00000000-0005-0000-0000-00002B010000}"/>
    <cellStyle name="Normal 247" xfId="380" xr:uid="{00000000-0005-0000-0000-00002C010000}"/>
    <cellStyle name="Normal 248" xfId="381" xr:uid="{00000000-0005-0000-0000-00002D010000}"/>
    <cellStyle name="Normal 249" xfId="382" xr:uid="{00000000-0005-0000-0000-00002E010000}"/>
    <cellStyle name="Normal 25" xfId="25" xr:uid="{00000000-0005-0000-0000-00002F010000}"/>
    <cellStyle name="Normal 25 2" xfId="166" xr:uid="{00000000-0005-0000-0000-000030010000}"/>
    <cellStyle name="Normal 250" xfId="383" xr:uid="{00000000-0005-0000-0000-000031010000}"/>
    <cellStyle name="Normal 251" xfId="384" xr:uid="{00000000-0005-0000-0000-000032010000}"/>
    <cellStyle name="Normal 252" xfId="385" xr:uid="{00000000-0005-0000-0000-000033010000}"/>
    <cellStyle name="Normal 253" xfId="386" xr:uid="{00000000-0005-0000-0000-000034010000}"/>
    <cellStyle name="Normal 254" xfId="387" xr:uid="{00000000-0005-0000-0000-000035010000}"/>
    <cellStyle name="Normal 255" xfId="388" xr:uid="{00000000-0005-0000-0000-000036010000}"/>
    <cellStyle name="Normal 256" xfId="389" xr:uid="{00000000-0005-0000-0000-000037010000}"/>
    <cellStyle name="Normal 257" xfId="390" xr:uid="{00000000-0005-0000-0000-000038010000}"/>
    <cellStyle name="Normal 258" xfId="391" xr:uid="{00000000-0005-0000-0000-000039010000}"/>
    <cellStyle name="Normal 259" xfId="392" xr:uid="{00000000-0005-0000-0000-00003A010000}"/>
    <cellStyle name="Normal 26" xfId="26" xr:uid="{00000000-0005-0000-0000-00003B010000}"/>
    <cellStyle name="Normal 260" xfId="393" xr:uid="{00000000-0005-0000-0000-00003C010000}"/>
    <cellStyle name="Normal 261" xfId="394" xr:uid="{00000000-0005-0000-0000-00003D010000}"/>
    <cellStyle name="Normal 262" xfId="395" xr:uid="{00000000-0005-0000-0000-00003E010000}"/>
    <cellStyle name="Normal 263" xfId="396" xr:uid="{00000000-0005-0000-0000-00003F010000}"/>
    <cellStyle name="Normal 264" xfId="397" xr:uid="{00000000-0005-0000-0000-000040010000}"/>
    <cellStyle name="Normal 265" xfId="398" xr:uid="{00000000-0005-0000-0000-000041010000}"/>
    <cellStyle name="Normal 266" xfId="399" xr:uid="{00000000-0005-0000-0000-000042010000}"/>
    <cellStyle name="Normal 267" xfId="400" xr:uid="{00000000-0005-0000-0000-000043010000}"/>
    <cellStyle name="Normal 268" xfId="401" xr:uid="{00000000-0005-0000-0000-000044010000}"/>
    <cellStyle name="Normal 269" xfId="402" xr:uid="{00000000-0005-0000-0000-000045010000}"/>
    <cellStyle name="Normal 27" xfId="28" xr:uid="{00000000-0005-0000-0000-000046010000}"/>
    <cellStyle name="Normal 270" xfId="403" xr:uid="{00000000-0005-0000-0000-000047010000}"/>
    <cellStyle name="Normal 271" xfId="404" xr:uid="{00000000-0005-0000-0000-000048010000}"/>
    <cellStyle name="Normal 272" xfId="405" xr:uid="{00000000-0005-0000-0000-000049010000}"/>
    <cellStyle name="Normal 273" xfId="406" xr:uid="{00000000-0005-0000-0000-00004A010000}"/>
    <cellStyle name="Normal 274" xfId="407" xr:uid="{00000000-0005-0000-0000-00004B010000}"/>
    <cellStyle name="Normal 275" xfId="408" xr:uid="{00000000-0005-0000-0000-00004C010000}"/>
    <cellStyle name="Normal 276" xfId="409" xr:uid="{00000000-0005-0000-0000-00004D010000}"/>
    <cellStyle name="Normal 277" xfId="410" xr:uid="{00000000-0005-0000-0000-00004E010000}"/>
    <cellStyle name="Normal 278" xfId="411" xr:uid="{00000000-0005-0000-0000-00004F010000}"/>
    <cellStyle name="Normal 279" xfId="412" xr:uid="{00000000-0005-0000-0000-000050010000}"/>
    <cellStyle name="Normal 28" xfId="27" xr:uid="{00000000-0005-0000-0000-000051010000}"/>
    <cellStyle name="Normal 280" xfId="413" xr:uid="{00000000-0005-0000-0000-000052010000}"/>
    <cellStyle name="Normal 281" xfId="414" xr:uid="{00000000-0005-0000-0000-000053010000}"/>
    <cellStyle name="Normal 282" xfId="415" xr:uid="{00000000-0005-0000-0000-000054010000}"/>
    <cellStyle name="Normal 283" xfId="416" xr:uid="{00000000-0005-0000-0000-000055010000}"/>
    <cellStyle name="Normal 284" xfId="417" xr:uid="{00000000-0005-0000-0000-000056010000}"/>
    <cellStyle name="Normal 285" xfId="418" xr:uid="{00000000-0005-0000-0000-000057010000}"/>
    <cellStyle name="Normal 286" xfId="419" xr:uid="{00000000-0005-0000-0000-000058010000}"/>
    <cellStyle name="Normal 287" xfId="420" xr:uid="{00000000-0005-0000-0000-000059010000}"/>
    <cellStyle name="Normal 288" xfId="421" xr:uid="{00000000-0005-0000-0000-00005A010000}"/>
    <cellStyle name="Normal 289" xfId="422" xr:uid="{00000000-0005-0000-0000-00005B010000}"/>
    <cellStyle name="Normal 29" xfId="30" xr:uid="{00000000-0005-0000-0000-00005C010000}"/>
    <cellStyle name="Normal 290" xfId="423" xr:uid="{00000000-0005-0000-0000-00005D010000}"/>
    <cellStyle name="Normal 291" xfId="424" xr:uid="{00000000-0005-0000-0000-00005E010000}"/>
    <cellStyle name="Normal 292" xfId="425" xr:uid="{00000000-0005-0000-0000-00005F010000}"/>
    <cellStyle name="Normal 293" xfId="426" xr:uid="{00000000-0005-0000-0000-000060010000}"/>
    <cellStyle name="Normal 294" xfId="427" xr:uid="{00000000-0005-0000-0000-000061010000}"/>
    <cellStyle name="Normal 295" xfId="428" xr:uid="{00000000-0005-0000-0000-000062010000}"/>
    <cellStyle name="Normal 296" xfId="429" xr:uid="{00000000-0005-0000-0000-000063010000}"/>
    <cellStyle name="Normal 297" xfId="430" xr:uid="{00000000-0005-0000-0000-000064010000}"/>
    <cellStyle name="Normal 298" xfId="431" xr:uid="{00000000-0005-0000-0000-000065010000}"/>
    <cellStyle name="Normal 299" xfId="432" xr:uid="{00000000-0005-0000-0000-000066010000}"/>
    <cellStyle name="Normal 3" xfId="3" xr:uid="{00000000-0005-0000-0000-000067010000}"/>
    <cellStyle name="Normal 3 2" xfId="167" xr:uid="{00000000-0005-0000-0000-000068010000}"/>
    <cellStyle name="Normal 30" xfId="29" xr:uid="{00000000-0005-0000-0000-000069010000}"/>
    <cellStyle name="Normal 300" xfId="433" xr:uid="{00000000-0005-0000-0000-00006A010000}"/>
    <cellStyle name="Normal 301" xfId="434" xr:uid="{00000000-0005-0000-0000-00006B010000}"/>
    <cellStyle name="Normal 302" xfId="435" xr:uid="{00000000-0005-0000-0000-00006C010000}"/>
    <cellStyle name="Normal 303" xfId="436" xr:uid="{00000000-0005-0000-0000-00006D010000}"/>
    <cellStyle name="Normal 304" xfId="437" xr:uid="{00000000-0005-0000-0000-00006E010000}"/>
    <cellStyle name="Normal 305" xfId="438" xr:uid="{00000000-0005-0000-0000-00006F010000}"/>
    <cellStyle name="Normal 306" xfId="439" xr:uid="{00000000-0005-0000-0000-000070010000}"/>
    <cellStyle name="Normal 307" xfId="440" xr:uid="{00000000-0005-0000-0000-000071010000}"/>
    <cellStyle name="Normal 308" xfId="441" xr:uid="{00000000-0005-0000-0000-000072010000}"/>
    <cellStyle name="Normal 309" xfId="442" xr:uid="{00000000-0005-0000-0000-000073010000}"/>
    <cellStyle name="Normal 31" xfId="31" xr:uid="{00000000-0005-0000-0000-000074010000}"/>
    <cellStyle name="Normal 310" xfId="443" xr:uid="{00000000-0005-0000-0000-000075010000}"/>
    <cellStyle name="Normal 311" xfId="444" xr:uid="{00000000-0005-0000-0000-000076010000}"/>
    <cellStyle name="Normal 312" xfId="445" xr:uid="{00000000-0005-0000-0000-000077010000}"/>
    <cellStyle name="Normal 313" xfId="446" xr:uid="{00000000-0005-0000-0000-000078010000}"/>
    <cellStyle name="Normal 314" xfId="447" xr:uid="{00000000-0005-0000-0000-000079010000}"/>
    <cellStyle name="Normal 315" xfId="448" xr:uid="{00000000-0005-0000-0000-00007A010000}"/>
    <cellStyle name="Normal 316" xfId="449" xr:uid="{00000000-0005-0000-0000-00007B010000}"/>
    <cellStyle name="Normal 317" xfId="450" xr:uid="{00000000-0005-0000-0000-00007C010000}"/>
    <cellStyle name="Normal 318" xfId="451" xr:uid="{00000000-0005-0000-0000-00007D010000}"/>
    <cellStyle name="Normal 319" xfId="452" xr:uid="{00000000-0005-0000-0000-00007E010000}"/>
    <cellStyle name="Normal 32" xfId="33" xr:uid="{00000000-0005-0000-0000-00007F010000}"/>
    <cellStyle name="Normal 320" xfId="453" xr:uid="{00000000-0005-0000-0000-000080010000}"/>
    <cellStyle name="Normal 321" xfId="454" xr:uid="{00000000-0005-0000-0000-000081010000}"/>
    <cellStyle name="Normal 322" xfId="455" xr:uid="{00000000-0005-0000-0000-000082010000}"/>
    <cellStyle name="Normal 323" xfId="456" xr:uid="{00000000-0005-0000-0000-000083010000}"/>
    <cellStyle name="Normal 324" xfId="457" xr:uid="{00000000-0005-0000-0000-000084010000}"/>
    <cellStyle name="Normal 325" xfId="458" xr:uid="{00000000-0005-0000-0000-000085010000}"/>
    <cellStyle name="Normal 326" xfId="459" xr:uid="{00000000-0005-0000-0000-000086010000}"/>
    <cellStyle name="Normal 327" xfId="460" xr:uid="{00000000-0005-0000-0000-000087010000}"/>
    <cellStyle name="Normal 328" xfId="461" xr:uid="{00000000-0005-0000-0000-000088010000}"/>
    <cellStyle name="Normal 329" xfId="462" xr:uid="{00000000-0005-0000-0000-000089010000}"/>
    <cellStyle name="Normal 33" xfId="32" xr:uid="{00000000-0005-0000-0000-00008A010000}"/>
    <cellStyle name="Normal 330" xfId="463" xr:uid="{00000000-0005-0000-0000-00008B010000}"/>
    <cellStyle name="Normal 331" xfId="464" xr:uid="{00000000-0005-0000-0000-00008C010000}"/>
    <cellStyle name="Normal 332" xfId="465" xr:uid="{00000000-0005-0000-0000-00008D010000}"/>
    <cellStyle name="Normal 333" xfId="466" xr:uid="{00000000-0005-0000-0000-00008E010000}"/>
    <cellStyle name="Normal 334" xfId="467" xr:uid="{00000000-0005-0000-0000-00008F010000}"/>
    <cellStyle name="Normal 335" xfId="468" xr:uid="{00000000-0005-0000-0000-000090010000}"/>
    <cellStyle name="Normal 336" xfId="469" xr:uid="{00000000-0005-0000-0000-000091010000}"/>
    <cellStyle name="Normal 337" xfId="470" xr:uid="{00000000-0005-0000-0000-000092010000}"/>
    <cellStyle name="Normal 338" xfId="471" xr:uid="{00000000-0005-0000-0000-000093010000}"/>
    <cellStyle name="Normal 339" xfId="472" xr:uid="{00000000-0005-0000-0000-000094010000}"/>
    <cellStyle name="Normal 34" xfId="34" xr:uid="{00000000-0005-0000-0000-000095010000}"/>
    <cellStyle name="Normal 340" xfId="473" xr:uid="{00000000-0005-0000-0000-000096010000}"/>
    <cellStyle name="Normal 341" xfId="474" xr:uid="{00000000-0005-0000-0000-000097010000}"/>
    <cellStyle name="Normal 342" xfId="475" xr:uid="{00000000-0005-0000-0000-000098010000}"/>
    <cellStyle name="Normal 343" xfId="476" xr:uid="{00000000-0005-0000-0000-000099010000}"/>
    <cellStyle name="Normal 344" xfId="477" xr:uid="{00000000-0005-0000-0000-00009A010000}"/>
    <cellStyle name="Normal 345" xfId="478" xr:uid="{00000000-0005-0000-0000-00009B010000}"/>
    <cellStyle name="Normal 346" xfId="479" xr:uid="{00000000-0005-0000-0000-00009C010000}"/>
    <cellStyle name="Normal 347" xfId="480" xr:uid="{00000000-0005-0000-0000-00009D010000}"/>
    <cellStyle name="Normal 348" xfId="481" xr:uid="{00000000-0005-0000-0000-00009E010000}"/>
    <cellStyle name="Normal 349" xfId="482" xr:uid="{00000000-0005-0000-0000-00009F010000}"/>
    <cellStyle name="Normal 35" xfId="36" xr:uid="{00000000-0005-0000-0000-0000A0010000}"/>
    <cellStyle name="Normal 350" xfId="483" xr:uid="{00000000-0005-0000-0000-0000A1010000}"/>
    <cellStyle name="Normal 351" xfId="484" xr:uid="{00000000-0005-0000-0000-0000A2010000}"/>
    <cellStyle name="Normal 352" xfId="485" xr:uid="{00000000-0005-0000-0000-0000A3010000}"/>
    <cellStyle name="Normal 353" xfId="486" xr:uid="{00000000-0005-0000-0000-0000A4010000}"/>
    <cellStyle name="Normal 354" xfId="487" xr:uid="{00000000-0005-0000-0000-0000A5010000}"/>
    <cellStyle name="Normal 355" xfId="488" xr:uid="{00000000-0005-0000-0000-0000A6010000}"/>
    <cellStyle name="Normal 356" xfId="489" xr:uid="{00000000-0005-0000-0000-0000A7010000}"/>
    <cellStyle name="Normal 357" xfId="490" xr:uid="{00000000-0005-0000-0000-0000A8010000}"/>
    <cellStyle name="Normal 358" xfId="491" xr:uid="{00000000-0005-0000-0000-0000A9010000}"/>
    <cellStyle name="Normal 359" xfId="492" xr:uid="{00000000-0005-0000-0000-0000AA010000}"/>
    <cellStyle name="Normal 36" xfId="35" xr:uid="{00000000-0005-0000-0000-0000AB010000}"/>
    <cellStyle name="Normal 360" xfId="493" xr:uid="{00000000-0005-0000-0000-0000AC010000}"/>
    <cellStyle name="Normal 361" xfId="494" xr:uid="{00000000-0005-0000-0000-0000AD010000}"/>
    <cellStyle name="Normal 362" xfId="495" xr:uid="{00000000-0005-0000-0000-0000AE010000}"/>
    <cellStyle name="Normal 363" xfId="496" xr:uid="{00000000-0005-0000-0000-0000AF010000}"/>
    <cellStyle name="Normal 364" xfId="497" xr:uid="{00000000-0005-0000-0000-0000B0010000}"/>
    <cellStyle name="Normal 365" xfId="498" xr:uid="{00000000-0005-0000-0000-0000B1010000}"/>
    <cellStyle name="Normal 366" xfId="499" xr:uid="{00000000-0005-0000-0000-0000B2010000}"/>
    <cellStyle name="Normal 367" xfId="500" xr:uid="{00000000-0005-0000-0000-0000B3010000}"/>
    <cellStyle name="Normal 368" xfId="501" xr:uid="{00000000-0005-0000-0000-0000B4010000}"/>
    <cellStyle name="Normal 369" xfId="502" xr:uid="{00000000-0005-0000-0000-0000B5010000}"/>
    <cellStyle name="Normal 37" xfId="38" xr:uid="{00000000-0005-0000-0000-0000B6010000}"/>
    <cellStyle name="Normal 370" xfId="503" xr:uid="{00000000-0005-0000-0000-0000B7010000}"/>
    <cellStyle name="Normal 371" xfId="504" xr:uid="{00000000-0005-0000-0000-0000B8010000}"/>
    <cellStyle name="Normal 372" xfId="505" xr:uid="{00000000-0005-0000-0000-0000B9010000}"/>
    <cellStyle name="Normal 373" xfId="506" xr:uid="{00000000-0005-0000-0000-0000BA010000}"/>
    <cellStyle name="Normal 374" xfId="507" xr:uid="{00000000-0005-0000-0000-0000BB010000}"/>
    <cellStyle name="Normal 375" xfId="508" xr:uid="{00000000-0005-0000-0000-0000BC010000}"/>
    <cellStyle name="Normal 376" xfId="509" xr:uid="{00000000-0005-0000-0000-0000BD010000}"/>
    <cellStyle name="Normal 377" xfId="510" xr:uid="{00000000-0005-0000-0000-0000BE010000}"/>
    <cellStyle name="Normal 378" xfId="511" xr:uid="{00000000-0005-0000-0000-0000BF010000}"/>
    <cellStyle name="Normal 379" xfId="512" xr:uid="{00000000-0005-0000-0000-0000C0010000}"/>
    <cellStyle name="Normal 38" xfId="37" xr:uid="{00000000-0005-0000-0000-0000C1010000}"/>
    <cellStyle name="Normal 380" xfId="513" xr:uid="{00000000-0005-0000-0000-0000C2010000}"/>
    <cellStyle name="Normal 381" xfId="514" xr:uid="{00000000-0005-0000-0000-0000C3010000}"/>
    <cellStyle name="Normal 382" xfId="515" xr:uid="{00000000-0005-0000-0000-0000C4010000}"/>
    <cellStyle name="Normal 383" xfId="516" xr:uid="{00000000-0005-0000-0000-0000C5010000}"/>
    <cellStyle name="Normal 384" xfId="517" xr:uid="{00000000-0005-0000-0000-0000C6010000}"/>
    <cellStyle name="Normal 385" xfId="518" xr:uid="{00000000-0005-0000-0000-0000C7010000}"/>
    <cellStyle name="Normal 386" xfId="519" xr:uid="{00000000-0005-0000-0000-0000C8010000}"/>
    <cellStyle name="Normal 387" xfId="520" xr:uid="{00000000-0005-0000-0000-0000C9010000}"/>
    <cellStyle name="Normal 388" xfId="521" xr:uid="{00000000-0005-0000-0000-0000CA010000}"/>
    <cellStyle name="Normal 389" xfId="522" xr:uid="{00000000-0005-0000-0000-0000CB010000}"/>
    <cellStyle name="Normal 39" xfId="39" xr:uid="{00000000-0005-0000-0000-0000CC010000}"/>
    <cellStyle name="Normal 390" xfId="523" xr:uid="{00000000-0005-0000-0000-0000CD010000}"/>
    <cellStyle name="Normal 391" xfId="524" xr:uid="{00000000-0005-0000-0000-0000CE010000}"/>
    <cellStyle name="Normal 392" xfId="525" xr:uid="{00000000-0005-0000-0000-0000CF010000}"/>
    <cellStyle name="Normal 393" xfId="526" xr:uid="{00000000-0005-0000-0000-0000D0010000}"/>
    <cellStyle name="Normal 394" xfId="527" xr:uid="{00000000-0005-0000-0000-0000D1010000}"/>
    <cellStyle name="Normal 395" xfId="528" xr:uid="{00000000-0005-0000-0000-0000D2010000}"/>
    <cellStyle name="Normal 396" xfId="529" xr:uid="{00000000-0005-0000-0000-0000D3010000}"/>
    <cellStyle name="Normal 397" xfId="530" xr:uid="{00000000-0005-0000-0000-0000D4010000}"/>
    <cellStyle name="Normal 398" xfId="531" xr:uid="{00000000-0005-0000-0000-0000D5010000}"/>
    <cellStyle name="Normal 399" xfId="532" xr:uid="{00000000-0005-0000-0000-0000D6010000}"/>
    <cellStyle name="Normal 4" xfId="4" xr:uid="{00000000-0005-0000-0000-0000D7010000}"/>
    <cellStyle name="Normal 4 2" xfId="168" xr:uid="{00000000-0005-0000-0000-0000D8010000}"/>
    <cellStyle name="Normal 40" xfId="40" xr:uid="{00000000-0005-0000-0000-0000D9010000}"/>
    <cellStyle name="Normal 400" xfId="533" xr:uid="{00000000-0005-0000-0000-0000DA010000}"/>
    <cellStyle name="Normal 401" xfId="534" xr:uid="{00000000-0005-0000-0000-0000DB010000}"/>
    <cellStyle name="Normal 402" xfId="535" xr:uid="{00000000-0005-0000-0000-0000DC010000}"/>
    <cellStyle name="Normal 403" xfId="536" xr:uid="{00000000-0005-0000-0000-0000DD010000}"/>
    <cellStyle name="Normal 404" xfId="537" xr:uid="{00000000-0005-0000-0000-0000DE010000}"/>
    <cellStyle name="Normal 405" xfId="538" xr:uid="{00000000-0005-0000-0000-0000DF010000}"/>
    <cellStyle name="Normal 406" xfId="539" xr:uid="{00000000-0005-0000-0000-0000E0010000}"/>
    <cellStyle name="Normal 407" xfId="540" xr:uid="{00000000-0005-0000-0000-0000E1010000}"/>
    <cellStyle name="Normal 408" xfId="541" xr:uid="{00000000-0005-0000-0000-0000E2010000}"/>
    <cellStyle name="Normal 409" xfId="542" xr:uid="{00000000-0005-0000-0000-0000E3010000}"/>
    <cellStyle name="Normal 41" xfId="41" xr:uid="{00000000-0005-0000-0000-0000E4010000}"/>
    <cellStyle name="Normal 410" xfId="543" xr:uid="{00000000-0005-0000-0000-0000E5010000}"/>
    <cellStyle name="Normal 411" xfId="544" xr:uid="{00000000-0005-0000-0000-0000E6010000}"/>
    <cellStyle name="Normal 412" xfId="545" xr:uid="{00000000-0005-0000-0000-0000E7010000}"/>
    <cellStyle name="Normal 413" xfId="546" xr:uid="{00000000-0005-0000-0000-0000E8010000}"/>
    <cellStyle name="Normal 414" xfId="547" xr:uid="{00000000-0005-0000-0000-0000E9010000}"/>
    <cellStyle name="Normal 415" xfId="548" xr:uid="{00000000-0005-0000-0000-0000EA010000}"/>
    <cellStyle name="Normal 416" xfId="549" xr:uid="{00000000-0005-0000-0000-0000EB010000}"/>
    <cellStyle name="Normal 417" xfId="550" xr:uid="{00000000-0005-0000-0000-0000EC010000}"/>
    <cellStyle name="Normal 418" xfId="551" xr:uid="{00000000-0005-0000-0000-0000ED010000}"/>
    <cellStyle name="Normal 419" xfId="552" xr:uid="{00000000-0005-0000-0000-0000EE010000}"/>
    <cellStyle name="Normal 42" xfId="42" xr:uid="{00000000-0005-0000-0000-0000EF010000}"/>
    <cellStyle name="Normal 420" xfId="553" xr:uid="{00000000-0005-0000-0000-0000F0010000}"/>
    <cellStyle name="Normal 421" xfId="554" xr:uid="{00000000-0005-0000-0000-0000F1010000}"/>
    <cellStyle name="Normal 422" xfId="555" xr:uid="{00000000-0005-0000-0000-0000F2010000}"/>
    <cellStyle name="Normal 423" xfId="556" xr:uid="{00000000-0005-0000-0000-0000F3010000}"/>
    <cellStyle name="Normal 424" xfId="557" xr:uid="{00000000-0005-0000-0000-0000F4010000}"/>
    <cellStyle name="Normal 425" xfId="558" xr:uid="{00000000-0005-0000-0000-0000F5010000}"/>
    <cellStyle name="Normal 426" xfId="559" xr:uid="{00000000-0005-0000-0000-0000F6010000}"/>
    <cellStyle name="Normal 427" xfId="560" xr:uid="{00000000-0005-0000-0000-0000F7010000}"/>
    <cellStyle name="Normal 428" xfId="561" xr:uid="{00000000-0005-0000-0000-0000F8010000}"/>
    <cellStyle name="Normal 429" xfId="562" xr:uid="{00000000-0005-0000-0000-0000F9010000}"/>
    <cellStyle name="Normal 43" xfId="43" xr:uid="{00000000-0005-0000-0000-0000FA010000}"/>
    <cellStyle name="Normal 430" xfId="563" xr:uid="{00000000-0005-0000-0000-0000FB010000}"/>
    <cellStyle name="Normal 431" xfId="564" xr:uid="{00000000-0005-0000-0000-0000FC010000}"/>
    <cellStyle name="Normal 432" xfId="565" xr:uid="{00000000-0005-0000-0000-0000FD010000}"/>
    <cellStyle name="Normal 433" xfId="566" xr:uid="{00000000-0005-0000-0000-0000FE010000}"/>
    <cellStyle name="Normal 434" xfId="567" xr:uid="{00000000-0005-0000-0000-0000FF010000}"/>
    <cellStyle name="Normal 435" xfId="568" xr:uid="{00000000-0005-0000-0000-000000020000}"/>
    <cellStyle name="Normal 436" xfId="569" xr:uid="{00000000-0005-0000-0000-000001020000}"/>
    <cellStyle name="Normal 437" xfId="570" xr:uid="{00000000-0005-0000-0000-000002020000}"/>
    <cellStyle name="Normal 438" xfId="571" xr:uid="{00000000-0005-0000-0000-000003020000}"/>
    <cellStyle name="Normal 439" xfId="572" xr:uid="{00000000-0005-0000-0000-000004020000}"/>
    <cellStyle name="Normal 44" xfId="44" xr:uid="{00000000-0005-0000-0000-000005020000}"/>
    <cellStyle name="Normal 440" xfId="573" xr:uid="{00000000-0005-0000-0000-000006020000}"/>
    <cellStyle name="Normal 441" xfId="574" xr:uid="{00000000-0005-0000-0000-000007020000}"/>
    <cellStyle name="Normal 442" xfId="575" xr:uid="{00000000-0005-0000-0000-000008020000}"/>
    <cellStyle name="Normal 443" xfId="576" xr:uid="{00000000-0005-0000-0000-000009020000}"/>
    <cellStyle name="Normal 444" xfId="577" xr:uid="{00000000-0005-0000-0000-00000A020000}"/>
    <cellStyle name="Normal 445" xfId="578" xr:uid="{00000000-0005-0000-0000-00000B020000}"/>
    <cellStyle name="Normal 446" xfId="579" xr:uid="{00000000-0005-0000-0000-00000C020000}"/>
    <cellStyle name="Normal 447" xfId="580" xr:uid="{00000000-0005-0000-0000-00000D020000}"/>
    <cellStyle name="Normal 448" xfId="581" xr:uid="{00000000-0005-0000-0000-00000E020000}"/>
    <cellStyle name="Normal 449" xfId="582" xr:uid="{00000000-0005-0000-0000-00000F020000}"/>
    <cellStyle name="Normal 45" xfId="45" xr:uid="{00000000-0005-0000-0000-000010020000}"/>
    <cellStyle name="Normal 450" xfId="583" xr:uid="{00000000-0005-0000-0000-000011020000}"/>
    <cellStyle name="Normal 451" xfId="584" xr:uid="{00000000-0005-0000-0000-000012020000}"/>
    <cellStyle name="Normal 452" xfId="585" xr:uid="{00000000-0005-0000-0000-000013020000}"/>
    <cellStyle name="Normal 453" xfId="586" xr:uid="{00000000-0005-0000-0000-000014020000}"/>
    <cellStyle name="Normal 454" xfId="587" xr:uid="{00000000-0005-0000-0000-000015020000}"/>
    <cellStyle name="Normal 455" xfId="588" xr:uid="{00000000-0005-0000-0000-000016020000}"/>
    <cellStyle name="Normal 456" xfId="589" xr:uid="{00000000-0005-0000-0000-000017020000}"/>
    <cellStyle name="Normal 457" xfId="590" xr:uid="{00000000-0005-0000-0000-000018020000}"/>
    <cellStyle name="Normal 458" xfId="591" xr:uid="{00000000-0005-0000-0000-000019020000}"/>
    <cellStyle name="Normal 459" xfId="592" xr:uid="{00000000-0005-0000-0000-00001A020000}"/>
    <cellStyle name="Normal 46" xfId="46" xr:uid="{00000000-0005-0000-0000-00001B020000}"/>
    <cellStyle name="Normal 460" xfId="593" xr:uid="{00000000-0005-0000-0000-00001C020000}"/>
    <cellStyle name="Normal 461" xfId="594" xr:uid="{00000000-0005-0000-0000-00001D020000}"/>
    <cellStyle name="Normal 462" xfId="595" xr:uid="{00000000-0005-0000-0000-00001E020000}"/>
    <cellStyle name="Normal 463" xfId="596" xr:uid="{00000000-0005-0000-0000-00001F020000}"/>
    <cellStyle name="Normal 464" xfId="597" xr:uid="{00000000-0005-0000-0000-000020020000}"/>
    <cellStyle name="Normal 465" xfId="598" xr:uid="{00000000-0005-0000-0000-000021020000}"/>
    <cellStyle name="Normal 466" xfId="599" xr:uid="{00000000-0005-0000-0000-000022020000}"/>
    <cellStyle name="Normal 467" xfId="600" xr:uid="{00000000-0005-0000-0000-000023020000}"/>
    <cellStyle name="Normal 468" xfId="601" xr:uid="{00000000-0005-0000-0000-000024020000}"/>
    <cellStyle name="Normal 469" xfId="602" xr:uid="{00000000-0005-0000-0000-000025020000}"/>
    <cellStyle name="Normal 47" xfId="47" xr:uid="{00000000-0005-0000-0000-000026020000}"/>
    <cellStyle name="Normal 470" xfId="603" xr:uid="{00000000-0005-0000-0000-000027020000}"/>
    <cellStyle name="Normal 471" xfId="604" xr:uid="{00000000-0005-0000-0000-000028020000}"/>
    <cellStyle name="Normal 472" xfId="605" xr:uid="{00000000-0005-0000-0000-000029020000}"/>
    <cellStyle name="Normal 473" xfId="606" xr:uid="{00000000-0005-0000-0000-00002A020000}"/>
    <cellStyle name="Normal 474" xfId="607" xr:uid="{00000000-0005-0000-0000-00002B020000}"/>
    <cellStyle name="Normal 475" xfId="608" xr:uid="{00000000-0005-0000-0000-00002C020000}"/>
    <cellStyle name="Normal 476" xfId="609" xr:uid="{00000000-0005-0000-0000-00002D020000}"/>
    <cellStyle name="Normal 477" xfId="610" xr:uid="{00000000-0005-0000-0000-00002E020000}"/>
    <cellStyle name="Normal 478" xfId="611" xr:uid="{00000000-0005-0000-0000-00002F020000}"/>
    <cellStyle name="Normal 479" xfId="612" xr:uid="{00000000-0005-0000-0000-000030020000}"/>
    <cellStyle name="Normal 48" xfId="48" xr:uid="{00000000-0005-0000-0000-000031020000}"/>
    <cellStyle name="Normal 480" xfId="613" xr:uid="{00000000-0005-0000-0000-000032020000}"/>
    <cellStyle name="Normal 481" xfId="614" xr:uid="{00000000-0005-0000-0000-000033020000}"/>
    <cellStyle name="Normal 482" xfId="615" xr:uid="{00000000-0005-0000-0000-000034020000}"/>
    <cellStyle name="Normal 483" xfId="616" xr:uid="{00000000-0005-0000-0000-000035020000}"/>
    <cellStyle name="Normal 484" xfId="617" xr:uid="{00000000-0005-0000-0000-000036020000}"/>
    <cellStyle name="Normal 485" xfId="618" xr:uid="{00000000-0005-0000-0000-000037020000}"/>
    <cellStyle name="Normal 486" xfId="619" xr:uid="{00000000-0005-0000-0000-000038020000}"/>
    <cellStyle name="Normal 487" xfId="620" xr:uid="{00000000-0005-0000-0000-000039020000}"/>
    <cellStyle name="Normal 488" xfId="621" xr:uid="{00000000-0005-0000-0000-00003A020000}"/>
    <cellStyle name="Normal 489" xfId="622" xr:uid="{00000000-0005-0000-0000-00003B020000}"/>
    <cellStyle name="Normal 49" xfId="49" xr:uid="{00000000-0005-0000-0000-00003C020000}"/>
    <cellStyle name="Normal 490" xfId="623" xr:uid="{00000000-0005-0000-0000-00003D020000}"/>
    <cellStyle name="Normal 491" xfId="624" xr:uid="{00000000-0005-0000-0000-00003E020000}"/>
    <cellStyle name="Normal 492" xfId="625" xr:uid="{00000000-0005-0000-0000-00003F020000}"/>
    <cellStyle name="Normal 493" xfId="626" xr:uid="{00000000-0005-0000-0000-000040020000}"/>
    <cellStyle name="Normal 494" xfId="627" xr:uid="{00000000-0005-0000-0000-000041020000}"/>
    <cellStyle name="Normal 495" xfId="628" xr:uid="{00000000-0005-0000-0000-000042020000}"/>
    <cellStyle name="Normal 496" xfId="629" xr:uid="{00000000-0005-0000-0000-000043020000}"/>
    <cellStyle name="Normal 497" xfId="630" xr:uid="{00000000-0005-0000-0000-000044020000}"/>
    <cellStyle name="Normal 498" xfId="631" xr:uid="{00000000-0005-0000-0000-000045020000}"/>
    <cellStyle name="Normal 499" xfId="632" xr:uid="{00000000-0005-0000-0000-000046020000}"/>
    <cellStyle name="Normal 5" xfId="5" xr:uid="{00000000-0005-0000-0000-000047020000}"/>
    <cellStyle name="Normal 5 2" xfId="169" xr:uid="{00000000-0005-0000-0000-000048020000}"/>
    <cellStyle name="Normal 50" xfId="50" xr:uid="{00000000-0005-0000-0000-000049020000}"/>
    <cellStyle name="Normal 500" xfId="633" xr:uid="{00000000-0005-0000-0000-00004A020000}"/>
    <cellStyle name="Normal 501" xfId="634" xr:uid="{00000000-0005-0000-0000-00004B020000}"/>
    <cellStyle name="Normal 502" xfId="635" xr:uid="{00000000-0005-0000-0000-00004C020000}"/>
    <cellStyle name="Normal 503" xfId="636" xr:uid="{00000000-0005-0000-0000-00004D020000}"/>
    <cellStyle name="Normal 504" xfId="637" xr:uid="{00000000-0005-0000-0000-00004E020000}"/>
    <cellStyle name="Normal 505" xfId="638" xr:uid="{00000000-0005-0000-0000-00004F020000}"/>
    <cellStyle name="Normal 506" xfId="639" xr:uid="{00000000-0005-0000-0000-000050020000}"/>
    <cellStyle name="Normal 507" xfId="640" xr:uid="{00000000-0005-0000-0000-000051020000}"/>
    <cellStyle name="Normal 508" xfId="641" xr:uid="{00000000-0005-0000-0000-000052020000}"/>
    <cellStyle name="Normal 509" xfId="642" xr:uid="{00000000-0005-0000-0000-000053020000}"/>
    <cellStyle name="Normal 51" xfId="51" xr:uid="{00000000-0005-0000-0000-000054020000}"/>
    <cellStyle name="Normal 510" xfId="643" xr:uid="{00000000-0005-0000-0000-000055020000}"/>
    <cellStyle name="Normal 511" xfId="644" xr:uid="{00000000-0005-0000-0000-000056020000}"/>
    <cellStyle name="Normal 512" xfId="645" xr:uid="{00000000-0005-0000-0000-000057020000}"/>
    <cellStyle name="Normal 513" xfId="646" xr:uid="{00000000-0005-0000-0000-000058020000}"/>
    <cellStyle name="Normal 514" xfId="647" xr:uid="{00000000-0005-0000-0000-000059020000}"/>
    <cellStyle name="Normal 515" xfId="648" xr:uid="{00000000-0005-0000-0000-00005A020000}"/>
    <cellStyle name="Normal 516" xfId="649" xr:uid="{00000000-0005-0000-0000-00005B020000}"/>
    <cellStyle name="Normal 517" xfId="650" xr:uid="{00000000-0005-0000-0000-00005C020000}"/>
    <cellStyle name="Normal 518" xfId="651" xr:uid="{00000000-0005-0000-0000-00005D020000}"/>
    <cellStyle name="Normal 519" xfId="652" xr:uid="{00000000-0005-0000-0000-00005E020000}"/>
    <cellStyle name="Normal 52" xfId="52" xr:uid="{00000000-0005-0000-0000-00005F020000}"/>
    <cellStyle name="Normal 520" xfId="653" xr:uid="{00000000-0005-0000-0000-000060020000}"/>
    <cellStyle name="Normal 521" xfId="654" xr:uid="{00000000-0005-0000-0000-000061020000}"/>
    <cellStyle name="Normal 522" xfId="655" xr:uid="{00000000-0005-0000-0000-000062020000}"/>
    <cellStyle name="Normal 523" xfId="656" xr:uid="{00000000-0005-0000-0000-000063020000}"/>
    <cellStyle name="Normal 524" xfId="657" xr:uid="{00000000-0005-0000-0000-000064020000}"/>
    <cellStyle name="Normal 525" xfId="658" xr:uid="{00000000-0005-0000-0000-000065020000}"/>
    <cellStyle name="Normal 526" xfId="659" xr:uid="{00000000-0005-0000-0000-000066020000}"/>
    <cellStyle name="Normal 527" xfId="660" xr:uid="{00000000-0005-0000-0000-000067020000}"/>
    <cellStyle name="Normal 528" xfId="661" xr:uid="{00000000-0005-0000-0000-000068020000}"/>
    <cellStyle name="Normal 529" xfId="662" xr:uid="{00000000-0005-0000-0000-000069020000}"/>
    <cellStyle name="Normal 53" xfId="53" xr:uid="{00000000-0005-0000-0000-00006A020000}"/>
    <cellStyle name="Normal 530" xfId="663" xr:uid="{00000000-0005-0000-0000-00006B020000}"/>
    <cellStyle name="Normal 531" xfId="664" xr:uid="{00000000-0005-0000-0000-00006C020000}"/>
    <cellStyle name="Normal 532" xfId="665" xr:uid="{00000000-0005-0000-0000-00006D020000}"/>
    <cellStyle name="Normal 533" xfId="666" xr:uid="{00000000-0005-0000-0000-00006E020000}"/>
    <cellStyle name="Normal 534" xfId="667" xr:uid="{00000000-0005-0000-0000-00006F020000}"/>
    <cellStyle name="Normal 535" xfId="668" xr:uid="{00000000-0005-0000-0000-000070020000}"/>
    <cellStyle name="Normal 536" xfId="669" xr:uid="{00000000-0005-0000-0000-000071020000}"/>
    <cellStyle name="Normal 537" xfId="670" xr:uid="{00000000-0005-0000-0000-000072020000}"/>
    <cellStyle name="Normal 538" xfId="671" xr:uid="{00000000-0005-0000-0000-000073020000}"/>
    <cellStyle name="Normal 539" xfId="672" xr:uid="{00000000-0005-0000-0000-000074020000}"/>
    <cellStyle name="Normal 54" xfId="54" xr:uid="{00000000-0005-0000-0000-000075020000}"/>
    <cellStyle name="Normal 540" xfId="673" xr:uid="{00000000-0005-0000-0000-000076020000}"/>
    <cellStyle name="Normal 541" xfId="674" xr:uid="{00000000-0005-0000-0000-000077020000}"/>
    <cellStyle name="Normal 542" xfId="675" xr:uid="{00000000-0005-0000-0000-000078020000}"/>
    <cellStyle name="Normal 543" xfId="676" xr:uid="{00000000-0005-0000-0000-000079020000}"/>
    <cellStyle name="Normal 544" xfId="677" xr:uid="{00000000-0005-0000-0000-00007A020000}"/>
    <cellStyle name="Normal 545" xfId="678" xr:uid="{00000000-0005-0000-0000-00007B020000}"/>
    <cellStyle name="Normal 546" xfId="679" xr:uid="{00000000-0005-0000-0000-00007C020000}"/>
    <cellStyle name="Normal 547" xfId="680" xr:uid="{00000000-0005-0000-0000-00007D020000}"/>
    <cellStyle name="Normal 548" xfId="681" xr:uid="{00000000-0005-0000-0000-00007E020000}"/>
    <cellStyle name="Normal 549" xfId="682" xr:uid="{00000000-0005-0000-0000-00007F020000}"/>
    <cellStyle name="Normal 55" xfId="55" xr:uid="{00000000-0005-0000-0000-000080020000}"/>
    <cellStyle name="Normal 550" xfId="683" xr:uid="{00000000-0005-0000-0000-000081020000}"/>
    <cellStyle name="Normal 551" xfId="684" xr:uid="{00000000-0005-0000-0000-000082020000}"/>
    <cellStyle name="Normal 552" xfId="685" xr:uid="{00000000-0005-0000-0000-000083020000}"/>
    <cellStyle name="Normal 553" xfId="686" xr:uid="{00000000-0005-0000-0000-000084020000}"/>
    <cellStyle name="Normal 554" xfId="687" xr:uid="{00000000-0005-0000-0000-000085020000}"/>
    <cellStyle name="Normal 555" xfId="688" xr:uid="{00000000-0005-0000-0000-000086020000}"/>
    <cellStyle name="Normal 556" xfId="689" xr:uid="{00000000-0005-0000-0000-000087020000}"/>
    <cellStyle name="Normal 557" xfId="690" xr:uid="{00000000-0005-0000-0000-000088020000}"/>
    <cellStyle name="Normal 558" xfId="691" xr:uid="{00000000-0005-0000-0000-000089020000}"/>
    <cellStyle name="Normal 559" xfId="692" xr:uid="{00000000-0005-0000-0000-00008A020000}"/>
    <cellStyle name="Normal 56" xfId="56" xr:uid="{00000000-0005-0000-0000-00008B020000}"/>
    <cellStyle name="Normal 560" xfId="693" xr:uid="{00000000-0005-0000-0000-00008C020000}"/>
    <cellStyle name="Normal 561" xfId="694" xr:uid="{00000000-0005-0000-0000-00008D020000}"/>
    <cellStyle name="Normal 562" xfId="695" xr:uid="{00000000-0005-0000-0000-00008E020000}"/>
    <cellStyle name="Normal 563" xfId="696" xr:uid="{00000000-0005-0000-0000-00008F020000}"/>
    <cellStyle name="Normal 564" xfId="697" xr:uid="{00000000-0005-0000-0000-000090020000}"/>
    <cellStyle name="Normal 565" xfId="698" xr:uid="{00000000-0005-0000-0000-000091020000}"/>
    <cellStyle name="Normal 566" xfId="699" xr:uid="{00000000-0005-0000-0000-000092020000}"/>
    <cellStyle name="Normal 567" xfId="700" xr:uid="{00000000-0005-0000-0000-000093020000}"/>
    <cellStyle name="Normal 568" xfId="701" xr:uid="{00000000-0005-0000-0000-000094020000}"/>
    <cellStyle name="Normal 569" xfId="702" xr:uid="{00000000-0005-0000-0000-000095020000}"/>
    <cellStyle name="Normal 57" xfId="57" xr:uid="{00000000-0005-0000-0000-000096020000}"/>
    <cellStyle name="Normal 570" xfId="703" xr:uid="{00000000-0005-0000-0000-000097020000}"/>
    <cellStyle name="Normal 571" xfId="704" xr:uid="{00000000-0005-0000-0000-000098020000}"/>
    <cellStyle name="Normal 572" xfId="705" xr:uid="{00000000-0005-0000-0000-000099020000}"/>
    <cellStyle name="Normal 573" xfId="706" xr:uid="{00000000-0005-0000-0000-00009A020000}"/>
    <cellStyle name="Normal 574" xfId="707" xr:uid="{00000000-0005-0000-0000-00009B020000}"/>
    <cellStyle name="Normal 575" xfId="708" xr:uid="{00000000-0005-0000-0000-00009C020000}"/>
    <cellStyle name="Normal 576" xfId="709" xr:uid="{00000000-0005-0000-0000-00009D020000}"/>
    <cellStyle name="Normal 577" xfId="710" xr:uid="{00000000-0005-0000-0000-00009E020000}"/>
    <cellStyle name="Normal 578" xfId="711" xr:uid="{00000000-0005-0000-0000-00009F020000}"/>
    <cellStyle name="Normal 579" xfId="712" xr:uid="{00000000-0005-0000-0000-0000A0020000}"/>
    <cellStyle name="Normal 58" xfId="58" xr:uid="{00000000-0005-0000-0000-0000A1020000}"/>
    <cellStyle name="Normal 580" xfId="713" xr:uid="{00000000-0005-0000-0000-0000A2020000}"/>
    <cellStyle name="Normal 581" xfId="714" xr:uid="{00000000-0005-0000-0000-0000A3020000}"/>
    <cellStyle name="Normal 582" xfId="715" xr:uid="{00000000-0005-0000-0000-0000A4020000}"/>
    <cellStyle name="Normal 583" xfId="716" xr:uid="{00000000-0005-0000-0000-0000A5020000}"/>
    <cellStyle name="Normal 584" xfId="717" xr:uid="{00000000-0005-0000-0000-0000A6020000}"/>
    <cellStyle name="Normal 585" xfId="718" xr:uid="{00000000-0005-0000-0000-0000A7020000}"/>
    <cellStyle name="Normal 586" xfId="719" xr:uid="{00000000-0005-0000-0000-0000A8020000}"/>
    <cellStyle name="Normal 587" xfId="720" xr:uid="{00000000-0005-0000-0000-0000A9020000}"/>
    <cellStyle name="Normal 588" xfId="721" xr:uid="{00000000-0005-0000-0000-0000AA020000}"/>
    <cellStyle name="Normal 589" xfId="722" xr:uid="{00000000-0005-0000-0000-0000AB020000}"/>
    <cellStyle name="Normal 59" xfId="59" xr:uid="{00000000-0005-0000-0000-0000AC020000}"/>
    <cellStyle name="Normal 590" xfId="723" xr:uid="{00000000-0005-0000-0000-0000AD020000}"/>
    <cellStyle name="Normal 591" xfId="724" xr:uid="{00000000-0005-0000-0000-0000AE020000}"/>
    <cellStyle name="Normal 592" xfId="725" xr:uid="{00000000-0005-0000-0000-0000AF020000}"/>
    <cellStyle name="Normal 593" xfId="726" xr:uid="{00000000-0005-0000-0000-0000B0020000}"/>
    <cellStyle name="Normal 594" xfId="727" xr:uid="{00000000-0005-0000-0000-0000B1020000}"/>
    <cellStyle name="Normal 595" xfId="728" xr:uid="{00000000-0005-0000-0000-0000B2020000}"/>
    <cellStyle name="Normal 596" xfId="729" xr:uid="{00000000-0005-0000-0000-0000B3020000}"/>
    <cellStyle name="Normal 597" xfId="730" xr:uid="{00000000-0005-0000-0000-0000B4020000}"/>
    <cellStyle name="Normal 598" xfId="731" xr:uid="{00000000-0005-0000-0000-0000B5020000}"/>
    <cellStyle name="Normal 599" xfId="732" xr:uid="{00000000-0005-0000-0000-0000B6020000}"/>
    <cellStyle name="Normal 6" xfId="6" xr:uid="{00000000-0005-0000-0000-0000B7020000}"/>
    <cellStyle name="Normal 6 2" xfId="170" xr:uid="{00000000-0005-0000-0000-0000B8020000}"/>
    <cellStyle name="Normal 60" xfId="60" xr:uid="{00000000-0005-0000-0000-0000B9020000}"/>
    <cellStyle name="Normal 600" xfId="733" xr:uid="{00000000-0005-0000-0000-0000BA020000}"/>
    <cellStyle name="Normal 601" xfId="734" xr:uid="{00000000-0005-0000-0000-0000BB020000}"/>
    <cellStyle name="Normal 602" xfId="735" xr:uid="{00000000-0005-0000-0000-0000BC020000}"/>
    <cellStyle name="Normal 603" xfId="736" xr:uid="{00000000-0005-0000-0000-0000BD020000}"/>
    <cellStyle name="Normal 604" xfId="737" xr:uid="{00000000-0005-0000-0000-0000BE020000}"/>
    <cellStyle name="Normal 605" xfId="738" xr:uid="{00000000-0005-0000-0000-0000BF020000}"/>
    <cellStyle name="Normal 606" xfId="739" xr:uid="{00000000-0005-0000-0000-0000C0020000}"/>
    <cellStyle name="Normal 607" xfId="740" xr:uid="{00000000-0005-0000-0000-0000C1020000}"/>
    <cellStyle name="Normal 608" xfId="741" xr:uid="{00000000-0005-0000-0000-0000C2020000}"/>
    <cellStyle name="Normal 609" xfId="742" xr:uid="{00000000-0005-0000-0000-0000C3020000}"/>
    <cellStyle name="Normal 61" xfId="61" xr:uid="{00000000-0005-0000-0000-0000C4020000}"/>
    <cellStyle name="Normal 610" xfId="743" xr:uid="{00000000-0005-0000-0000-0000C5020000}"/>
    <cellStyle name="Normal 611" xfId="744" xr:uid="{00000000-0005-0000-0000-0000C6020000}"/>
    <cellStyle name="Normal 612" xfId="745" xr:uid="{00000000-0005-0000-0000-0000C7020000}"/>
    <cellStyle name="Normal 613" xfId="746" xr:uid="{00000000-0005-0000-0000-0000C8020000}"/>
    <cellStyle name="Normal 614" xfId="747" xr:uid="{00000000-0005-0000-0000-0000C9020000}"/>
    <cellStyle name="Normal 615" xfId="748" xr:uid="{00000000-0005-0000-0000-0000CA020000}"/>
    <cellStyle name="Normal 616" xfId="749" xr:uid="{00000000-0005-0000-0000-0000CB020000}"/>
    <cellStyle name="Normal 617" xfId="750" xr:uid="{00000000-0005-0000-0000-0000CC020000}"/>
    <cellStyle name="Normal 618" xfId="751" xr:uid="{00000000-0005-0000-0000-0000CD020000}"/>
    <cellStyle name="Normal 619" xfId="752" xr:uid="{00000000-0005-0000-0000-0000CE020000}"/>
    <cellStyle name="Normal 62" xfId="62" xr:uid="{00000000-0005-0000-0000-0000CF020000}"/>
    <cellStyle name="Normal 620" xfId="753" xr:uid="{00000000-0005-0000-0000-0000D0020000}"/>
    <cellStyle name="Normal 621" xfId="754" xr:uid="{00000000-0005-0000-0000-0000D1020000}"/>
    <cellStyle name="Normal 622" xfId="755" xr:uid="{00000000-0005-0000-0000-0000D2020000}"/>
    <cellStyle name="Normal 623" xfId="756" xr:uid="{00000000-0005-0000-0000-0000D3020000}"/>
    <cellStyle name="Normal 624" xfId="757" xr:uid="{00000000-0005-0000-0000-0000D4020000}"/>
    <cellStyle name="Normal 625" xfId="758" xr:uid="{00000000-0005-0000-0000-0000D5020000}"/>
    <cellStyle name="Normal 626" xfId="759" xr:uid="{00000000-0005-0000-0000-0000D6020000}"/>
    <cellStyle name="Normal 627" xfId="760" xr:uid="{00000000-0005-0000-0000-0000D7020000}"/>
    <cellStyle name="Normal 628" xfId="761" xr:uid="{00000000-0005-0000-0000-0000D8020000}"/>
    <cellStyle name="Normal 629" xfId="762" xr:uid="{00000000-0005-0000-0000-0000D9020000}"/>
    <cellStyle name="Normal 63" xfId="63" xr:uid="{00000000-0005-0000-0000-0000DA020000}"/>
    <cellStyle name="Normal 630" xfId="763" xr:uid="{00000000-0005-0000-0000-0000DB020000}"/>
    <cellStyle name="Normal 631" xfId="764" xr:uid="{00000000-0005-0000-0000-0000DC020000}"/>
    <cellStyle name="Normal 632" xfId="765" xr:uid="{00000000-0005-0000-0000-0000DD020000}"/>
    <cellStyle name="Normal 633" xfId="766" xr:uid="{00000000-0005-0000-0000-0000DE020000}"/>
    <cellStyle name="Normal 634" xfId="767" xr:uid="{00000000-0005-0000-0000-0000DF020000}"/>
    <cellStyle name="Normal 635" xfId="768" xr:uid="{00000000-0005-0000-0000-0000E0020000}"/>
    <cellStyle name="Normal 636" xfId="769" xr:uid="{00000000-0005-0000-0000-0000E1020000}"/>
    <cellStyle name="Normal 637" xfId="770" xr:uid="{00000000-0005-0000-0000-0000E2020000}"/>
    <cellStyle name="Normal 638" xfId="771" xr:uid="{00000000-0005-0000-0000-0000E3020000}"/>
    <cellStyle name="Normal 639" xfId="772" xr:uid="{00000000-0005-0000-0000-0000E4020000}"/>
    <cellStyle name="Normal 64" xfId="64" xr:uid="{00000000-0005-0000-0000-0000E5020000}"/>
    <cellStyle name="Normal 640" xfId="773" xr:uid="{00000000-0005-0000-0000-0000E6020000}"/>
    <cellStyle name="Normal 641" xfId="774" xr:uid="{00000000-0005-0000-0000-0000E7020000}"/>
    <cellStyle name="Normal 642" xfId="775" xr:uid="{00000000-0005-0000-0000-0000E8020000}"/>
    <cellStyle name="Normal 643" xfId="776" xr:uid="{00000000-0005-0000-0000-0000E9020000}"/>
    <cellStyle name="Normal 644" xfId="777" xr:uid="{00000000-0005-0000-0000-0000EA020000}"/>
    <cellStyle name="Normal 645" xfId="778" xr:uid="{00000000-0005-0000-0000-0000EB020000}"/>
    <cellStyle name="Normal 646" xfId="779" xr:uid="{00000000-0005-0000-0000-0000EC020000}"/>
    <cellStyle name="Normal 647" xfId="780" xr:uid="{00000000-0005-0000-0000-0000ED020000}"/>
    <cellStyle name="Normal 648" xfId="781" xr:uid="{00000000-0005-0000-0000-0000EE020000}"/>
    <cellStyle name="Normal 649" xfId="782" xr:uid="{00000000-0005-0000-0000-0000EF020000}"/>
    <cellStyle name="Normal 65" xfId="65" xr:uid="{00000000-0005-0000-0000-0000F0020000}"/>
    <cellStyle name="Normal 650" xfId="783" xr:uid="{00000000-0005-0000-0000-0000F1020000}"/>
    <cellStyle name="Normal 651" xfId="784" xr:uid="{00000000-0005-0000-0000-0000F2020000}"/>
    <cellStyle name="Normal 652" xfId="785" xr:uid="{00000000-0005-0000-0000-0000F3020000}"/>
    <cellStyle name="Normal 653" xfId="786" xr:uid="{00000000-0005-0000-0000-0000F4020000}"/>
    <cellStyle name="Normal 654" xfId="787" xr:uid="{00000000-0005-0000-0000-0000F5020000}"/>
    <cellStyle name="Normal 655" xfId="788" xr:uid="{00000000-0005-0000-0000-0000F6020000}"/>
    <cellStyle name="Normal 656" xfId="789" xr:uid="{00000000-0005-0000-0000-0000F7020000}"/>
    <cellStyle name="Normal 657" xfId="790" xr:uid="{00000000-0005-0000-0000-0000F8020000}"/>
    <cellStyle name="Normal 658" xfId="791" xr:uid="{00000000-0005-0000-0000-0000F9020000}"/>
    <cellStyle name="Normal 659" xfId="792" xr:uid="{00000000-0005-0000-0000-0000FA020000}"/>
    <cellStyle name="Normal 66" xfId="66" xr:uid="{00000000-0005-0000-0000-0000FB020000}"/>
    <cellStyle name="Normal 660" xfId="793" xr:uid="{00000000-0005-0000-0000-0000FC020000}"/>
    <cellStyle name="Normal 661" xfId="794" xr:uid="{00000000-0005-0000-0000-0000FD020000}"/>
    <cellStyle name="Normal 662" xfId="795" xr:uid="{00000000-0005-0000-0000-0000FE020000}"/>
    <cellStyle name="Normal 663" xfId="796" xr:uid="{00000000-0005-0000-0000-0000FF020000}"/>
    <cellStyle name="Normal 664" xfId="797" xr:uid="{00000000-0005-0000-0000-000000030000}"/>
    <cellStyle name="Normal 665" xfId="798" xr:uid="{00000000-0005-0000-0000-000001030000}"/>
    <cellStyle name="Normal 666" xfId="799" xr:uid="{00000000-0005-0000-0000-000002030000}"/>
    <cellStyle name="Normal 667" xfId="800" xr:uid="{00000000-0005-0000-0000-000003030000}"/>
    <cellStyle name="Normal 668" xfId="801" xr:uid="{00000000-0005-0000-0000-000004030000}"/>
    <cellStyle name="Normal 669" xfId="802" xr:uid="{00000000-0005-0000-0000-000005030000}"/>
    <cellStyle name="Normal 67" xfId="67" xr:uid="{00000000-0005-0000-0000-000006030000}"/>
    <cellStyle name="Normal 670" xfId="803" xr:uid="{00000000-0005-0000-0000-000007030000}"/>
    <cellStyle name="Normal 671" xfId="804" xr:uid="{00000000-0005-0000-0000-000008030000}"/>
    <cellStyle name="Normal 672" xfId="805" xr:uid="{00000000-0005-0000-0000-000009030000}"/>
    <cellStyle name="Normal 673" xfId="806" xr:uid="{00000000-0005-0000-0000-00000A030000}"/>
    <cellStyle name="Normal 674" xfId="807" xr:uid="{00000000-0005-0000-0000-00000B030000}"/>
    <cellStyle name="Normal 675" xfId="808" xr:uid="{00000000-0005-0000-0000-00000C030000}"/>
    <cellStyle name="Normal 676" xfId="809" xr:uid="{00000000-0005-0000-0000-00000D030000}"/>
    <cellStyle name="Normal 677" xfId="810" xr:uid="{00000000-0005-0000-0000-00000E030000}"/>
    <cellStyle name="Normal 678" xfId="811" xr:uid="{00000000-0005-0000-0000-00000F030000}"/>
    <cellStyle name="Normal 679" xfId="812" xr:uid="{00000000-0005-0000-0000-000010030000}"/>
    <cellStyle name="Normal 68" xfId="68" xr:uid="{00000000-0005-0000-0000-000011030000}"/>
    <cellStyle name="Normal 680" xfId="813" xr:uid="{00000000-0005-0000-0000-000012030000}"/>
    <cellStyle name="Normal 681" xfId="814" xr:uid="{00000000-0005-0000-0000-000013030000}"/>
    <cellStyle name="Normal 682" xfId="815" xr:uid="{00000000-0005-0000-0000-000014030000}"/>
    <cellStyle name="Normal 683" xfId="816" xr:uid="{00000000-0005-0000-0000-000015030000}"/>
    <cellStyle name="Normal 684" xfId="817" xr:uid="{00000000-0005-0000-0000-000016030000}"/>
    <cellStyle name="Normal 685" xfId="818" xr:uid="{00000000-0005-0000-0000-000017030000}"/>
    <cellStyle name="Normal 686" xfId="819" xr:uid="{00000000-0005-0000-0000-000018030000}"/>
    <cellStyle name="Normal 687" xfId="820" xr:uid="{00000000-0005-0000-0000-000019030000}"/>
    <cellStyle name="Normal 688" xfId="821" xr:uid="{00000000-0005-0000-0000-00001A030000}"/>
    <cellStyle name="Normal 689" xfId="822" xr:uid="{00000000-0005-0000-0000-00001B030000}"/>
    <cellStyle name="Normal 69" xfId="69" xr:uid="{00000000-0005-0000-0000-00001C030000}"/>
    <cellStyle name="Normal 690" xfId="823" xr:uid="{00000000-0005-0000-0000-00001D030000}"/>
    <cellStyle name="Normal 691" xfId="824" xr:uid="{00000000-0005-0000-0000-00001E030000}"/>
    <cellStyle name="Normal 692" xfId="825" xr:uid="{00000000-0005-0000-0000-00001F030000}"/>
    <cellStyle name="Normal 693" xfId="826" xr:uid="{00000000-0005-0000-0000-000020030000}"/>
    <cellStyle name="Normal 694" xfId="827" xr:uid="{00000000-0005-0000-0000-000021030000}"/>
    <cellStyle name="Normal 695" xfId="828" xr:uid="{00000000-0005-0000-0000-000022030000}"/>
    <cellStyle name="Normal 696" xfId="829" xr:uid="{00000000-0005-0000-0000-000023030000}"/>
    <cellStyle name="Normal 697" xfId="830" xr:uid="{00000000-0005-0000-0000-000024030000}"/>
    <cellStyle name="Normal 698" xfId="831" xr:uid="{00000000-0005-0000-0000-000025030000}"/>
    <cellStyle name="Normal 699" xfId="832" xr:uid="{00000000-0005-0000-0000-000026030000}"/>
    <cellStyle name="Normal 7" xfId="7" xr:uid="{00000000-0005-0000-0000-000027030000}"/>
    <cellStyle name="Normal 7 2" xfId="171" xr:uid="{00000000-0005-0000-0000-000028030000}"/>
    <cellStyle name="Normal 70" xfId="70" xr:uid="{00000000-0005-0000-0000-000029030000}"/>
    <cellStyle name="Normal 700" xfId="833" xr:uid="{00000000-0005-0000-0000-00002A030000}"/>
    <cellStyle name="Normal 701" xfId="834" xr:uid="{00000000-0005-0000-0000-00002B030000}"/>
    <cellStyle name="Normal 702" xfId="835" xr:uid="{00000000-0005-0000-0000-00002C030000}"/>
    <cellStyle name="Normal 703" xfId="836" xr:uid="{00000000-0005-0000-0000-00002D030000}"/>
    <cellStyle name="Normal 704" xfId="837" xr:uid="{00000000-0005-0000-0000-00002E030000}"/>
    <cellStyle name="Normal 705" xfId="838" xr:uid="{00000000-0005-0000-0000-00002F030000}"/>
    <cellStyle name="Normal 706" xfId="839" xr:uid="{00000000-0005-0000-0000-000030030000}"/>
    <cellStyle name="Normal 707" xfId="840" xr:uid="{00000000-0005-0000-0000-000031030000}"/>
    <cellStyle name="Normal 708" xfId="841" xr:uid="{00000000-0005-0000-0000-000032030000}"/>
    <cellStyle name="Normal 709" xfId="842" xr:uid="{00000000-0005-0000-0000-000033030000}"/>
    <cellStyle name="Normal 71" xfId="71" xr:uid="{00000000-0005-0000-0000-000034030000}"/>
    <cellStyle name="Normal 710" xfId="843" xr:uid="{00000000-0005-0000-0000-000035030000}"/>
    <cellStyle name="Normal 711" xfId="844" xr:uid="{00000000-0005-0000-0000-000036030000}"/>
    <cellStyle name="Normal 712" xfId="845" xr:uid="{00000000-0005-0000-0000-000037030000}"/>
    <cellStyle name="Normal 713" xfId="846" xr:uid="{00000000-0005-0000-0000-000038030000}"/>
    <cellStyle name="Normal 714" xfId="847" xr:uid="{00000000-0005-0000-0000-000039030000}"/>
    <cellStyle name="Normal 715" xfId="848" xr:uid="{00000000-0005-0000-0000-00003A030000}"/>
    <cellStyle name="Normal 716" xfId="849" xr:uid="{00000000-0005-0000-0000-00003B030000}"/>
    <cellStyle name="Normal 717" xfId="850" xr:uid="{00000000-0005-0000-0000-00003C030000}"/>
    <cellStyle name="Normal 718" xfId="851" xr:uid="{00000000-0005-0000-0000-00003D030000}"/>
    <cellStyle name="Normal 719" xfId="852" xr:uid="{00000000-0005-0000-0000-00003E030000}"/>
    <cellStyle name="Normal 72" xfId="72" xr:uid="{00000000-0005-0000-0000-00003F030000}"/>
    <cellStyle name="Normal 720" xfId="853" xr:uid="{00000000-0005-0000-0000-000040030000}"/>
    <cellStyle name="Normal 721" xfId="854" xr:uid="{00000000-0005-0000-0000-000041030000}"/>
    <cellStyle name="Normal 722" xfId="855" xr:uid="{00000000-0005-0000-0000-000042030000}"/>
    <cellStyle name="Normal 723" xfId="856" xr:uid="{00000000-0005-0000-0000-000043030000}"/>
    <cellStyle name="Normal 724" xfId="857" xr:uid="{00000000-0005-0000-0000-000044030000}"/>
    <cellStyle name="Normal 725" xfId="858" xr:uid="{00000000-0005-0000-0000-000045030000}"/>
    <cellStyle name="Normal 726" xfId="859" xr:uid="{00000000-0005-0000-0000-000046030000}"/>
    <cellStyle name="Normal 727" xfId="860" xr:uid="{00000000-0005-0000-0000-000047030000}"/>
    <cellStyle name="Normal 728" xfId="861" xr:uid="{00000000-0005-0000-0000-000048030000}"/>
    <cellStyle name="Normal 729" xfId="862" xr:uid="{00000000-0005-0000-0000-000049030000}"/>
    <cellStyle name="Normal 73" xfId="73" xr:uid="{00000000-0005-0000-0000-00004A030000}"/>
    <cellStyle name="Normal 730" xfId="863" xr:uid="{00000000-0005-0000-0000-00004B030000}"/>
    <cellStyle name="Normal 731" xfId="864" xr:uid="{00000000-0005-0000-0000-00004C030000}"/>
    <cellStyle name="Normal 732" xfId="865" xr:uid="{00000000-0005-0000-0000-00004D030000}"/>
    <cellStyle name="Normal 733" xfId="866" xr:uid="{00000000-0005-0000-0000-00004E030000}"/>
    <cellStyle name="Normal 734" xfId="867" xr:uid="{00000000-0005-0000-0000-00004F030000}"/>
    <cellStyle name="Normal 735" xfId="868" xr:uid="{00000000-0005-0000-0000-000050030000}"/>
    <cellStyle name="Normal 736" xfId="869" xr:uid="{00000000-0005-0000-0000-000051030000}"/>
    <cellStyle name="Normal 737" xfId="870" xr:uid="{00000000-0005-0000-0000-000052030000}"/>
    <cellStyle name="Normal 738" xfId="871" xr:uid="{00000000-0005-0000-0000-000053030000}"/>
    <cellStyle name="Normal 739" xfId="872" xr:uid="{00000000-0005-0000-0000-000054030000}"/>
    <cellStyle name="Normal 74" xfId="74" xr:uid="{00000000-0005-0000-0000-000055030000}"/>
    <cellStyle name="Normal 740" xfId="873" xr:uid="{00000000-0005-0000-0000-000056030000}"/>
    <cellStyle name="Normal 741" xfId="874" xr:uid="{00000000-0005-0000-0000-000057030000}"/>
    <cellStyle name="Normal 742" xfId="875" xr:uid="{00000000-0005-0000-0000-000058030000}"/>
    <cellStyle name="Normal 743" xfId="876" xr:uid="{00000000-0005-0000-0000-000059030000}"/>
    <cellStyle name="Normal 744" xfId="877" xr:uid="{00000000-0005-0000-0000-00005A030000}"/>
    <cellStyle name="Normal 745" xfId="878" xr:uid="{00000000-0005-0000-0000-00005B030000}"/>
    <cellStyle name="Normal 746" xfId="879" xr:uid="{00000000-0005-0000-0000-00005C030000}"/>
    <cellStyle name="Normal 747" xfId="880" xr:uid="{00000000-0005-0000-0000-00005D030000}"/>
    <cellStyle name="Normal 748" xfId="881" xr:uid="{00000000-0005-0000-0000-00005E030000}"/>
    <cellStyle name="Normal 749" xfId="882" xr:uid="{00000000-0005-0000-0000-00005F030000}"/>
    <cellStyle name="Normal 75" xfId="208" xr:uid="{00000000-0005-0000-0000-000060030000}"/>
    <cellStyle name="Normal 750" xfId="883" xr:uid="{00000000-0005-0000-0000-000061030000}"/>
    <cellStyle name="Normal 751" xfId="884" xr:uid="{00000000-0005-0000-0000-000062030000}"/>
    <cellStyle name="Normal 752" xfId="885" xr:uid="{00000000-0005-0000-0000-000063030000}"/>
    <cellStyle name="Normal 753" xfId="886" xr:uid="{00000000-0005-0000-0000-000064030000}"/>
    <cellStyle name="Normal 754" xfId="887" xr:uid="{00000000-0005-0000-0000-000065030000}"/>
    <cellStyle name="Normal 755" xfId="888" xr:uid="{00000000-0005-0000-0000-000066030000}"/>
    <cellStyle name="Normal 756" xfId="889" xr:uid="{00000000-0005-0000-0000-000067030000}"/>
    <cellStyle name="Normal 757" xfId="890" xr:uid="{00000000-0005-0000-0000-000068030000}"/>
    <cellStyle name="Normal 758" xfId="891" xr:uid="{00000000-0005-0000-0000-000069030000}"/>
    <cellStyle name="Normal 759" xfId="892" xr:uid="{00000000-0005-0000-0000-00006A030000}"/>
    <cellStyle name="Normal 76" xfId="209" xr:uid="{00000000-0005-0000-0000-00006B030000}"/>
    <cellStyle name="Normal 760" xfId="893" xr:uid="{00000000-0005-0000-0000-00006C030000}"/>
    <cellStyle name="Normal 761" xfId="894" xr:uid="{00000000-0005-0000-0000-00006D030000}"/>
    <cellStyle name="Normal 762" xfId="895" xr:uid="{00000000-0005-0000-0000-00006E030000}"/>
    <cellStyle name="Normal 763" xfId="896" xr:uid="{00000000-0005-0000-0000-00006F030000}"/>
    <cellStyle name="Normal 764" xfId="897" xr:uid="{00000000-0005-0000-0000-000070030000}"/>
    <cellStyle name="Normal 765" xfId="898" xr:uid="{00000000-0005-0000-0000-000071030000}"/>
    <cellStyle name="Normal 766" xfId="899" xr:uid="{00000000-0005-0000-0000-000072030000}"/>
    <cellStyle name="Normal 767" xfId="900" xr:uid="{00000000-0005-0000-0000-000073030000}"/>
    <cellStyle name="Normal 768" xfId="901" xr:uid="{00000000-0005-0000-0000-000074030000}"/>
    <cellStyle name="Normal 769" xfId="902" xr:uid="{00000000-0005-0000-0000-000075030000}"/>
    <cellStyle name="Normal 77" xfId="210" xr:uid="{00000000-0005-0000-0000-000076030000}"/>
    <cellStyle name="Normal 770" xfId="903" xr:uid="{00000000-0005-0000-0000-000077030000}"/>
    <cellStyle name="Normal 771" xfId="904" xr:uid="{00000000-0005-0000-0000-000078030000}"/>
    <cellStyle name="Normal 772" xfId="905" xr:uid="{00000000-0005-0000-0000-000079030000}"/>
    <cellStyle name="Normal 773" xfId="906" xr:uid="{00000000-0005-0000-0000-00007A030000}"/>
    <cellStyle name="Normal 774" xfId="907" xr:uid="{00000000-0005-0000-0000-00007B030000}"/>
    <cellStyle name="Normal 775" xfId="908" xr:uid="{00000000-0005-0000-0000-00007C030000}"/>
    <cellStyle name="Normal 776" xfId="909" xr:uid="{00000000-0005-0000-0000-00007D030000}"/>
    <cellStyle name="Normal 777" xfId="910" xr:uid="{00000000-0005-0000-0000-00007E030000}"/>
    <cellStyle name="Normal 778" xfId="911" xr:uid="{00000000-0005-0000-0000-00007F030000}"/>
    <cellStyle name="Normal 779" xfId="912" xr:uid="{00000000-0005-0000-0000-000080030000}"/>
    <cellStyle name="Normal 78" xfId="211" xr:uid="{00000000-0005-0000-0000-000081030000}"/>
    <cellStyle name="Normal 780" xfId="913" xr:uid="{00000000-0005-0000-0000-000082030000}"/>
    <cellStyle name="Normal 781" xfId="914" xr:uid="{00000000-0005-0000-0000-000083030000}"/>
    <cellStyle name="Normal 782" xfId="915" xr:uid="{00000000-0005-0000-0000-000084030000}"/>
    <cellStyle name="Normal 783" xfId="916" xr:uid="{00000000-0005-0000-0000-000085030000}"/>
    <cellStyle name="Normal 784" xfId="917" xr:uid="{00000000-0005-0000-0000-000086030000}"/>
    <cellStyle name="Normal 785" xfId="918" xr:uid="{00000000-0005-0000-0000-000087030000}"/>
    <cellStyle name="Normal 786" xfId="919" xr:uid="{00000000-0005-0000-0000-000088030000}"/>
    <cellStyle name="Normal 787" xfId="920" xr:uid="{00000000-0005-0000-0000-000089030000}"/>
    <cellStyle name="Normal 788" xfId="921" xr:uid="{00000000-0005-0000-0000-00008A030000}"/>
    <cellStyle name="Normal 789" xfId="922" xr:uid="{00000000-0005-0000-0000-00008B030000}"/>
    <cellStyle name="Normal 79" xfId="212" xr:uid="{00000000-0005-0000-0000-00008C030000}"/>
    <cellStyle name="Normal 790" xfId="923" xr:uid="{00000000-0005-0000-0000-00008D030000}"/>
    <cellStyle name="Normal 791" xfId="924" xr:uid="{00000000-0005-0000-0000-00008E030000}"/>
    <cellStyle name="Normal 792" xfId="925" xr:uid="{00000000-0005-0000-0000-00008F030000}"/>
    <cellStyle name="Normal 793" xfId="926" xr:uid="{00000000-0005-0000-0000-000090030000}"/>
    <cellStyle name="Normal 794" xfId="927" xr:uid="{00000000-0005-0000-0000-000091030000}"/>
    <cellStyle name="Normal 795" xfId="928" xr:uid="{00000000-0005-0000-0000-000092030000}"/>
    <cellStyle name="Normal 796" xfId="929" xr:uid="{00000000-0005-0000-0000-000093030000}"/>
    <cellStyle name="Normal 797" xfId="930" xr:uid="{00000000-0005-0000-0000-000094030000}"/>
    <cellStyle name="Normal 798" xfId="931" xr:uid="{00000000-0005-0000-0000-000095030000}"/>
    <cellStyle name="Normal 799" xfId="932" xr:uid="{00000000-0005-0000-0000-000096030000}"/>
    <cellStyle name="Normal 8" xfId="8" xr:uid="{00000000-0005-0000-0000-000097030000}"/>
    <cellStyle name="Normal 8 2" xfId="172" xr:uid="{00000000-0005-0000-0000-000098030000}"/>
    <cellStyle name="Normal 80" xfId="213" xr:uid="{00000000-0005-0000-0000-000099030000}"/>
    <cellStyle name="Normal 800" xfId="933" xr:uid="{00000000-0005-0000-0000-00009A030000}"/>
    <cellStyle name="Normal 801" xfId="934" xr:uid="{00000000-0005-0000-0000-00009B030000}"/>
    <cellStyle name="Normal 802" xfId="935" xr:uid="{00000000-0005-0000-0000-00009C030000}"/>
    <cellStyle name="Normal 803" xfId="936" xr:uid="{00000000-0005-0000-0000-00009D030000}"/>
    <cellStyle name="Normal 804" xfId="937" xr:uid="{00000000-0005-0000-0000-00009E030000}"/>
    <cellStyle name="Normal 805" xfId="938" xr:uid="{00000000-0005-0000-0000-00009F030000}"/>
    <cellStyle name="Normal 806" xfId="939" xr:uid="{00000000-0005-0000-0000-0000A0030000}"/>
    <cellStyle name="Normal 807" xfId="940" xr:uid="{00000000-0005-0000-0000-0000A1030000}"/>
    <cellStyle name="Normal 808" xfId="941" xr:uid="{00000000-0005-0000-0000-0000A2030000}"/>
    <cellStyle name="Normal 809" xfId="942" xr:uid="{00000000-0005-0000-0000-0000A3030000}"/>
    <cellStyle name="Normal 81" xfId="214" xr:uid="{00000000-0005-0000-0000-0000A4030000}"/>
    <cellStyle name="Normal 810" xfId="943" xr:uid="{00000000-0005-0000-0000-0000A5030000}"/>
    <cellStyle name="Normal 811" xfId="944" xr:uid="{00000000-0005-0000-0000-0000A6030000}"/>
    <cellStyle name="Normal 812" xfId="945" xr:uid="{00000000-0005-0000-0000-0000A7030000}"/>
    <cellStyle name="Normal 813" xfId="946" xr:uid="{00000000-0005-0000-0000-0000A8030000}"/>
    <cellStyle name="Normal 814" xfId="947" xr:uid="{00000000-0005-0000-0000-0000A9030000}"/>
    <cellStyle name="Normal 815" xfId="948" xr:uid="{00000000-0005-0000-0000-0000AA030000}"/>
    <cellStyle name="Normal 816" xfId="949" xr:uid="{00000000-0005-0000-0000-0000AB030000}"/>
    <cellStyle name="Normal 817" xfId="950" xr:uid="{00000000-0005-0000-0000-0000AC030000}"/>
    <cellStyle name="Normal 818" xfId="951" xr:uid="{00000000-0005-0000-0000-0000AD030000}"/>
    <cellStyle name="Normal 819" xfId="952" xr:uid="{00000000-0005-0000-0000-0000AE030000}"/>
    <cellStyle name="Normal 82" xfId="215" xr:uid="{00000000-0005-0000-0000-0000AF030000}"/>
    <cellStyle name="Normal 820" xfId="953" xr:uid="{00000000-0005-0000-0000-0000B0030000}"/>
    <cellStyle name="Normal 821" xfId="954" xr:uid="{00000000-0005-0000-0000-0000B1030000}"/>
    <cellStyle name="Normal 822" xfId="955" xr:uid="{00000000-0005-0000-0000-0000B2030000}"/>
    <cellStyle name="Normal 823" xfId="956" xr:uid="{00000000-0005-0000-0000-0000B3030000}"/>
    <cellStyle name="Normal 824" xfId="957" xr:uid="{00000000-0005-0000-0000-0000B4030000}"/>
    <cellStyle name="Normal 825" xfId="958" xr:uid="{00000000-0005-0000-0000-0000B5030000}"/>
    <cellStyle name="Normal 826" xfId="959" xr:uid="{00000000-0005-0000-0000-0000B6030000}"/>
    <cellStyle name="Normal 827" xfId="960" xr:uid="{00000000-0005-0000-0000-0000B7030000}"/>
    <cellStyle name="Normal 828" xfId="961" xr:uid="{00000000-0005-0000-0000-0000B8030000}"/>
    <cellStyle name="Normal 829" xfId="962" xr:uid="{00000000-0005-0000-0000-0000B9030000}"/>
    <cellStyle name="Normal 83" xfId="216" xr:uid="{00000000-0005-0000-0000-0000BA030000}"/>
    <cellStyle name="Normal 830" xfId="963" xr:uid="{00000000-0005-0000-0000-0000BB030000}"/>
    <cellStyle name="Normal 831" xfId="964" xr:uid="{00000000-0005-0000-0000-0000BC030000}"/>
    <cellStyle name="Normal 832" xfId="965" xr:uid="{00000000-0005-0000-0000-0000BD030000}"/>
    <cellStyle name="Normal 833" xfId="966" xr:uid="{00000000-0005-0000-0000-0000BE030000}"/>
    <cellStyle name="Normal 834" xfId="967" xr:uid="{00000000-0005-0000-0000-0000BF030000}"/>
    <cellStyle name="Normal 835" xfId="968" xr:uid="{00000000-0005-0000-0000-0000C0030000}"/>
    <cellStyle name="Normal 836" xfId="969" xr:uid="{00000000-0005-0000-0000-0000C1030000}"/>
    <cellStyle name="Normal 837" xfId="970" xr:uid="{00000000-0005-0000-0000-0000C2030000}"/>
    <cellStyle name="Normal 838" xfId="971" xr:uid="{00000000-0005-0000-0000-0000C3030000}"/>
    <cellStyle name="Normal 839" xfId="972" xr:uid="{00000000-0005-0000-0000-0000C4030000}"/>
    <cellStyle name="Normal 84" xfId="217" xr:uid="{00000000-0005-0000-0000-0000C5030000}"/>
    <cellStyle name="Normal 840" xfId="973" xr:uid="{00000000-0005-0000-0000-0000C6030000}"/>
    <cellStyle name="Normal 841" xfId="974" xr:uid="{00000000-0005-0000-0000-0000C7030000}"/>
    <cellStyle name="Normal 842" xfId="975" xr:uid="{00000000-0005-0000-0000-0000C8030000}"/>
    <cellStyle name="Normal 843" xfId="976" xr:uid="{00000000-0005-0000-0000-0000C9030000}"/>
    <cellStyle name="Normal 844" xfId="977" xr:uid="{00000000-0005-0000-0000-0000CA030000}"/>
    <cellStyle name="Normal 845" xfId="978" xr:uid="{00000000-0005-0000-0000-0000CB030000}"/>
    <cellStyle name="Normal 846" xfId="979" xr:uid="{00000000-0005-0000-0000-0000CC030000}"/>
    <cellStyle name="Normal 847" xfId="980" xr:uid="{00000000-0005-0000-0000-0000CD030000}"/>
    <cellStyle name="Normal 848" xfId="981" xr:uid="{00000000-0005-0000-0000-0000CE030000}"/>
    <cellStyle name="Normal 849" xfId="982" xr:uid="{00000000-0005-0000-0000-0000CF030000}"/>
    <cellStyle name="Normal 85" xfId="218" xr:uid="{00000000-0005-0000-0000-0000D0030000}"/>
    <cellStyle name="Normal 850" xfId="983" xr:uid="{00000000-0005-0000-0000-0000D1030000}"/>
    <cellStyle name="Normal 851" xfId="984" xr:uid="{00000000-0005-0000-0000-0000D2030000}"/>
    <cellStyle name="Normal 852" xfId="985" xr:uid="{00000000-0005-0000-0000-0000D3030000}"/>
    <cellStyle name="Normal 853" xfId="986" xr:uid="{00000000-0005-0000-0000-0000D4030000}"/>
    <cellStyle name="Normal 854" xfId="987" xr:uid="{00000000-0005-0000-0000-0000D5030000}"/>
    <cellStyle name="Normal 855" xfId="988" xr:uid="{00000000-0005-0000-0000-0000D6030000}"/>
    <cellStyle name="Normal 856" xfId="989" xr:uid="{00000000-0005-0000-0000-0000D7030000}"/>
    <cellStyle name="Normal 857" xfId="990" xr:uid="{00000000-0005-0000-0000-0000D8030000}"/>
    <cellStyle name="Normal 858" xfId="991" xr:uid="{00000000-0005-0000-0000-0000D9030000}"/>
    <cellStyle name="Normal 859" xfId="992" xr:uid="{00000000-0005-0000-0000-0000DA030000}"/>
    <cellStyle name="Normal 86" xfId="219" xr:uid="{00000000-0005-0000-0000-0000DB030000}"/>
    <cellStyle name="Normal 860" xfId="993" xr:uid="{00000000-0005-0000-0000-0000DC030000}"/>
    <cellStyle name="Normal 861" xfId="994" xr:uid="{00000000-0005-0000-0000-0000DD030000}"/>
    <cellStyle name="Normal 862" xfId="995" xr:uid="{00000000-0005-0000-0000-0000DE030000}"/>
    <cellStyle name="Normal 863" xfId="996" xr:uid="{00000000-0005-0000-0000-0000DF030000}"/>
    <cellStyle name="Normal 864" xfId="997" xr:uid="{00000000-0005-0000-0000-0000E0030000}"/>
    <cellStyle name="Normal 865" xfId="998" xr:uid="{00000000-0005-0000-0000-0000E1030000}"/>
    <cellStyle name="Normal 866" xfId="999" xr:uid="{00000000-0005-0000-0000-0000E2030000}"/>
    <cellStyle name="Normal 867" xfId="1000" xr:uid="{00000000-0005-0000-0000-0000E3030000}"/>
    <cellStyle name="Normal 868" xfId="1001" xr:uid="{00000000-0005-0000-0000-0000E4030000}"/>
    <cellStyle name="Normal 869" xfId="1002" xr:uid="{00000000-0005-0000-0000-0000E5030000}"/>
    <cellStyle name="Normal 87" xfId="220" xr:uid="{00000000-0005-0000-0000-0000E6030000}"/>
    <cellStyle name="Normal 870" xfId="1003" xr:uid="{00000000-0005-0000-0000-0000E7030000}"/>
    <cellStyle name="Normal 871" xfId="1004" xr:uid="{00000000-0005-0000-0000-0000E8030000}"/>
    <cellStyle name="Normal 872" xfId="1005" xr:uid="{00000000-0005-0000-0000-0000E9030000}"/>
    <cellStyle name="Normal 873" xfId="1006" xr:uid="{00000000-0005-0000-0000-0000EA030000}"/>
    <cellStyle name="Normal 874" xfId="1007" xr:uid="{00000000-0005-0000-0000-0000EB030000}"/>
    <cellStyle name="Normal 875" xfId="1008" xr:uid="{00000000-0005-0000-0000-0000EC030000}"/>
    <cellStyle name="Normal 876" xfId="1009" xr:uid="{00000000-0005-0000-0000-0000ED030000}"/>
    <cellStyle name="Normal 877" xfId="1010" xr:uid="{00000000-0005-0000-0000-0000EE030000}"/>
    <cellStyle name="Normal 878" xfId="1011" xr:uid="{00000000-0005-0000-0000-0000EF030000}"/>
    <cellStyle name="Normal 879" xfId="1012" xr:uid="{00000000-0005-0000-0000-0000F0030000}"/>
    <cellStyle name="Normal 88" xfId="221" xr:uid="{00000000-0005-0000-0000-0000F1030000}"/>
    <cellStyle name="Normal 880" xfId="1013" xr:uid="{00000000-0005-0000-0000-0000F2030000}"/>
    <cellStyle name="Normal 881" xfId="1014" xr:uid="{00000000-0005-0000-0000-0000F3030000}"/>
    <cellStyle name="Normal 882" xfId="1015" xr:uid="{00000000-0005-0000-0000-0000F4030000}"/>
    <cellStyle name="Normal 883" xfId="1016" xr:uid="{00000000-0005-0000-0000-0000F5030000}"/>
    <cellStyle name="Normal 884" xfId="1017" xr:uid="{00000000-0005-0000-0000-0000F6030000}"/>
    <cellStyle name="Normal 885" xfId="1018" xr:uid="{00000000-0005-0000-0000-0000F7030000}"/>
    <cellStyle name="Normal 886" xfId="1019" xr:uid="{00000000-0005-0000-0000-0000F8030000}"/>
    <cellStyle name="Normal 887" xfId="1020" xr:uid="{00000000-0005-0000-0000-0000F9030000}"/>
    <cellStyle name="Normal 888" xfId="1021" xr:uid="{00000000-0005-0000-0000-0000FA030000}"/>
    <cellStyle name="Normal 889" xfId="1022" xr:uid="{00000000-0005-0000-0000-0000FB030000}"/>
    <cellStyle name="Normal 89" xfId="222" xr:uid="{00000000-0005-0000-0000-0000FC030000}"/>
    <cellStyle name="Normal 890" xfId="1023" xr:uid="{00000000-0005-0000-0000-0000FD030000}"/>
    <cellStyle name="Normal 891" xfId="1024" xr:uid="{00000000-0005-0000-0000-0000FE030000}"/>
    <cellStyle name="Normal 892" xfId="1025" xr:uid="{00000000-0005-0000-0000-0000FF030000}"/>
    <cellStyle name="Normal 893" xfId="1026" xr:uid="{00000000-0005-0000-0000-000000040000}"/>
    <cellStyle name="Normal 894" xfId="1027" xr:uid="{00000000-0005-0000-0000-000001040000}"/>
    <cellStyle name="Normal 895" xfId="1028" xr:uid="{00000000-0005-0000-0000-000002040000}"/>
    <cellStyle name="Normal 896" xfId="1029" xr:uid="{00000000-0005-0000-0000-000003040000}"/>
    <cellStyle name="Normal 897" xfId="1030" xr:uid="{00000000-0005-0000-0000-000004040000}"/>
    <cellStyle name="Normal 898" xfId="1031" xr:uid="{00000000-0005-0000-0000-000005040000}"/>
    <cellStyle name="Normal 899" xfId="1032" xr:uid="{00000000-0005-0000-0000-000006040000}"/>
    <cellStyle name="Normal 9" xfId="10" xr:uid="{00000000-0005-0000-0000-000007040000}"/>
    <cellStyle name="Normal 9 2" xfId="173" xr:uid="{00000000-0005-0000-0000-000008040000}"/>
    <cellStyle name="Normal 90" xfId="223" xr:uid="{00000000-0005-0000-0000-000009040000}"/>
    <cellStyle name="Normal 900" xfId="1033" xr:uid="{00000000-0005-0000-0000-00000A040000}"/>
    <cellStyle name="Normal 901" xfId="1034" xr:uid="{00000000-0005-0000-0000-00000B040000}"/>
    <cellStyle name="Normal 902" xfId="1035" xr:uid="{00000000-0005-0000-0000-00000C040000}"/>
    <cellStyle name="Normal 903" xfId="1036" xr:uid="{00000000-0005-0000-0000-00000D040000}"/>
    <cellStyle name="Normal 904" xfId="1037" xr:uid="{00000000-0005-0000-0000-00000E040000}"/>
    <cellStyle name="Normal 905" xfId="1038" xr:uid="{00000000-0005-0000-0000-00000F040000}"/>
    <cellStyle name="Normal 906" xfId="1039" xr:uid="{00000000-0005-0000-0000-000010040000}"/>
    <cellStyle name="Normal 907" xfId="1040" xr:uid="{00000000-0005-0000-0000-000011040000}"/>
    <cellStyle name="Normal 908" xfId="1041" xr:uid="{00000000-0005-0000-0000-000012040000}"/>
    <cellStyle name="Normal 909" xfId="1042" xr:uid="{00000000-0005-0000-0000-000013040000}"/>
    <cellStyle name="Normal 91" xfId="224" xr:uid="{00000000-0005-0000-0000-000014040000}"/>
    <cellStyle name="Normal 910" xfId="1043" xr:uid="{00000000-0005-0000-0000-000015040000}"/>
    <cellStyle name="Normal 911" xfId="1044" xr:uid="{00000000-0005-0000-0000-000016040000}"/>
    <cellStyle name="Normal 912" xfId="1045" xr:uid="{00000000-0005-0000-0000-000017040000}"/>
    <cellStyle name="Normal 913" xfId="1046" xr:uid="{00000000-0005-0000-0000-000018040000}"/>
    <cellStyle name="Normal 914" xfId="1047" xr:uid="{00000000-0005-0000-0000-000019040000}"/>
    <cellStyle name="Normal 915" xfId="1048" xr:uid="{00000000-0005-0000-0000-00001A040000}"/>
    <cellStyle name="Normal 916" xfId="1049" xr:uid="{00000000-0005-0000-0000-00001B040000}"/>
    <cellStyle name="Normal 917" xfId="1050" xr:uid="{00000000-0005-0000-0000-00001C040000}"/>
    <cellStyle name="Normal 918" xfId="1051" xr:uid="{00000000-0005-0000-0000-00001D040000}"/>
    <cellStyle name="Normal 919" xfId="1052" xr:uid="{00000000-0005-0000-0000-00001E040000}"/>
    <cellStyle name="Normal 92" xfId="225" xr:uid="{00000000-0005-0000-0000-00001F040000}"/>
    <cellStyle name="Normal 920" xfId="1053" xr:uid="{00000000-0005-0000-0000-000020040000}"/>
    <cellStyle name="Normal 921" xfId="1054" xr:uid="{00000000-0005-0000-0000-000021040000}"/>
    <cellStyle name="Normal 922" xfId="1055" xr:uid="{00000000-0005-0000-0000-000022040000}"/>
    <cellStyle name="Normal 923" xfId="1056" xr:uid="{00000000-0005-0000-0000-000023040000}"/>
    <cellStyle name="Normal 924" xfId="1057" xr:uid="{00000000-0005-0000-0000-000024040000}"/>
    <cellStyle name="Normal 925" xfId="1058" xr:uid="{00000000-0005-0000-0000-000025040000}"/>
    <cellStyle name="Normal 926" xfId="1059" xr:uid="{00000000-0005-0000-0000-000026040000}"/>
    <cellStyle name="Normal 927" xfId="1060" xr:uid="{00000000-0005-0000-0000-000027040000}"/>
    <cellStyle name="Normal 928" xfId="1061" xr:uid="{00000000-0005-0000-0000-000028040000}"/>
    <cellStyle name="Normal 929" xfId="1062" xr:uid="{00000000-0005-0000-0000-000029040000}"/>
    <cellStyle name="Normal 93" xfId="226" xr:uid="{00000000-0005-0000-0000-00002A040000}"/>
    <cellStyle name="Normal 930" xfId="1063" xr:uid="{00000000-0005-0000-0000-00002B040000}"/>
    <cellStyle name="Normal 931" xfId="1064" xr:uid="{00000000-0005-0000-0000-00002C040000}"/>
    <cellStyle name="Normal 932" xfId="1065" xr:uid="{00000000-0005-0000-0000-00002D040000}"/>
    <cellStyle name="Normal 933" xfId="1066" xr:uid="{00000000-0005-0000-0000-00002E040000}"/>
    <cellStyle name="Normal 934" xfId="1067" xr:uid="{00000000-0005-0000-0000-00002F040000}"/>
    <cellStyle name="Normal 935" xfId="1068" xr:uid="{00000000-0005-0000-0000-000030040000}"/>
    <cellStyle name="Normal 936" xfId="1069" xr:uid="{00000000-0005-0000-0000-000031040000}"/>
    <cellStyle name="Normal 937" xfId="1070" xr:uid="{00000000-0005-0000-0000-000032040000}"/>
    <cellStyle name="Normal 938" xfId="1071" xr:uid="{00000000-0005-0000-0000-000033040000}"/>
    <cellStyle name="Normal 939" xfId="1072" xr:uid="{00000000-0005-0000-0000-000034040000}"/>
    <cellStyle name="Normal 94" xfId="227" xr:uid="{00000000-0005-0000-0000-000035040000}"/>
    <cellStyle name="Normal 940" xfId="1073" xr:uid="{00000000-0005-0000-0000-000036040000}"/>
    <cellStyle name="Normal 941" xfId="1074" xr:uid="{00000000-0005-0000-0000-000037040000}"/>
    <cellStyle name="Normal 942" xfId="1075" xr:uid="{00000000-0005-0000-0000-000038040000}"/>
    <cellStyle name="Normal 943" xfId="1076" xr:uid="{00000000-0005-0000-0000-000039040000}"/>
    <cellStyle name="Normal 944" xfId="1077" xr:uid="{00000000-0005-0000-0000-00003A040000}"/>
    <cellStyle name="Normal 945" xfId="1078" xr:uid="{00000000-0005-0000-0000-00003B040000}"/>
    <cellStyle name="Normal 946" xfId="1079" xr:uid="{00000000-0005-0000-0000-00003C040000}"/>
    <cellStyle name="Normal 947" xfId="1080" xr:uid="{00000000-0005-0000-0000-00003D040000}"/>
    <cellStyle name="Normal 948" xfId="1081" xr:uid="{00000000-0005-0000-0000-00003E040000}"/>
    <cellStyle name="Normal 949" xfId="1082" xr:uid="{00000000-0005-0000-0000-00003F040000}"/>
    <cellStyle name="Normal 95" xfId="228" xr:uid="{00000000-0005-0000-0000-000040040000}"/>
    <cellStyle name="Normal 950" xfId="1083" xr:uid="{00000000-0005-0000-0000-000041040000}"/>
    <cellStyle name="Normal 951" xfId="1084" xr:uid="{00000000-0005-0000-0000-000042040000}"/>
    <cellStyle name="Normal 952" xfId="1085" xr:uid="{00000000-0005-0000-0000-000043040000}"/>
    <cellStyle name="Normal 953" xfId="1086" xr:uid="{00000000-0005-0000-0000-000044040000}"/>
    <cellStyle name="Normal 954" xfId="1087" xr:uid="{00000000-0005-0000-0000-000045040000}"/>
    <cellStyle name="Normal 955" xfId="1088" xr:uid="{00000000-0005-0000-0000-000046040000}"/>
    <cellStyle name="Normal 956" xfId="1089" xr:uid="{00000000-0005-0000-0000-000047040000}"/>
    <cellStyle name="Normal 957" xfId="1090" xr:uid="{00000000-0005-0000-0000-000048040000}"/>
    <cellStyle name="Normal 958" xfId="1091" xr:uid="{00000000-0005-0000-0000-000049040000}"/>
    <cellStyle name="Normal 959" xfId="1092" xr:uid="{00000000-0005-0000-0000-00004A040000}"/>
    <cellStyle name="Normal 96" xfId="229" xr:uid="{00000000-0005-0000-0000-00004B040000}"/>
    <cellStyle name="Normal 960" xfId="1093" xr:uid="{00000000-0005-0000-0000-00004C040000}"/>
    <cellStyle name="Normal 961" xfId="1094" xr:uid="{00000000-0005-0000-0000-00004D040000}"/>
    <cellStyle name="Normal 962" xfId="1095" xr:uid="{00000000-0005-0000-0000-00004E040000}"/>
    <cellStyle name="Normal 963" xfId="1096" xr:uid="{00000000-0005-0000-0000-00004F040000}"/>
    <cellStyle name="Normal 964" xfId="1097" xr:uid="{00000000-0005-0000-0000-000050040000}"/>
    <cellStyle name="Normal 965" xfId="1098" xr:uid="{00000000-0005-0000-0000-000051040000}"/>
    <cellStyle name="Normal 966" xfId="1099" xr:uid="{00000000-0005-0000-0000-000052040000}"/>
    <cellStyle name="Normal 967" xfId="1100" xr:uid="{00000000-0005-0000-0000-000053040000}"/>
    <cellStyle name="Normal 968" xfId="1101" xr:uid="{00000000-0005-0000-0000-000054040000}"/>
    <cellStyle name="Normal 969" xfId="1102" xr:uid="{00000000-0005-0000-0000-000055040000}"/>
    <cellStyle name="Normal 97" xfId="230" xr:uid="{00000000-0005-0000-0000-000056040000}"/>
    <cellStyle name="Normal 970" xfId="1103" xr:uid="{00000000-0005-0000-0000-000057040000}"/>
    <cellStyle name="Normal 971" xfId="1104" xr:uid="{00000000-0005-0000-0000-000058040000}"/>
    <cellStyle name="Normal 972" xfId="1105" xr:uid="{00000000-0005-0000-0000-000059040000}"/>
    <cellStyle name="Normal 973" xfId="1106" xr:uid="{00000000-0005-0000-0000-00005A040000}"/>
    <cellStyle name="Normal 974" xfId="1107" xr:uid="{00000000-0005-0000-0000-00005B040000}"/>
    <cellStyle name="Normal 975" xfId="1108" xr:uid="{00000000-0005-0000-0000-00005C040000}"/>
    <cellStyle name="Normal 976" xfId="1109" xr:uid="{00000000-0005-0000-0000-00005D040000}"/>
    <cellStyle name="Normal 977" xfId="1110" xr:uid="{00000000-0005-0000-0000-00005E040000}"/>
    <cellStyle name="Normal 978" xfId="1111" xr:uid="{00000000-0005-0000-0000-00005F040000}"/>
    <cellStyle name="Normal 979" xfId="1112" xr:uid="{00000000-0005-0000-0000-000060040000}"/>
    <cellStyle name="Normal 98" xfId="231" xr:uid="{00000000-0005-0000-0000-000061040000}"/>
    <cellStyle name="Normal 980" xfId="1113" xr:uid="{00000000-0005-0000-0000-000062040000}"/>
    <cellStyle name="Normal 981" xfId="1114" xr:uid="{00000000-0005-0000-0000-000063040000}"/>
    <cellStyle name="Normal 982" xfId="1115" xr:uid="{00000000-0005-0000-0000-000064040000}"/>
    <cellStyle name="Normal 983" xfId="1116" xr:uid="{00000000-0005-0000-0000-000065040000}"/>
    <cellStyle name="Normal 984" xfId="1117" xr:uid="{00000000-0005-0000-0000-000066040000}"/>
    <cellStyle name="Normal 985" xfId="1118" xr:uid="{00000000-0005-0000-0000-000067040000}"/>
    <cellStyle name="Normal 986" xfId="1119" xr:uid="{00000000-0005-0000-0000-000068040000}"/>
    <cellStyle name="Normal 987" xfId="1120" xr:uid="{00000000-0005-0000-0000-000069040000}"/>
    <cellStyle name="Normal 988" xfId="1121" xr:uid="{00000000-0005-0000-0000-00006A040000}"/>
    <cellStyle name="Normal 989" xfId="1122" xr:uid="{00000000-0005-0000-0000-00006B040000}"/>
    <cellStyle name="Normal 99" xfId="232" xr:uid="{00000000-0005-0000-0000-00006C040000}"/>
    <cellStyle name="Normal 990" xfId="1123" xr:uid="{00000000-0005-0000-0000-00006D040000}"/>
    <cellStyle name="Normal 991" xfId="1124" xr:uid="{00000000-0005-0000-0000-00006E040000}"/>
    <cellStyle name="Normal 992" xfId="1125" xr:uid="{00000000-0005-0000-0000-00006F040000}"/>
    <cellStyle name="Normal 993" xfId="1126" xr:uid="{00000000-0005-0000-0000-000070040000}"/>
    <cellStyle name="Normal 994" xfId="1127" xr:uid="{00000000-0005-0000-0000-000071040000}"/>
    <cellStyle name="Normal 995" xfId="1128" xr:uid="{00000000-0005-0000-0000-000072040000}"/>
    <cellStyle name="Normal 996" xfId="1129" xr:uid="{00000000-0005-0000-0000-000073040000}"/>
    <cellStyle name="Normal 997" xfId="1130" xr:uid="{00000000-0005-0000-0000-000074040000}"/>
    <cellStyle name="Normal 998" xfId="1131" xr:uid="{00000000-0005-0000-0000-000075040000}"/>
    <cellStyle name="Normal 999" xfId="1132" xr:uid="{00000000-0005-0000-0000-000076040000}"/>
    <cellStyle name="Normal_Sheet1" xfId="1202" xr:uid="{00000000-0005-0000-0000-000077040000}"/>
    <cellStyle name="Note 10" xfId="174" xr:uid="{00000000-0005-0000-0000-000078040000}"/>
    <cellStyle name="Note 10 2" xfId="1176" xr:uid="{00000000-0005-0000-0000-000079040000}"/>
    <cellStyle name="Note 11" xfId="175" xr:uid="{00000000-0005-0000-0000-00007A040000}"/>
    <cellStyle name="Note 11 2" xfId="1177" xr:uid="{00000000-0005-0000-0000-00007B040000}"/>
    <cellStyle name="Note 12" xfId="176" xr:uid="{00000000-0005-0000-0000-00007C040000}"/>
    <cellStyle name="Note 12 2" xfId="1178" xr:uid="{00000000-0005-0000-0000-00007D040000}"/>
    <cellStyle name="Note 13" xfId="177" xr:uid="{00000000-0005-0000-0000-00007E040000}"/>
    <cellStyle name="Note 13 2" xfId="1179" xr:uid="{00000000-0005-0000-0000-00007F040000}"/>
    <cellStyle name="Note 14" xfId="178" xr:uid="{00000000-0005-0000-0000-000080040000}"/>
    <cellStyle name="Note 14 2" xfId="1180" xr:uid="{00000000-0005-0000-0000-000081040000}"/>
    <cellStyle name="Note 15" xfId="179" xr:uid="{00000000-0005-0000-0000-000082040000}"/>
    <cellStyle name="Note 15 2" xfId="1181" xr:uid="{00000000-0005-0000-0000-000083040000}"/>
    <cellStyle name="Note 16" xfId="180" xr:uid="{00000000-0005-0000-0000-000084040000}"/>
    <cellStyle name="Note 16 2" xfId="1182" xr:uid="{00000000-0005-0000-0000-000085040000}"/>
    <cellStyle name="Note 17" xfId="181" xr:uid="{00000000-0005-0000-0000-000086040000}"/>
    <cellStyle name="Note 17 2" xfId="1183" xr:uid="{00000000-0005-0000-0000-000087040000}"/>
    <cellStyle name="Note 18" xfId="182" xr:uid="{00000000-0005-0000-0000-000088040000}"/>
    <cellStyle name="Note 18 2" xfId="1184" xr:uid="{00000000-0005-0000-0000-000089040000}"/>
    <cellStyle name="Note 19" xfId="183" xr:uid="{00000000-0005-0000-0000-00008A040000}"/>
    <cellStyle name="Note 19 2" xfId="1185" xr:uid="{00000000-0005-0000-0000-00008B040000}"/>
    <cellStyle name="Note 2" xfId="184" xr:uid="{00000000-0005-0000-0000-00008C040000}"/>
    <cellStyle name="Note 2 2" xfId="1186" xr:uid="{00000000-0005-0000-0000-00008D040000}"/>
    <cellStyle name="Note 20" xfId="185" xr:uid="{00000000-0005-0000-0000-00008E040000}"/>
    <cellStyle name="Note 20 2" xfId="1187" xr:uid="{00000000-0005-0000-0000-00008F040000}"/>
    <cellStyle name="Note 21" xfId="186" xr:uid="{00000000-0005-0000-0000-000090040000}"/>
    <cellStyle name="Note 21 2" xfId="1188" xr:uid="{00000000-0005-0000-0000-000091040000}"/>
    <cellStyle name="Note 22" xfId="187" xr:uid="{00000000-0005-0000-0000-000092040000}"/>
    <cellStyle name="Note 22 2" xfId="1189" xr:uid="{00000000-0005-0000-0000-000093040000}"/>
    <cellStyle name="Note 23" xfId="188" xr:uid="{00000000-0005-0000-0000-000094040000}"/>
    <cellStyle name="Note 23 2" xfId="1190" xr:uid="{00000000-0005-0000-0000-000095040000}"/>
    <cellStyle name="Note 24" xfId="189" xr:uid="{00000000-0005-0000-0000-000096040000}"/>
    <cellStyle name="Note 24 2" xfId="1191" xr:uid="{00000000-0005-0000-0000-000097040000}"/>
    <cellStyle name="Note 25" xfId="190" xr:uid="{00000000-0005-0000-0000-000098040000}"/>
    <cellStyle name="Note 25 2" xfId="1192" xr:uid="{00000000-0005-0000-0000-000099040000}"/>
    <cellStyle name="Note 26" xfId="191" xr:uid="{00000000-0005-0000-0000-00009A040000}"/>
    <cellStyle name="Note 26 2" xfId="1193" xr:uid="{00000000-0005-0000-0000-00009B040000}"/>
    <cellStyle name="Note 27" xfId="192" xr:uid="{00000000-0005-0000-0000-00009C040000}"/>
    <cellStyle name="Note 27 2" xfId="1194" xr:uid="{00000000-0005-0000-0000-00009D040000}"/>
    <cellStyle name="Note 28" xfId="193" xr:uid="{00000000-0005-0000-0000-00009E040000}"/>
    <cellStyle name="Note 3" xfId="194" xr:uid="{00000000-0005-0000-0000-00009F040000}"/>
    <cellStyle name="Note 3 2" xfId="1195" xr:uid="{00000000-0005-0000-0000-0000A0040000}"/>
    <cellStyle name="Note 4" xfId="195" xr:uid="{00000000-0005-0000-0000-0000A1040000}"/>
    <cellStyle name="Note 4 2" xfId="1196" xr:uid="{00000000-0005-0000-0000-0000A2040000}"/>
    <cellStyle name="Note 5" xfId="196" xr:uid="{00000000-0005-0000-0000-0000A3040000}"/>
    <cellStyle name="Note 5 2" xfId="1197" xr:uid="{00000000-0005-0000-0000-0000A4040000}"/>
    <cellStyle name="Note 6" xfId="197" xr:uid="{00000000-0005-0000-0000-0000A5040000}"/>
    <cellStyle name="Note 6 2" xfId="1198" xr:uid="{00000000-0005-0000-0000-0000A6040000}"/>
    <cellStyle name="Note 7" xfId="198" xr:uid="{00000000-0005-0000-0000-0000A7040000}"/>
    <cellStyle name="Note 7 2" xfId="1199" xr:uid="{00000000-0005-0000-0000-0000A8040000}"/>
    <cellStyle name="Note 8" xfId="199" xr:uid="{00000000-0005-0000-0000-0000A9040000}"/>
    <cellStyle name="Note 8 2" xfId="1200" xr:uid="{00000000-0005-0000-0000-0000AA040000}"/>
    <cellStyle name="Note 9" xfId="200" xr:uid="{00000000-0005-0000-0000-0000AB040000}"/>
    <cellStyle name="Note 9 2" xfId="1201" xr:uid="{00000000-0005-0000-0000-0000AC040000}"/>
    <cellStyle name="Output 2" xfId="202" xr:uid="{00000000-0005-0000-0000-0000AD040000}"/>
    <cellStyle name="Output 3" xfId="201" xr:uid="{00000000-0005-0000-0000-0000AE040000}"/>
    <cellStyle name="Percent 2" xfId="1204" xr:uid="{00000000-0005-0000-0000-0000AF040000}"/>
    <cellStyle name="Title 2" xfId="203" xr:uid="{00000000-0005-0000-0000-0000B0040000}"/>
    <cellStyle name="Total 2" xfId="205" xr:uid="{00000000-0005-0000-0000-0000B1040000}"/>
    <cellStyle name="Total 3" xfId="204" xr:uid="{00000000-0005-0000-0000-0000B2040000}"/>
    <cellStyle name="Warning Text 2" xfId="207" xr:uid="{00000000-0005-0000-0000-0000B3040000}"/>
    <cellStyle name="Warning Text 3" xfId="206" xr:uid="{00000000-0005-0000-0000-0000B4040000}"/>
  </cellStyles>
  <dxfs count="124"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theme="3" tint="0.39994506668294322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theme="3" tint="0.39994506668294322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theme="3" tint="0.39994506668294322"/>
      </font>
    </dxf>
    <dxf>
      <font>
        <color theme="3" tint="0.39994506668294322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theme="3" tint="0.39994506668294322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theme="3" tint="0.39994506668294322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theme="3" tint="0.39994506668294322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theme="3" tint="0.39994506668294322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theme="3" tint="0.39994506668294322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theme="3" tint="0.39994506668294322"/>
      </font>
    </dxf>
  </dxfs>
  <tableStyles count="0" defaultTableStyle="TableStyleMedium9" defaultPivotStyle="PivotStyleLight16"/>
  <colors>
    <mruColors>
      <color rgb="FF00B0F0"/>
      <color rgb="FFFFFFCC"/>
      <color rgb="FFCCFFCC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Supply%20Chain%20Planning\04_Masterdata\Daisy%20Jour%20Fixe%202020_0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 Requests Daisy"/>
      <sheetName val="Repacking setup"/>
      <sheetName val="W42"/>
      <sheetName val="W41"/>
      <sheetName val="W30"/>
      <sheetName val="W27"/>
      <sheetName val="W25"/>
      <sheetName val="W24"/>
      <sheetName val="W23"/>
      <sheetName val="W21"/>
      <sheetName val="W20"/>
      <sheetName val="W19"/>
      <sheetName val="W18"/>
      <sheetName val="W17"/>
      <sheetName val="W16"/>
      <sheetName val="W15"/>
      <sheetName val="W14"/>
      <sheetName val="W13"/>
      <sheetName val="W11"/>
      <sheetName val="W10"/>
      <sheetName val="W9"/>
      <sheetName val="W8"/>
      <sheetName val="W7"/>
      <sheetName val="W6"/>
      <sheetName val="W5"/>
      <sheetName val="W3"/>
      <sheetName val="W2"/>
      <sheetName val="W52"/>
      <sheetName val="W51"/>
      <sheetName val="W50"/>
      <sheetName val="W49"/>
      <sheetName val="W48"/>
      <sheetName val="W47"/>
      <sheetName val="W46"/>
      <sheetName val="W45"/>
      <sheetName val="W44"/>
      <sheetName val="Daten"/>
      <sheetName val="Issue Liste"/>
      <sheetName val="ABP Artikel"/>
      <sheetName val="to Do's"/>
      <sheetName val="Infosheet"/>
      <sheetName val="Download"/>
      <sheetName val="Info"/>
      <sheetName val="Statistik"/>
      <sheetName val="Source-Statistic"/>
      <sheetName val="Completed"/>
      <sheetName val="Delisted"/>
      <sheetName val="SSF Needed"/>
      <sheetName val=" Mapping - ABP"/>
      <sheetName val="next Steps"/>
      <sheetName val="ssf´s"/>
      <sheetName val="neue AB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Y1047955"/>
  <sheetViews>
    <sheetView showGridLines="0" zoomScale="63" zoomScaleNormal="63" zoomScaleSheetLayoutView="80" workbookViewId="0">
      <pane ySplit="3" topLeftCell="A697" activePane="bottomLeft" state="frozen"/>
      <selection pane="bottomLeft" activeCell="B712" sqref="B712"/>
    </sheetView>
  </sheetViews>
  <sheetFormatPr defaultColWidth="9.28515625" defaultRowHeight="15" outlineLevelCol="2"/>
  <cols>
    <col min="1" max="1" width="2.28515625" customWidth="1"/>
    <col min="2" max="2" width="16.7109375" style="1" customWidth="1"/>
    <col min="3" max="3" width="12.140625" customWidth="1"/>
    <col min="4" max="4" width="12.5703125" customWidth="1" outlineLevel="1"/>
    <col min="5" max="5" width="3.28515625" customWidth="1"/>
    <col min="6" max="6" width="20.7109375" customWidth="1"/>
    <col min="7" max="7" width="20.7109375" style="17" customWidth="1"/>
    <col min="8" max="8" width="64.140625" style="1" bestFit="1" customWidth="1"/>
    <col min="9" max="9" width="14.28515625" style="1" customWidth="1"/>
    <col min="10" max="10" width="10.42578125" style="17" customWidth="1"/>
    <col min="11" max="11" width="20.7109375" style="18" hidden="1" customWidth="1" outlineLevel="1"/>
    <col min="12" max="12" width="11.28515625" style="18" hidden="1" customWidth="1" outlineLevel="1"/>
    <col min="13" max="13" width="3" customWidth="1" collapsed="1"/>
    <col min="14" max="14" width="20.7109375" customWidth="1"/>
    <col min="15" max="15" width="20.7109375" style="17" customWidth="1"/>
    <col min="16" max="16" width="69.28515625" style="1" bestFit="1" customWidth="1"/>
    <col min="17" max="17" width="16.7109375" style="17" customWidth="1" outlineLevel="1"/>
    <col min="18" max="18" width="16.7109375" style="18" customWidth="1" outlineLevel="1"/>
    <col min="19" max="19" width="27.140625" style="18" customWidth="1" outlineLevel="1"/>
    <col min="20" max="20" width="16.7109375" style="18" customWidth="1" outlineLevel="1"/>
    <col min="21" max="22" width="14.7109375" style="18" customWidth="1" outlineLevel="2"/>
    <col min="23" max="23" width="18.28515625" style="18" bestFit="1" customWidth="1" outlineLevel="2"/>
    <col min="24" max="24" width="14.7109375" style="18" customWidth="1" outlineLevel="2"/>
    <col min="25" max="25" width="66.42578125" style="18" bestFit="1" customWidth="1"/>
  </cols>
  <sheetData>
    <row r="1" spans="2:25" s="2" customFormat="1" ht="27" thickBot="1">
      <c r="B1" s="15" t="s">
        <v>0</v>
      </c>
      <c r="F1" s="27" t="s">
        <v>1</v>
      </c>
      <c r="J1" s="27"/>
      <c r="K1" s="27"/>
      <c r="L1" s="27"/>
      <c r="N1" s="20" t="s">
        <v>2</v>
      </c>
      <c r="Q1" s="27"/>
      <c r="R1" s="27"/>
      <c r="S1" s="27"/>
      <c r="T1" s="27"/>
      <c r="U1" s="27"/>
      <c r="V1" s="27"/>
      <c r="W1" s="27"/>
      <c r="X1" s="61"/>
      <c r="Y1" s="27"/>
    </row>
    <row r="2" spans="2:25" s="3" customFormat="1" ht="42.6" customHeight="1">
      <c r="B2" s="7" t="s">
        <v>3</v>
      </c>
      <c r="C2" s="13" t="s">
        <v>4</v>
      </c>
      <c r="D2" s="13" t="s">
        <v>5</v>
      </c>
      <c r="F2" s="7" t="s">
        <v>6</v>
      </c>
      <c r="G2" s="7" t="s">
        <v>7</v>
      </c>
      <c r="H2" s="8" t="s">
        <v>8</v>
      </c>
      <c r="I2" s="4" t="s">
        <v>9</v>
      </c>
      <c r="J2" s="19" t="s">
        <v>10</v>
      </c>
      <c r="K2" s="4" t="s">
        <v>11</v>
      </c>
      <c r="L2" s="4" t="s">
        <v>12</v>
      </c>
      <c r="N2" s="7" t="s">
        <v>6</v>
      </c>
      <c r="O2" s="7" t="s">
        <v>7</v>
      </c>
      <c r="P2" s="8" t="s">
        <v>8</v>
      </c>
      <c r="Q2" s="19" t="s">
        <v>10</v>
      </c>
      <c r="R2" s="4" t="s">
        <v>13</v>
      </c>
      <c r="S2" s="4" t="s">
        <v>14</v>
      </c>
      <c r="T2" s="4" t="s">
        <v>15</v>
      </c>
      <c r="U2" s="4" t="s">
        <v>16</v>
      </c>
      <c r="V2" s="4" t="s">
        <v>17</v>
      </c>
      <c r="W2" s="10" t="s">
        <v>18</v>
      </c>
      <c r="X2" s="4" t="s">
        <v>19</v>
      </c>
      <c r="Y2" s="4" t="s">
        <v>20</v>
      </c>
    </row>
    <row r="3" spans="2:25" s="3" customFormat="1" ht="15.75" thickBot="1">
      <c r="B3" s="5"/>
      <c r="C3" s="6"/>
      <c r="D3" s="6"/>
      <c r="F3" s="5"/>
      <c r="G3" s="5"/>
      <c r="H3" s="6"/>
      <c r="I3" s="71"/>
      <c r="J3" s="6" t="s">
        <v>21</v>
      </c>
      <c r="K3" s="11" t="s">
        <v>22</v>
      </c>
      <c r="L3" s="12" t="s">
        <v>23</v>
      </c>
      <c r="N3" s="5"/>
      <c r="O3" s="5"/>
      <c r="P3" s="6"/>
      <c r="Q3" s="6" t="s">
        <v>21</v>
      </c>
      <c r="R3" s="9" t="s">
        <v>24</v>
      </c>
      <c r="S3" s="11" t="s">
        <v>25</v>
      </c>
      <c r="T3" s="12" t="s">
        <v>23</v>
      </c>
      <c r="U3" s="14" t="s">
        <v>26</v>
      </c>
      <c r="V3" s="14" t="s">
        <v>26</v>
      </c>
      <c r="W3" s="14" t="s">
        <v>26</v>
      </c>
      <c r="X3" s="14" t="s">
        <v>26</v>
      </c>
      <c r="Y3" s="52"/>
    </row>
    <row r="4" spans="2:25">
      <c r="B4" s="21" t="s">
        <v>27</v>
      </c>
      <c r="C4" s="46" t="s">
        <v>28</v>
      </c>
      <c r="D4" s="47">
        <v>43560</v>
      </c>
      <c r="F4" s="22" t="s">
        <v>29</v>
      </c>
      <c r="G4" s="22">
        <v>1809801</v>
      </c>
      <c r="H4" s="16" t="s">
        <v>30</v>
      </c>
      <c r="I4" s="34"/>
      <c r="J4" s="39" t="s">
        <v>31</v>
      </c>
      <c r="K4" s="34"/>
      <c r="L4" s="34"/>
      <c r="N4" s="22" t="s">
        <v>29</v>
      </c>
      <c r="O4" s="22">
        <v>1809809</v>
      </c>
      <c r="P4" s="16" t="s">
        <v>30</v>
      </c>
      <c r="Q4" s="22" t="s">
        <v>31</v>
      </c>
      <c r="R4" s="34" t="s">
        <v>32</v>
      </c>
      <c r="S4" s="34"/>
      <c r="T4" s="34"/>
      <c r="U4" s="28" t="s">
        <v>33</v>
      </c>
      <c r="V4" s="28" t="s">
        <v>34</v>
      </c>
      <c r="W4" s="28" t="s">
        <v>35</v>
      </c>
      <c r="X4" s="34" t="s">
        <v>36</v>
      </c>
      <c r="Y4" s="34" t="s">
        <v>37</v>
      </c>
    </row>
    <row r="5" spans="2:25">
      <c r="B5" s="21" t="s">
        <v>27</v>
      </c>
      <c r="C5" s="46" t="s">
        <v>28</v>
      </c>
      <c r="D5" s="47">
        <v>43560</v>
      </c>
      <c r="F5" s="22" t="s">
        <v>29</v>
      </c>
      <c r="G5" s="22">
        <v>1809809</v>
      </c>
      <c r="H5" s="16" t="s">
        <v>30</v>
      </c>
      <c r="I5" s="34"/>
      <c r="J5" s="39" t="s">
        <v>31</v>
      </c>
      <c r="K5" s="34"/>
      <c r="L5" s="34"/>
      <c r="N5" s="22" t="s">
        <v>29</v>
      </c>
      <c r="O5" s="22">
        <v>1809810</v>
      </c>
      <c r="P5" s="16" t="s">
        <v>38</v>
      </c>
      <c r="Q5" s="22" t="s">
        <v>31</v>
      </c>
      <c r="R5" s="34" t="s">
        <v>39</v>
      </c>
      <c r="S5" s="34"/>
      <c r="T5" s="34"/>
      <c r="U5" s="28" t="s">
        <v>33</v>
      </c>
      <c r="V5" s="28" t="s">
        <v>34</v>
      </c>
      <c r="W5" s="28" t="s">
        <v>35</v>
      </c>
      <c r="X5" s="34" t="s">
        <v>36</v>
      </c>
      <c r="Y5" s="34" t="s">
        <v>40</v>
      </c>
    </row>
    <row r="6" spans="2:25">
      <c r="B6" s="21" t="s">
        <v>27</v>
      </c>
      <c r="C6" s="46" t="s">
        <v>28</v>
      </c>
      <c r="D6" s="47">
        <v>43655</v>
      </c>
      <c r="F6" s="22" t="s">
        <v>41</v>
      </c>
      <c r="G6" s="22">
        <v>1827101</v>
      </c>
      <c r="H6" s="16" t="s">
        <v>42</v>
      </c>
      <c r="I6" s="34"/>
      <c r="J6" s="39" t="s">
        <v>31</v>
      </c>
      <c r="K6" s="34"/>
      <c r="L6" s="34"/>
      <c r="N6" s="22" t="s">
        <v>41</v>
      </c>
      <c r="O6" s="22">
        <v>2019801</v>
      </c>
      <c r="P6" s="16" t="s">
        <v>43</v>
      </c>
      <c r="Q6" s="22" t="s">
        <v>31</v>
      </c>
      <c r="R6" s="34" t="s">
        <v>44</v>
      </c>
      <c r="S6" s="34"/>
      <c r="T6" s="34"/>
      <c r="U6" s="28" t="s">
        <v>33</v>
      </c>
      <c r="V6" s="28" t="s">
        <v>34</v>
      </c>
      <c r="W6" s="28" t="s">
        <v>35</v>
      </c>
      <c r="X6" s="34" t="s">
        <v>36</v>
      </c>
      <c r="Y6" s="34"/>
    </row>
    <row r="7" spans="2:25">
      <c r="B7" s="21" t="s">
        <v>27</v>
      </c>
      <c r="C7" s="46" t="s">
        <v>28</v>
      </c>
      <c r="D7" s="47">
        <v>43655</v>
      </c>
      <c r="F7" s="22" t="s">
        <v>41</v>
      </c>
      <c r="G7" s="22">
        <v>1838401</v>
      </c>
      <c r="H7" s="16" t="s">
        <v>45</v>
      </c>
      <c r="I7" s="34"/>
      <c r="J7" s="39" t="s">
        <v>31</v>
      </c>
      <c r="K7" s="34"/>
      <c r="L7" s="34"/>
      <c r="N7" s="22" t="s">
        <v>41</v>
      </c>
      <c r="O7" s="22">
        <v>2019901</v>
      </c>
      <c r="P7" s="16" t="s">
        <v>46</v>
      </c>
      <c r="Q7" s="22" t="s">
        <v>31</v>
      </c>
      <c r="R7" s="34" t="s">
        <v>44</v>
      </c>
      <c r="S7" s="34"/>
      <c r="T7" s="34"/>
      <c r="U7" s="28" t="s">
        <v>33</v>
      </c>
      <c r="V7" s="28" t="s">
        <v>34</v>
      </c>
      <c r="W7" s="28" t="s">
        <v>35</v>
      </c>
      <c r="X7" s="34" t="s">
        <v>36</v>
      </c>
      <c r="Y7" s="34"/>
    </row>
    <row r="8" spans="2:25">
      <c r="B8" s="21" t="s">
        <v>47</v>
      </c>
      <c r="C8" s="46" t="s">
        <v>28</v>
      </c>
      <c r="D8" s="47">
        <v>43655</v>
      </c>
      <c r="F8" s="22"/>
      <c r="G8" s="22"/>
      <c r="H8" s="16"/>
      <c r="I8" s="34"/>
      <c r="J8" s="39"/>
      <c r="K8" s="34"/>
      <c r="L8" s="34"/>
      <c r="N8" s="22" t="s">
        <v>48</v>
      </c>
      <c r="O8" s="22">
        <v>2024101</v>
      </c>
      <c r="P8" s="16" t="s">
        <v>49</v>
      </c>
      <c r="Q8" s="22" t="s">
        <v>50</v>
      </c>
      <c r="R8" s="34" t="s">
        <v>51</v>
      </c>
      <c r="S8" s="34"/>
      <c r="T8" s="34"/>
      <c r="U8" s="28" t="s">
        <v>33</v>
      </c>
      <c r="V8" s="28" t="s">
        <v>34</v>
      </c>
      <c r="W8" s="28" t="s">
        <v>35</v>
      </c>
      <c r="X8" s="34" t="s">
        <v>36</v>
      </c>
      <c r="Y8" s="34"/>
    </row>
    <row r="9" spans="2:25">
      <c r="B9" s="21" t="s">
        <v>47</v>
      </c>
      <c r="C9" s="46" t="s">
        <v>28</v>
      </c>
      <c r="D9" s="47">
        <v>43655</v>
      </c>
      <c r="F9" s="22"/>
      <c r="G9" s="22"/>
      <c r="H9" s="16"/>
      <c r="I9" s="34"/>
      <c r="J9" s="39"/>
      <c r="K9" s="34"/>
      <c r="L9" s="34"/>
      <c r="N9" s="22" t="s">
        <v>48</v>
      </c>
      <c r="O9" s="22">
        <v>2024301</v>
      </c>
      <c r="P9" s="16" t="s">
        <v>52</v>
      </c>
      <c r="Q9" s="22" t="s">
        <v>31</v>
      </c>
      <c r="R9" s="34" t="s">
        <v>53</v>
      </c>
      <c r="S9" s="34"/>
      <c r="T9" s="34"/>
      <c r="U9" s="28" t="s">
        <v>33</v>
      </c>
      <c r="V9" s="28" t="s">
        <v>34</v>
      </c>
      <c r="W9" s="28" t="s">
        <v>35</v>
      </c>
      <c r="X9" s="34" t="s">
        <v>36</v>
      </c>
      <c r="Y9" s="34"/>
    </row>
    <row r="10" spans="2:25">
      <c r="B10" s="21" t="s">
        <v>47</v>
      </c>
      <c r="C10" s="46" t="s">
        <v>28</v>
      </c>
      <c r="D10" s="47">
        <v>43655</v>
      </c>
      <c r="F10" s="22"/>
      <c r="G10" s="22"/>
      <c r="H10" s="16"/>
      <c r="I10" s="34"/>
      <c r="J10" s="39"/>
      <c r="K10" s="34"/>
      <c r="L10" s="34"/>
      <c r="N10" s="22" t="s">
        <v>41</v>
      </c>
      <c r="O10" s="22">
        <v>1897903</v>
      </c>
      <c r="P10" s="16" t="s">
        <v>54</v>
      </c>
      <c r="Q10" s="22" t="s">
        <v>31</v>
      </c>
      <c r="R10" s="34" t="s">
        <v>55</v>
      </c>
      <c r="S10" s="34"/>
      <c r="T10" s="34"/>
      <c r="U10" s="28" t="s">
        <v>33</v>
      </c>
      <c r="V10" s="28" t="s">
        <v>34</v>
      </c>
      <c r="W10" s="28" t="s">
        <v>35</v>
      </c>
      <c r="X10" s="34" t="s">
        <v>36</v>
      </c>
      <c r="Y10" s="34"/>
    </row>
    <row r="11" spans="2:25">
      <c r="B11" s="21" t="s">
        <v>47</v>
      </c>
      <c r="C11" s="46" t="s">
        <v>28</v>
      </c>
      <c r="D11" s="47">
        <v>43655</v>
      </c>
      <c r="F11" s="22"/>
      <c r="G11" s="22"/>
      <c r="H11" s="16"/>
      <c r="I11" s="34"/>
      <c r="J11" s="39"/>
      <c r="K11" s="34"/>
      <c r="L11" s="34"/>
      <c r="N11" s="22" t="s">
        <v>48</v>
      </c>
      <c r="O11" s="22">
        <v>2046501</v>
      </c>
      <c r="P11" s="16" t="s">
        <v>56</v>
      </c>
      <c r="Q11" s="22" t="s">
        <v>31</v>
      </c>
      <c r="R11" s="34"/>
      <c r="S11" s="34"/>
      <c r="T11" s="34"/>
      <c r="U11" s="34" t="s">
        <v>33</v>
      </c>
      <c r="V11" s="28" t="s">
        <v>34</v>
      </c>
      <c r="W11" s="28" t="s">
        <v>35</v>
      </c>
      <c r="X11" s="34" t="s">
        <v>36</v>
      </c>
      <c r="Y11" s="34"/>
    </row>
    <row r="12" spans="2:25">
      <c r="B12" s="21" t="s">
        <v>47</v>
      </c>
      <c r="C12" s="46" t="s">
        <v>28</v>
      </c>
      <c r="D12" s="47">
        <v>43727</v>
      </c>
      <c r="F12" s="22"/>
      <c r="G12" s="22"/>
      <c r="H12" s="16"/>
      <c r="I12" s="34"/>
      <c r="J12" s="39"/>
      <c r="K12" s="34"/>
      <c r="L12" s="34"/>
      <c r="N12" s="22" t="s">
        <v>57</v>
      </c>
      <c r="O12" s="22">
        <v>1899303</v>
      </c>
      <c r="P12" s="16" t="s">
        <v>58</v>
      </c>
      <c r="Q12" s="22" t="s">
        <v>50</v>
      </c>
      <c r="R12" s="34" t="s">
        <v>59</v>
      </c>
      <c r="S12" s="34"/>
      <c r="T12" s="34"/>
      <c r="U12" s="34" t="s">
        <v>33</v>
      </c>
      <c r="V12" s="34" t="s">
        <v>34</v>
      </c>
      <c r="W12" s="34" t="s">
        <v>35</v>
      </c>
      <c r="X12" s="34" t="s">
        <v>36</v>
      </c>
      <c r="Y12" s="34"/>
    </row>
    <row r="13" spans="2:25">
      <c r="B13" s="21" t="s">
        <v>47</v>
      </c>
      <c r="C13" s="46" t="s">
        <v>28</v>
      </c>
      <c r="D13" s="47">
        <v>43727</v>
      </c>
      <c r="F13" s="22"/>
      <c r="G13" s="39"/>
      <c r="H13" s="16"/>
      <c r="I13" s="34"/>
      <c r="J13" s="39"/>
      <c r="K13" s="34"/>
      <c r="L13" s="34"/>
      <c r="N13" s="22" t="s">
        <v>48</v>
      </c>
      <c r="O13" s="22">
        <v>1785703</v>
      </c>
      <c r="P13" s="16" t="s">
        <v>60</v>
      </c>
      <c r="Q13" s="22" t="s">
        <v>50</v>
      </c>
      <c r="R13" s="34" t="s">
        <v>61</v>
      </c>
      <c r="S13" s="34"/>
      <c r="T13" s="34"/>
      <c r="U13" s="34" t="s">
        <v>33</v>
      </c>
      <c r="V13" s="34" t="s">
        <v>34</v>
      </c>
      <c r="W13" s="34" t="s">
        <v>35</v>
      </c>
      <c r="X13" s="34" t="s">
        <v>36</v>
      </c>
      <c r="Y13" s="34"/>
    </row>
    <row r="14" spans="2:25">
      <c r="B14" s="21" t="s">
        <v>47</v>
      </c>
      <c r="C14" s="46" t="s">
        <v>28</v>
      </c>
      <c r="D14" s="47">
        <v>43727</v>
      </c>
      <c r="F14" s="22"/>
      <c r="G14" s="39"/>
      <c r="H14" s="16"/>
      <c r="I14" s="34"/>
      <c r="J14" s="39"/>
      <c r="K14" s="34"/>
      <c r="L14" s="34"/>
      <c r="N14" s="22" t="s">
        <v>62</v>
      </c>
      <c r="O14" s="22">
        <v>1931702</v>
      </c>
      <c r="P14" s="16" t="s">
        <v>63</v>
      </c>
      <c r="Q14" s="22" t="s">
        <v>50</v>
      </c>
      <c r="R14" s="34" t="s">
        <v>61</v>
      </c>
      <c r="S14" s="34"/>
      <c r="T14" s="34"/>
      <c r="U14" s="34" t="s">
        <v>33</v>
      </c>
      <c r="V14" s="34" t="s">
        <v>34</v>
      </c>
      <c r="W14" s="34" t="s">
        <v>35</v>
      </c>
      <c r="X14" s="34" t="s">
        <v>36</v>
      </c>
      <c r="Y14" s="34"/>
    </row>
    <row r="15" spans="2:25">
      <c r="B15" s="21" t="s">
        <v>47</v>
      </c>
      <c r="C15" s="46" t="s">
        <v>28</v>
      </c>
      <c r="D15" s="47">
        <v>43727</v>
      </c>
      <c r="F15" s="22"/>
      <c r="G15" s="39"/>
      <c r="H15" s="16"/>
      <c r="I15" s="34"/>
      <c r="J15" s="39"/>
      <c r="K15" s="34"/>
      <c r="L15" s="34"/>
      <c r="N15" s="22" t="s">
        <v>64</v>
      </c>
      <c r="O15" s="22">
        <v>1356608</v>
      </c>
      <c r="P15" s="16" t="s">
        <v>65</v>
      </c>
      <c r="Q15" s="22" t="s">
        <v>50</v>
      </c>
      <c r="R15" s="34"/>
      <c r="S15" s="34"/>
      <c r="T15" s="34"/>
      <c r="U15" s="34" t="s">
        <v>33</v>
      </c>
      <c r="V15" s="34" t="s">
        <v>34</v>
      </c>
      <c r="W15" s="34" t="s">
        <v>35</v>
      </c>
      <c r="X15" s="34" t="s">
        <v>36</v>
      </c>
      <c r="Y15" s="34"/>
    </row>
    <row r="16" spans="2:25">
      <c r="B16" s="21" t="s">
        <v>47</v>
      </c>
      <c r="C16" s="46" t="s">
        <v>28</v>
      </c>
      <c r="D16" s="47">
        <v>43727</v>
      </c>
      <c r="F16" s="22"/>
      <c r="G16" s="39"/>
      <c r="H16" s="16"/>
      <c r="I16" s="34"/>
      <c r="J16" s="39"/>
      <c r="K16" s="34"/>
      <c r="L16" s="34"/>
      <c r="N16" s="22" t="s">
        <v>64</v>
      </c>
      <c r="O16" s="22">
        <v>1595302</v>
      </c>
      <c r="P16" s="16" t="s">
        <v>66</v>
      </c>
      <c r="Q16" s="22" t="s">
        <v>50</v>
      </c>
      <c r="R16" s="34" t="s">
        <v>67</v>
      </c>
      <c r="S16" s="34"/>
      <c r="T16" s="34"/>
      <c r="U16" s="34" t="s">
        <v>33</v>
      </c>
      <c r="V16" s="34" t="s">
        <v>34</v>
      </c>
      <c r="W16" s="34" t="s">
        <v>35</v>
      </c>
      <c r="X16" s="34" t="s">
        <v>36</v>
      </c>
      <c r="Y16" s="34"/>
    </row>
    <row r="17" spans="2:25">
      <c r="B17" s="21" t="s">
        <v>47</v>
      </c>
      <c r="C17" s="46" t="s">
        <v>28</v>
      </c>
      <c r="D17" s="47">
        <v>43727</v>
      </c>
      <c r="F17" s="22"/>
      <c r="G17" s="22"/>
      <c r="H17" s="16"/>
      <c r="I17" s="34"/>
      <c r="J17" s="39"/>
      <c r="K17" s="34"/>
      <c r="L17" s="34"/>
      <c r="N17" s="22" t="s">
        <v>64</v>
      </c>
      <c r="O17" s="22">
        <v>2054301</v>
      </c>
      <c r="P17" s="16" t="s">
        <v>68</v>
      </c>
      <c r="Q17" s="22" t="s">
        <v>50</v>
      </c>
      <c r="R17" s="34"/>
      <c r="S17" s="34"/>
      <c r="T17" s="34"/>
      <c r="U17" s="34" t="s">
        <v>33</v>
      </c>
      <c r="V17" s="34" t="s">
        <v>34</v>
      </c>
      <c r="W17" s="34" t="s">
        <v>35</v>
      </c>
      <c r="X17" s="34" t="s">
        <v>36</v>
      </c>
      <c r="Y17" s="34"/>
    </row>
    <row r="18" spans="2:25">
      <c r="B18" s="21" t="s">
        <v>47</v>
      </c>
      <c r="C18" s="46" t="s">
        <v>28</v>
      </c>
      <c r="D18" s="47">
        <v>43727</v>
      </c>
      <c r="F18" s="22"/>
      <c r="G18" s="22"/>
      <c r="H18" s="16"/>
      <c r="I18" s="34"/>
      <c r="J18" s="39"/>
      <c r="K18" s="34"/>
      <c r="L18" s="34"/>
      <c r="N18" s="22" t="s">
        <v>69</v>
      </c>
      <c r="O18" s="22">
        <v>1746804</v>
      </c>
      <c r="P18" s="16" t="s">
        <v>70</v>
      </c>
      <c r="Q18" s="22" t="s">
        <v>31</v>
      </c>
      <c r="R18" s="34" t="s">
        <v>59</v>
      </c>
      <c r="S18" s="34"/>
      <c r="T18" s="34"/>
      <c r="U18" s="34" t="s">
        <v>33</v>
      </c>
      <c r="V18" s="34" t="s">
        <v>34</v>
      </c>
      <c r="W18" s="34" t="s">
        <v>35</v>
      </c>
      <c r="X18" s="34" t="s">
        <v>36</v>
      </c>
      <c r="Y18" s="34"/>
    </row>
    <row r="19" spans="2:25">
      <c r="B19" s="21" t="s">
        <v>47</v>
      </c>
      <c r="C19" s="46" t="s">
        <v>28</v>
      </c>
      <c r="D19" s="47">
        <v>43727</v>
      </c>
      <c r="F19" s="22"/>
      <c r="G19" s="22"/>
      <c r="H19" s="16"/>
      <c r="I19" s="34"/>
      <c r="J19" s="39"/>
      <c r="K19" s="34"/>
      <c r="L19" s="34"/>
      <c r="N19" s="22" t="s">
        <v>71</v>
      </c>
      <c r="O19" s="22">
        <v>2007503</v>
      </c>
      <c r="P19" s="16" t="s">
        <v>72</v>
      </c>
      <c r="Q19" s="22" t="s">
        <v>50</v>
      </c>
      <c r="R19" s="34" t="s">
        <v>73</v>
      </c>
      <c r="S19" s="34"/>
      <c r="T19" s="34"/>
      <c r="U19" s="34" t="s">
        <v>33</v>
      </c>
      <c r="V19" s="34" t="s">
        <v>34</v>
      </c>
      <c r="W19" s="34" t="s">
        <v>35</v>
      </c>
      <c r="X19" s="34" t="s">
        <v>36</v>
      </c>
      <c r="Y19" s="34"/>
    </row>
    <row r="20" spans="2:25">
      <c r="B20" s="21" t="s">
        <v>74</v>
      </c>
      <c r="C20" s="46" t="s">
        <v>28</v>
      </c>
      <c r="D20" s="47">
        <v>43727</v>
      </c>
      <c r="F20" s="22" t="s">
        <v>64</v>
      </c>
      <c r="G20" s="22">
        <v>1668404</v>
      </c>
      <c r="H20" s="16" t="s">
        <v>75</v>
      </c>
      <c r="I20" s="34" t="s">
        <v>76</v>
      </c>
      <c r="J20" s="39" t="s">
        <v>50</v>
      </c>
      <c r="K20" s="34"/>
      <c r="L20" s="34"/>
      <c r="N20" s="22"/>
      <c r="O20" s="39"/>
      <c r="P20" s="16"/>
      <c r="Q20" s="39"/>
      <c r="R20" s="39"/>
      <c r="S20" s="39"/>
      <c r="T20" s="39"/>
      <c r="U20" s="39"/>
      <c r="V20" s="39"/>
      <c r="W20" s="39"/>
      <c r="X20" s="34"/>
      <c r="Y20" s="39"/>
    </row>
    <row r="21" spans="2:25">
      <c r="B21" s="21" t="s">
        <v>74</v>
      </c>
      <c r="C21" s="46" t="s">
        <v>28</v>
      </c>
      <c r="D21" s="47">
        <v>43727</v>
      </c>
      <c r="F21" s="22" t="s">
        <v>77</v>
      </c>
      <c r="G21" s="39">
        <v>1833801</v>
      </c>
      <c r="H21" s="16" t="s">
        <v>78</v>
      </c>
      <c r="I21" s="34"/>
      <c r="J21" s="39" t="s">
        <v>31</v>
      </c>
      <c r="K21" s="34"/>
      <c r="L21" s="34"/>
      <c r="N21" s="22"/>
      <c r="O21" s="39"/>
      <c r="P21" s="16"/>
      <c r="Q21" s="39"/>
      <c r="R21" s="39"/>
      <c r="S21" s="39"/>
      <c r="T21" s="39"/>
      <c r="U21" s="39"/>
      <c r="V21" s="39"/>
      <c r="W21" s="39"/>
      <c r="X21" s="34"/>
      <c r="Y21" s="39"/>
    </row>
    <row r="22" spans="2:25">
      <c r="B22" s="21" t="s">
        <v>74</v>
      </c>
      <c r="C22" s="46" t="s">
        <v>28</v>
      </c>
      <c r="D22" s="47">
        <v>43727</v>
      </c>
      <c r="F22" s="22" t="s">
        <v>77</v>
      </c>
      <c r="G22" s="39">
        <v>1834001</v>
      </c>
      <c r="H22" s="16" t="s">
        <v>79</v>
      </c>
      <c r="I22" s="34"/>
      <c r="J22" s="39" t="s">
        <v>31</v>
      </c>
      <c r="K22" s="34"/>
      <c r="L22" s="34"/>
      <c r="N22" s="22"/>
      <c r="O22" s="39"/>
      <c r="P22" s="16"/>
      <c r="Q22" s="39"/>
      <c r="R22" s="39"/>
      <c r="S22" s="39"/>
      <c r="T22" s="39"/>
      <c r="U22" s="39"/>
      <c r="V22" s="39"/>
      <c r="W22" s="39"/>
      <c r="X22" s="34"/>
      <c r="Y22" s="39"/>
    </row>
    <row r="23" spans="2:25">
      <c r="B23" s="21" t="s">
        <v>74</v>
      </c>
      <c r="C23" s="46" t="s">
        <v>28</v>
      </c>
      <c r="D23" s="47">
        <v>43727</v>
      </c>
      <c r="F23" s="22" t="s">
        <v>77</v>
      </c>
      <c r="G23" s="39">
        <v>1833403</v>
      </c>
      <c r="H23" s="16" t="s">
        <v>80</v>
      </c>
      <c r="I23" s="34"/>
      <c r="J23" s="39" t="s">
        <v>31</v>
      </c>
      <c r="K23" s="34"/>
      <c r="L23" s="34"/>
      <c r="N23" s="22"/>
      <c r="O23" s="39"/>
      <c r="P23" s="16"/>
      <c r="Q23" s="39"/>
      <c r="R23" s="39"/>
      <c r="S23" s="39"/>
      <c r="T23" s="39"/>
      <c r="U23" s="39"/>
      <c r="V23" s="39"/>
      <c r="W23" s="39"/>
      <c r="X23" s="34"/>
      <c r="Y23" s="39"/>
    </row>
    <row r="24" spans="2:25">
      <c r="B24" s="21" t="s">
        <v>74</v>
      </c>
      <c r="C24" s="46" t="s">
        <v>28</v>
      </c>
      <c r="D24" s="47">
        <v>43727</v>
      </c>
      <c r="F24" s="22" t="s">
        <v>48</v>
      </c>
      <c r="G24" s="39">
        <v>1984001</v>
      </c>
      <c r="H24" s="16" t="s">
        <v>81</v>
      </c>
      <c r="I24" s="34"/>
      <c r="J24" s="39" t="s">
        <v>50</v>
      </c>
      <c r="K24" s="34"/>
      <c r="L24" s="34"/>
      <c r="N24" s="22"/>
      <c r="O24" s="39"/>
      <c r="P24" s="16"/>
      <c r="Q24" s="39"/>
      <c r="R24" s="39"/>
      <c r="S24" s="39"/>
      <c r="T24" s="39"/>
      <c r="U24" s="39"/>
      <c r="V24" s="39"/>
      <c r="W24" s="39"/>
      <c r="X24" s="34"/>
      <c r="Y24" s="39"/>
    </row>
    <row r="25" spans="2:25">
      <c r="B25" s="21" t="s">
        <v>74</v>
      </c>
      <c r="C25" s="46" t="s">
        <v>28</v>
      </c>
      <c r="D25" s="47">
        <v>43727</v>
      </c>
      <c r="F25" s="22" t="s">
        <v>29</v>
      </c>
      <c r="G25" s="22">
        <v>1988301</v>
      </c>
      <c r="H25" s="16" t="s">
        <v>82</v>
      </c>
      <c r="I25" s="34"/>
      <c r="J25" s="39" t="s">
        <v>50</v>
      </c>
      <c r="K25" s="34"/>
      <c r="L25" s="34"/>
      <c r="N25" s="22"/>
      <c r="O25" s="39"/>
      <c r="P25" s="16"/>
      <c r="Q25" s="39"/>
      <c r="R25" s="39"/>
      <c r="S25" s="39"/>
      <c r="T25" s="39"/>
      <c r="U25" s="39"/>
      <c r="V25" s="39"/>
      <c r="W25" s="39"/>
      <c r="X25" s="34"/>
      <c r="Y25" s="39"/>
    </row>
    <row r="26" spans="2:25">
      <c r="B26" s="21" t="s">
        <v>74</v>
      </c>
      <c r="C26" s="46" t="s">
        <v>28</v>
      </c>
      <c r="D26" s="47">
        <v>43727</v>
      </c>
      <c r="F26" s="22" t="s">
        <v>29</v>
      </c>
      <c r="G26" s="22">
        <v>1988101</v>
      </c>
      <c r="H26" s="16" t="s">
        <v>83</v>
      </c>
      <c r="I26" s="34"/>
      <c r="J26" s="39" t="s">
        <v>50</v>
      </c>
      <c r="K26" s="34"/>
      <c r="L26" s="34"/>
      <c r="N26" s="22"/>
      <c r="O26" s="39"/>
      <c r="P26" s="16"/>
      <c r="Q26" s="39"/>
      <c r="R26" s="39"/>
      <c r="S26" s="39"/>
      <c r="T26" s="39"/>
      <c r="U26" s="39"/>
      <c r="V26" s="39"/>
      <c r="W26" s="39"/>
      <c r="X26" s="34"/>
      <c r="Y26" s="39"/>
    </row>
    <row r="27" spans="2:25">
      <c r="B27" s="21" t="s">
        <v>74</v>
      </c>
      <c r="C27" s="46" t="s">
        <v>28</v>
      </c>
      <c r="D27" s="47">
        <v>43727</v>
      </c>
      <c r="F27" s="22" t="s">
        <v>29</v>
      </c>
      <c r="G27" s="22">
        <v>1809402</v>
      </c>
      <c r="H27" s="16" t="s">
        <v>84</v>
      </c>
      <c r="I27" s="34"/>
      <c r="J27" s="39" t="s">
        <v>50</v>
      </c>
      <c r="K27" s="34"/>
      <c r="L27" s="34"/>
      <c r="N27" s="22"/>
      <c r="O27" s="39"/>
      <c r="P27" s="16"/>
      <c r="Q27" s="39"/>
      <c r="R27" s="39"/>
      <c r="S27" s="39"/>
      <c r="T27" s="39"/>
      <c r="U27" s="39"/>
      <c r="V27" s="39"/>
      <c r="W27" s="39"/>
      <c r="X27" s="34"/>
      <c r="Y27" s="39"/>
    </row>
    <row r="28" spans="2:25">
      <c r="B28" s="21" t="s">
        <v>27</v>
      </c>
      <c r="C28" s="46" t="s">
        <v>28</v>
      </c>
      <c r="D28" s="47">
        <v>43748</v>
      </c>
      <c r="F28" s="22" t="s">
        <v>41</v>
      </c>
      <c r="G28" s="22">
        <v>2003601</v>
      </c>
      <c r="H28" s="56" t="s">
        <v>85</v>
      </c>
      <c r="I28" s="54"/>
      <c r="J28" s="22" t="s">
        <v>31</v>
      </c>
      <c r="N28" s="39"/>
      <c r="O28" s="39"/>
      <c r="P28" s="39"/>
      <c r="Q28" s="39"/>
      <c r="R28" s="34"/>
      <c r="S28" s="39"/>
      <c r="T28" s="39"/>
      <c r="U28" s="34"/>
      <c r="V28" s="34"/>
      <c r="W28" s="34"/>
      <c r="X28" s="34"/>
      <c r="Y28" s="39"/>
    </row>
    <row r="29" spans="2:25">
      <c r="B29" s="21" t="s">
        <v>47</v>
      </c>
      <c r="C29" s="46" t="s">
        <v>28</v>
      </c>
      <c r="D29" s="47">
        <v>43748</v>
      </c>
      <c r="F29" s="22"/>
      <c r="G29" s="22"/>
      <c r="H29" s="22"/>
      <c r="I29" s="54"/>
      <c r="J29" s="22"/>
      <c r="N29" s="39" t="s">
        <v>86</v>
      </c>
      <c r="O29" s="39">
        <v>718501</v>
      </c>
      <c r="P29" s="16" t="s">
        <v>87</v>
      </c>
      <c r="Q29" s="39" t="s">
        <v>31</v>
      </c>
      <c r="R29" s="34"/>
      <c r="S29" s="34"/>
      <c r="T29" s="34"/>
      <c r="U29" s="34"/>
      <c r="V29" s="34"/>
      <c r="W29" s="34" t="s">
        <v>35</v>
      </c>
      <c r="X29" s="34" t="s">
        <v>36</v>
      </c>
      <c r="Y29" s="34"/>
    </row>
    <row r="30" spans="2:25">
      <c r="B30" s="21" t="s">
        <v>74</v>
      </c>
      <c r="C30" s="46" t="s">
        <v>28</v>
      </c>
      <c r="D30" s="47">
        <v>43756</v>
      </c>
      <c r="F30" s="22" t="s">
        <v>69</v>
      </c>
      <c r="G30" s="22">
        <v>1791805</v>
      </c>
      <c r="H30" s="56" t="s">
        <v>88</v>
      </c>
      <c r="I30" s="54" t="s">
        <v>76</v>
      </c>
      <c r="J30" s="22" t="s">
        <v>31</v>
      </c>
      <c r="M30" s="3"/>
      <c r="N30" s="39"/>
      <c r="O30" s="22"/>
      <c r="P30" s="22"/>
      <c r="Q30" s="22"/>
      <c r="R30" s="22"/>
      <c r="S30" s="22"/>
      <c r="T30" s="22"/>
      <c r="U30" s="22"/>
      <c r="V30" s="22"/>
      <c r="W30" s="22"/>
      <c r="X30" s="54"/>
      <c r="Y30" s="22"/>
    </row>
    <row r="31" spans="2:25">
      <c r="B31" s="21" t="s">
        <v>47</v>
      </c>
      <c r="C31" s="46" t="s">
        <v>28</v>
      </c>
      <c r="D31" s="47">
        <v>43784</v>
      </c>
      <c r="F31" s="22"/>
      <c r="G31" s="22"/>
      <c r="H31" s="22"/>
      <c r="I31" s="54"/>
      <c r="J31" s="22"/>
      <c r="N31" s="39" t="s">
        <v>89</v>
      </c>
      <c r="O31" s="39">
        <v>2007403</v>
      </c>
      <c r="P31" s="77" t="s">
        <v>90</v>
      </c>
      <c r="Q31" s="39" t="s">
        <v>50</v>
      </c>
      <c r="R31" s="34" t="s">
        <v>73</v>
      </c>
      <c r="S31" s="39"/>
      <c r="T31" s="22"/>
      <c r="U31" s="34" t="s">
        <v>91</v>
      </c>
      <c r="V31" s="34" t="s">
        <v>92</v>
      </c>
      <c r="W31" s="34" t="s">
        <v>35</v>
      </c>
      <c r="X31" s="34" t="s">
        <v>36</v>
      </c>
      <c r="Y31" s="34"/>
    </row>
    <row r="32" spans="2:25">
      <c r="B32" s="21" t="s">
        <v>47</v>
      </c>
      <c r="C32" s="46" t="s">
        <v>28</v>
      </c>
      <c r="D32" s="47">
        <v>43784</v>
      </c>
      <c r="F32" s="22"/>
      <c r="G32" s="22"/>
      <c r="H32" s="22"/>
      <c r="I32" s="54"/>
      <c r="J32" s="22"/>
      <c r="N32" s="39" t="s">
        <v>89</v>
      </c>
      <c r="O32" s="39">
        <v>1876209</v>
      </c>
      <c r="P32" s="77" t="s">
        <v>93</v>
      </c>
      <c r="Q32" s="39" t="s">
        <v>50</v>
      </c>
      <c r="R32" s="39"/>
      <c r="S32" s="39"/>
      <c r="T32" s="22"/>
      <c r="U32" s="34" t="s">
        <v>91</v>
      </c>
      <c r="V32" s="34" t="s">
        <v>94</v>
      </c>
      <c r="W32" s="34" t="s">
        <v>35</v>
      </c>
      <c r="X32" s="34" t="s">
        <v>36</v>
      </c>
      <c r="Y32" s="34"/>
    </row>
    <row r="33" spans="2:25">
      <c r="B33" s="21" t="s">
        <v>47</v>
      </c>
      <c r="C33" s="46" t="s">
        <v>28</v>
      </c>
      <c r="D33" s="47">
        <v>43784</v>
      </c>
      <c r="F33" s="22"/>
      <c r="G33" s="22"/>
      <c r="H33" s="22"/>
      <c r="I33" s="54"/>
      <c r="J33" s="22"/>
      <c r="N33" s="39" t="s">
        <v>95</v>
      </c>
      <c r="O33" s="39">
        <v>1637102</v>
      </c>
      <c r="P33" s="77" t="s">
        <v>96</v>
      </c>
      <c r="Q33" s="39" t="s">
        <v>31</v>
      </c>
      <c r="R33" s="39"/>
      <c r="S33" s="39"/>
      <c r="T33" s="22"/>
      <c r="U33" s="34" t="s">
        <v>92</v>
      </c>
      <c r="V33" s="34" t="s">
        <v>92</v>
      </c>
      <c r="W33" s="34" t="s">
        <v>92</v>
      </c>
      <c r="X33" s="34" t="s">
        <v>36</v>
      </c>
      <c r="Y33" s="54" t="s">
        <v>97</v>
      </c>
    </row>
    <row r="34" spans="2:25">
      <c r="B34" s="21" t="s">
        <v>47</v>
      </c>
      <c r="C34" s="46" t="s">
        <v>28</v>
      </c>
      <c r="D34" s="47">
        <v>43789</v>
      </c>
      <c r="F34" s="22"/>
      <c r="G34" s="22"/>
      <c r="H34" s="22"/>
      <c r="I34" s="54"/>
      <c r="J34" s="22"/>
      <c r="N34" s="39" t="s">
        <v>89</v>
      </c>
      <c r="O34" s="39">
        <v>2017802</v>
      </c>
      <c r="P34" s="77" t="s">
        <v>98</v>
      </c>
      <c r="Q34" s="39" t="s">
        <v>50</v>
      </c>
      <c r="R34" s="39"/>
      <c r="S34" s="39"/>
      <c r="T34" s="22"/>
      <c r="U34" s="34" t="s">
        <v>91</v>
      </c>
      <c r="V34" s="34" t="s">
        <v>94</v>
      </c>
      <c r="W34" s="34" t="s">
        <v>35</v>
      </c>
      <c r="X34" s="34" t="s">
        <v>36</v>
      </c>
      <c r="Y34" s="34"/>
    </row>
    <row r="35" spans="2:25">
      <c r="B35" s="21" t="s">
        <v>47</v>
      </c>
      <c r="C35" s="46" t="s">
        <v>28</v>
      </c>
      <c r="D35" s="47">
        <v>43789</v>
      </c>
      <c r="F35" s="22"/>
      <c r="G35" s="22"/>
      <c r="H35" s="22"/>
      <c r="I35" s="54"/>
      <c r="J35" s="22"/>
      <c r="N35" s="39" t="s">
        <v>48</v>
      </c>
      <c r="O35" s="39">
        <v>1887305</v>
      </c>
      <c r="P35" s="77" t="s">
        <v>99</v>
      </c>
      <c r="Q35" s="39" t="s">
        <v>50</v>
      </c>
      <c r="R35" s="39"/>
      <c r="S35" s="39"/>
      <c r="T35" s="22"/>
      <c r="U35" s="34" t="s">
        <v>91</v>
      </c>
      <c r="V35" s="34" t="s">
        <v>94</v>
      </c>
      <c r="W35" s="34" t="s">
        <v>35</v>
      </c>
      <c r="X35" s="34" t="s">
        <v>36</v>
      </c>
      <c r="Y35" s="34" t="s">
        <v>100</v>
      </c>
    </row>
    <row r="36" spans="2:25">
      <c r="B36" s="21" t="s">
        <v>47</v>
      </c>
      <c r="C36" s="46" t="s">
        <v>28</v>
      </c>
      <c r="D36" s="47">
        <v>43789</v>
      </c>
      <c r="F36" s="22"/>
      <c r="G36" s="22"/>
      <c r="H36" s="22"/>
      <c r="I36" s="54"/>
      <c r="J36" s="22"/>
      <c r="N36" s="39" t="s">
        <v>57</v>
      </c>
      <c r="O36" s="39">
        <v>7215</v>
      </c>
      <c r="P36" s="77" t="s">
        <v>101</v>
      </c>
      <c r="Q36" s="39" t="s">
        <v>50</v>
      </c>
      <c r="R36" s="39"/>
      <c r="S36" s="39"/>
      <c r="T36" s="22"/>
      <c r="U36" s="34"/>
      <c r="V36" s="34"/>
      <c r="W36" s="34" t="s">
        <v>35</v>
      </c>
      <c r="X36" s="34" t="s">
        <v>102</v>
      </c>
      <c r="Y36" s="34"/>
    </row>
    <row r="37" spans="2:25">
      <c r="B37" s="21" t="s">
        <v>47</v>
      </c>
      <c r="C37" s="46" t="s">
        <v>28</v>
      </c>
      <c r="D37" s="47">
        <v>43811</v>
      </c>
      <c r="F37" s="22"/>
      <c r="G37" s="22"/>
      <c r="H37" s="22"/>
      <c r="I37" s="54"/>
      <c r="J37" s="22"/>
      <c r="N37" s="39" t="s">
        <v>103</v>
      </c>
      <c r="O37" s="39">
        <v>1339401</v>
      </c>
      <c r="P37" s="16" t="s">
        <v>104</v>
      </c>
      <c r="Q37" s="39" t="s">
        <v>50</v>
      </c>
      <c r="R37" s="34"/>
      <c r="S37" s="34"/>
      <c r="T37" s="34"/>
      <c r="U37" s="34"/>
      <c r="V37" s="34"/>
      <c r="W37" s="34" t="s">
        <v>35</v>
      </c>
      <c r="X37" s="34" t="s">
        <v>36</v>
      </c>
      <c r="Y37" s="34"/>
    </row>
    <row r="38" spans="2:25">
      <c r="B38" s="21" t="s">
        <v>47</v>
      </c>
      <c r="C38" s="46" t="s">
        <v>28</v>
      </c>
      <c r="D38" s="47">
        <v>43811</v>
      </c>
      <c r="F38" s="22"/>
      <c r="G38" s="22"/>
      <c r="H38" s="22"/>
      <c r="I38" s="54"/>
      <c r="J38" s="22"/>
      <c r="N38" s="39" t="s">
        <v>105</v>
      </c>
      <c r="O38" s="39">
        <v>2080104</v>
      </c>
      <c r="P38" s="77" t="s">
        <v>106</v>
      </c>
      <c r="Q38" s="39" t="s">
        <v>50</v>
      </c>
      <c r="R38" s="34" t="s">
        <v>107</v>
      </c>
      <c r="S38" s="34"/>
      <c r="T38" s="34"/>
      <c r="U38" s="34"/>
      <c r="V38" s="34"/>
      <c r="W38" s="34" t="s">
        <v>35</v>
      </c>
      <c r="X38" s="34" t="s">
        <v>36</v>
      </c>
      <c r="Y38" s="34" t="s">
        <v>108</v>
      </c>
    </row>
    <row r="39" spans="2:25">
      <c r="B39" s="21" t="s">
        <v>47</v>
      </c>
      <c r="C39" s="46" t="s">
        <v>28</v>
      </c>
      <c r="D39" s="47">
        <v>43811</v>
      </c>
      <c r="F39" s="22"/>
      <c r="G39" s="22"/>
      <c r="H39" s="22"/>
      <c r="I39" s="54"/>
      <c r="J39" s="22"/>
      <c r="N39" s="39" t="s">
        <v>105</v>
      </c>
      <c r="O39" s="39">
        <v>2080004</v>
      </c>
      <c r="P39" s="77" t="s">
        <v>109</v>
      </c>
      <c r="Q39" s="39" t="s">
        <v>50</v>
      </c>
      <c r="R39" s="34" t="s">
        <v>107</v>
      </c>
      <c r="S39" s="34"/>
      <c r="T39" s="34"/>
      <c r="U39" s="34"/>
      <c r="V39" s="34"/>
      <c r="W39" s="34" t="s">
        <v>35</v>
      </c>
      <c r="X39" s="34" t="s">
        <v>36</v>
      </c>
      <c r="Y39" s="34" t="s">
        <v>108</v>
      </c>
    </row>
    <row r="40" spans="2:25">
      <c r="B40" s="16" t="s">
        <v>74</v>
      </c>
      <c r="C40" s="46" t="s">
        <v>28</v>
      </c>
      <c r="D40" s="47">
        <v>43811</v>
      </c>
      <c r="F40" s="39" t="s">
        <v>48</v>
      </c>
      <c r="G40" s="22">
        <v>1931601</v>
      </c>
      <c r="H40" s="56" t="s">
        <v>110</v>
      </c>
      <c r="I40" s="54"/>
      <c r="J40" s="22" t="s">
        <v>50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54"/>
      <c r="Y40" s="54" t="s">
        <v>111</v>
      </c>
    </row>
    <row r="41" spans="2:25">
      <c r="B41" s="16" t="s">
        <v>74</v>
      </c>
      <c r="C41" s="46" t="s">
        <v>28</v>
      </c>
      <c r="D41" s="47">
        <v>43811</v>
      </c>
      <c r="F41" s="39" t="s">
        <v>112</v>
      </c>
      <c r="G41" s="22">
        <v>2011401</v>
      </c>
      <c r="H41" s="56" t="s">
        <v>113</v>
      </c>
      <c r="I41" s="54" t="s">
        <v>114</v>
      </c>
      <c r="J41" s="22" t="s">
        <v>31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54"/>
      <c r="Y41" s="54" t="s">
        <v>115</v>
      </c>
    </row>
    <row r="42" spans="2:25">
      <c r="B42" s="16" t="s">
        <v>74</v>
      </c>
      <c r="C42" s="46" t="s">
        <v>28</v>
      </c>
      <c r="D42" s="47">
        <v>43811</v>
      </c>
      <c r="F42" s="39" t="s">
        <v>48</v>
      </c>
      <c r="G42" s="22">
        <v>1984101</v>
      </c>
      <c r="H42" s="56" t="s">
        <v>116</v>
      </c>
      <c r="I42" s="54"/>
      <c r="J42" s="22" t="s">
        <v>31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54"/>
      <c r="Y42" s="22"/>
    </row>
    <row r="43" spans="2:25">
      <c r="B43" s="16" t="s">
        <v>74</v>
      </c>
      <c r="C43" s="46" t="s">
        <v>28</v>
      </c>
      <c r="D43" s="47">
        <v>43811</v>
      </c>
      <c r="F43" s="39" t="s">
        <v>48</v>
      </c>
      <c r="G43" s="22">
        <v>2024101</v>
      </c>
      <c r="H43" s="56" t="s">
        <v>49</v>
      </c>
      <c r="I43" s="54"/>
      <c r="J43" s="22" t="s">
        <v>50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54"/>
      <c r="Y43" s="22"/>
    </row>
    <row r="44" spans="2:25">
      <c r="B44" s="16" t="s">
        <v>74</v>
      </c>
      <c r="C44" s="46" t="s">
        <v>28</v>
      </c>
      <c r="D44" s="47">
        <v>43811</v>
      </c>
      <c r="F44" s="39" t="s">
        <v>29</v>
      </c>
      <c r="G44" s="22">
        <v>1809302</v>
      </c>
      <c r="H44" s="56" t="s">
        <v>117</v>
      </c>
      <c r="I44" s="54"/>
      <c r="J44" s="39" t="s">
        <v>50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54"/>
      <c r="Y44" s="22"/>
    </row>
    <row r="45" spans="2:25">
      <c r="B45" s="21" t="s">
        <v>47</v>
      </c>
      <c r="C45" s="46" t="s">
        <v>28</v>
      </c>
      <c r="D45" s="58">
        <v>43819</v>
      </c>
      <c r="F45" s="22"/>
      <c r="G45" s="22"/>
      <c r="H45" s="22"/>
      <c r="I45" s="54"/>
      <c r="J45" s="22"/>
      <c r="K45" s="22"/>
      <c r="L45" s="22"/>
      <c r="N45" s="22" t="s">
        <v>41</v>
      </c>
      <c r="O45" s="22">
        <v>2098401</v>
      </c>
      <c r="P45" s="56" t="s">
        <v>118</v>
      </c>
      <c r="Q45" s="22" t="s">
        <v>31</v>
      </c>
      <c r="R45" s="54" t="s">
        <v>119</v>
      </c>
      <c r="S45" s="22"/>
      <c r="T45" s="22"/>
      <c r="U45" s="22"/>
      <c r="V45" s="22"/>
      <c r="W45" s="54" t="s">
        <v>35</v>
      </c>
      <c r="X45" s="54" t="s">
        <v>36</v>
      </c>
      <c r="Y45" s="54"/>
    </row>
    <row r="46" spans="2:25">
      <c r="B46" s="21" t="s">
        <v>47</v>
      </c>
      <c r="C46" s="46" t="s">
        <v>28</v>
      </c>
      <c r="D46" s="58">
        <v>43819</v>
      </c>
      <c r="F46" s="22"/>
      <c r="G46" s="22"/>
      <c r="H46" s="22"/>
      <c r="I46" s="54"/>
      <c r="J46" s="22"/>
      <c r="K46" s="22"/>
      <c r="L46" s="22"/>
      <c r="N46" s="22" t="s">
        <v>69</v>
      </c>
      <c r="O46" s="22">
        <v>2077502</v>
      </c>
      <c r="P46" s="56" t="s">
        <v>120</v>
      </c>
      <c r="Q46" s="22" t="s">
        <v>31</v>
      </c>
      <c r="R46" s="54" t="s">
        <v>121</v>
      </c>
      <c r="S46" s="22"/>
      <c r="T46" s="22"/>
      <c r="U46" s="22"/>
      <c r="V46" s="22"/>
      <c r="W46" s="54" t="s">
        <v>35</v>
      </c>
      <c r="X46" s="54" t="s">
        <v>36</v>
      </c>
      <c r="Y46" s="54"/>
    </row>
    <row r="47" spans="2:25">
      <c r="B47" s="21" t="s">
        <v>47</v>
      </c>
      <c r="C47" s="46" t="s">
        <v>28</v>
      </c>
      <c r="D47" s="58">
        <v>43819</v>
      </c>
      <c r="F47" s="22"/>
      <c r="G47" s="22"/>
      <c r="H47" s="22"/>
      <c r="I47" s="54"/>
      <c r="J47" s="22"/>
      <c r="K47" s="22"/>
      <c r="L47" s="22"/>
      <c r="N47" s="22" t="s">
        <v>69</v>
      </c>
      <c r="O47" s="22">
        <v>1954702</v>
      </c>
      <c r="P47" s="56" t="s">
        <v>122</v>
      </c>
      <c r="Q47" s="22" t="s">
        <v>50</v>
      </c>
      <c r="R47" s="54" t="s">
        <v>121</v>
      </c>
      <c r="S47" s="22"/>
      <c r="T47" s="22"/>
      <c r="U47" s="22"/>
      <c r="V47" s="22"/>
      <c r="W47" s="54" t="s">
        <v>35</v>
      </c>
      <c r="X47" s="54" t="s">
        <v>36</v>
      </c>
      <c r="Y47" s="54"/>
    </row>
    <row r="48" spans="2:25">
      <c r="B48" s="21" t="s">
        <v>47</v>
      </c>
      <c r="C48" s="46" t="s">
        <v>28</v>
      </c>
      <c r="D48" s="58">
        <v>43847</v>
      </c>
      <c r="F48" s="22"/>
      <c r="G48" s="22"/>
      <c r="H48" s="22"/>
      <c r="I48" s="54"/>
      <c r="J48" s="22"/>
      <c r="N48" s="22" t="s">
        <v>57</v>
      </c>
      <c r="O48" s="22">
        <v>1960115</v>
      </c>
      <c r="P48" s="56" t="s">
        <v>123</v>
      </c>
      <c r="Q48" s="22" t="s">
        <v>50</v>
      </c>
      <c r="R48" s="54" t="s">
        <v>124</v>
      </c>
      <c r="S48" s="54"/>
      <c r="T48" s="54"/>
      <c r="U48" s="54"/>
      <c r="V48" s="54" t="s">
        <v>94</v>
      </c>
      <c r="W48" s="54" t="s">
        <v>35</v>
      </c>
      <c r="X48" s="54" t="s">
        <v>36</v>
      </c>
      <c r="Y48" s="54"/>
    </row>
    <row r="49" spans="2:25">
      <c r="B49" s="21" t="s">
        <v>47</v>
      </c>
      <c r="C49" s="46" t="s">
        <v>28</v>
      </c>
      <c r="D49" s="58">
        <v>43847</v>
      </c>
      <c r="F49" s="22"/>
      <c r="G49" s="22"/>
      <c r="H49" s="22"/>
      <c r="I49" s="54"/>
      <c r="J49" s="22"/>
      <c r="N49" s="22" t="s">
        <v>57</v>
      </c>
      <c r="O49" s="22">
        <v>1959919</v>
      </c>
      <c r="P49" s="56" t="s">
        <v>125</v>
      </c>
      <c r="Q49" s="22" t="s">
        <v>50</v>
      </c>
      <c r="R49" s="54" t="s">
        <v>124</v>
      </c>
      <c r="S49" s="54"/>
      <c r="T49" s="54"/>
      <c r="U49" s="54"/>
      <c r="V49" s="54" t="s">
        <v>94</v>
      </c>
      <c r="W49" s="54" t="s">
        <v>35</v>
      </c>
      <c r="X49" s="54" t="s">
        <v>36</v>
      </c>
      <c r="Y49" s="54"/>
    </row>
    <row r="50" spans="2:25">
      <c r="B50" s="21" t="s">
        <v>47</v>
      </c>
      <c r="C50" s="46" t="s">
        <v>28</v>
      </c>
      <c r="D50" s="58">
        <v>43847</v>
      </c>
      <c r="F50" s="22"/>
      <c r="G50" s="22"/>
      <c r="H50" s="22"/>
      <c r="I50" s="54"/>
      <c r="J50" s="22"/>
      <c r="N50" s="22" t="s">
        <v>126</v>
      </c>
      <c r="O50" s="84">
        <v>974801</v>
      </c>
      <c r="P50" s="85" t="s">
        <v>127</v>
      </c>
      <c r="Q50" s="22" t="s">
        <v>50</v>
      </c>
      <c r="R50" s="22"/>
      <c r="S50" s="22"/>
      <c r="T50" s="22"/>
      <c r="U50" s="22"/>
      <c r="V50" s="22"/>
      <c r="W50" s="54" t="s">
        <v>35</v>
      </c>
      <c r="X50" s="54" t="s">
        <v>36</v>
      </c>
      <c r="Y50" s="22"/>
    </row>
    <row r="51" spans="2:25">
      <c r="B51" s="21" t="s">
        <v>74</v>
      </c>
      <c r="C51" s="46" t="s">
        <v>28</v>
      </c>
      <c r="D51" s="58">
        <v>43847</v>
      </c>
      <c r="F51" s="22" t="s">
        <v>128</v>
      </c>
      <c r="G51" s="22">
        <v>1876201</v>
      </c>
      <c r="H51" s="56" t="s">
        <v>93</v>
      </c>
      <c r="I51" s="54"/>
      <c r="J51" s="22" t="s">
        <v>50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54"/>
      <c r="Y51" s="54" t="s">
        <v>129</v>
      </c>
    </row>
    <row r="52" spans="2:25">
      <c r="B52" s="21" t="s">
        <v>47</v>
      </c>
      <c r="C52" s="46" t="s">
        <v>28</v>
      </c>
      <c r="D52" s="58">
        <v>43847</v>
      </c>
      <c r="E52" s="17"/>
      <c r="F52" s="22"/>
      <c r="G52" s="22"/>
      <c r="H52" s="22"/>
      <c r="I52" s="54"/>
      <c r="J52" s="22"/>
      <c r="K52"/>
      <c r="L52"/>
      <c r="M52" s="17"/>
      <c r="N52" s="22" t="s">
        <v>64</v>
      </c>
      <c r="O52" s="22">
        <v>1895202</v>
      </c>
      <c r="P52" s="56" t="s">
        <v>130</v>
      </c>
      <c r="Q52" s="22" t="s">
        <v>50</v>
      </c>
      <c r="R52" s="54" t="s">
        <v>131</v>
      </c>
      <c r="S52" s="22"/>
      <c r="T52" s="22"/>
      <c r="U52" s="54" t="s">
        <v>132</v>
      </c>
      <c r="V52" s="54" t="s">
        <v>94</v>
      </c>
      <c r="W52" s="54" t="s">
        <v>35</v>
      </c>
      <c r="X52" s="54" t="s">
        <v>36</v>
      </c>
      <c r="Y52" s="54"/>
    </row>
    <row r="53" spans="2:25">
      <c r="B53" s="21" t="s">
        <v>47</v>
      </c>
      <c r="C53" s="46" t="s">
        <v>28</v>
      </c>
      <c r="D53" s="58">
        <v>43847</v>
      </c>
      <c r="E53" s="17"/>
      <c r="F53" s="22"/>
      <c r="G53" s="22"/>
      <c r="H53" s="22"/>
      <c r="I53" s="54"/>
      <c r="J53" s="22"/>
      <c r="K53"/>
      <c r="L53"/>
      <c r="M53" s="17"/>
      <c r="N53" s="22" t="s">
        <v>64</v>
      </c>
      <c r="O53" s="22">
        <v>1895201</v>
      </c>
      <c r="P53" s="56" t="s">
        <v>133</v>
      </c>
      <c r="Q53" s="22" t="s">
        <v>50</v>
      </c>
      <c r="R53" s="54" t="s">
        <v>134</v>
      </c>
      <c r="S53" s="22"/>
      <c r="T53" s="22"/>
      <c r="U53" s="54" t="s">
        <v>132</v>
      </c>
      <c r="V53" s="54" t="s">
        <v>94</v>
      </c>
      <c r="W53" s="54" t="s">
        <v>35</v>
      </c>
      <c r="X53" s="54" t="s">
        <v>36</v>
      </c>
      <c r="Y53" s="54"/>
    </row>
    <row r="54" spans="2:25">
      <c r="B54" s="21" t="s">
        <v>47</v>
      </c>
      <c r="C54" s="46" t="s">
        <v>28</v>
      </c>
      <c r="D54" s="58">
        <v>43854</v>
      </c>
      <c r="F54" s="22"/>
      <c r="G54" s="22"/>
      <c r="H54" s="22"/>
      <c r="I54" s="54"/>
      <c r="J54" s="22"/>
      <c r="N54" s="22" t="s">
        <v>48</v>
      </c>
      <c r="O54" s="22">
        <v>1682201</v>
      </c>
      <c r="P54" s="56" t="s">
        <v>135</v>
      </c>
      <c r="Q54" s="22" t="s">
        <v>50</v>
      </c>
      <c r="R54" s="54" t="s">
        <v>136</v>
      </c>
      <c r="S54" s="22"/>
      <c r="T54" s="22"/>
      <c r="U54" s="54" t="s">
        <v>132</v>
      </c>
      <c r="V54" s="54" t="s">
        <v>94</v>
      </c>
      <c r="W54" s="54" t="s">
        <v>35</v>
      </c>
      <c r="X54" s="54" t="s">
        <v>36</v>
      </c>
      <c r="Y54" s="54"/>
    </row>
    <row r="55" spans="2:25">
      <c r="B55" s="21" t="s">
        <v>47</v>
      </c>
      <c r="C55" s="46" t="s">
        <v>28</v>
      </c>
      <c r="D55" s="58">
        <v>43854</v>
      </c>
      <c r="F55" s="22"/>
      <c r="G55" s="22"/>
      <c r="H55" s="22"/>
      <c r="I55" s="54"/>
      <c r="J55" s="22"/>
      <c r="N55" s="22" t="s">
        <v>48</v>
      </c>
      <c r="O55" s="22">
        <v>1900501</v>
      </c>
      <c r="P55" s="56" t="s">
        <v>137</v>
      </c>
      <c r="Q55" s="22"/>
      <c r="R55" s="54" t="s">
        <v>136</v>
      </c>
      <c r="S55" s="22"/>
      <c r="T55" s="22"/>
      <c r="U55" s="54" t="s">
        <v>132</v>
      </c>
      <c r="V55" s="54" t="s">
        <v>94</v>
      </c>
      <c r="W55" s="54" t="s">
        <v>35</v>
      </c>
      <c r="X55" s="54" t="s">
        <v>36</v>
      </c>
      <c r="Y55" s="54"/>
    </row>
    <row r="56" spans="2:25">
      <c r="B56" s="21" t="s">
        <v>47</v>
      </c>
      <c r="C56" s="46" t="s">
        <v>28</v>
      </c>
      <c r="D56" s="58">
        <v>43854</v>
      </c>
      <c r="F56" s="22"/>
      <c r="G56" s="22"/>
      <c r="H56" s="22"/>
      <c r="I56" s="54"/>
      <c r="J56" s="22"/>
      <c r="N56" s="22" t="s">
        <v>57</v>
      </c>
      <c r="O56" s="22">
        <v>1184913</v>
      </c>
      <c r="P56" s="56" t="s">
        <v>138</v>
      </c>
      <c r="Q56" s="22"/>
      <c r="R56" s="54" t="s">
        <v>139</v>
      </c>
      <c r="S56" s="22"/>
      <c r="T56" s="22"/>
      <c r="U56" s="54" t="s">
        <v>132</v>
      </c>
      <c r="V56" s="54" t="s">
        <v>94</v>
      </c>
      <c r="W56" s="54" t="s">
        <v>35</v>
      </c>
      <c r="X56" s="54" t="s">
        <v>36</v>
      </c>
      <c r="Y56" s="54"/>
    </row>
    <row r="57" spans="2:25">
      <c r="B57" s="21" t="s">
        <v>47</v>
      </c>
      <c r="C57" s="46" t="s">
        <v>28</v>
      </c>
      <c r="D57" s="58">
        <v>43854</v>
      </c>
      <c r="F57" s="22"/>
      <c r="G57" s="22"/>
      <c r="H57" s="22"/>
      <c r="I57" s="54"/>
      <c r="J57" s="22"/>
      <c r="N57" s="22" t="s">
        <v>57</v>
      </c>
      <c r="O57" s="22">
        <v>1906602</v>
      </c>
      <c r="P57" s="56" t="s">
        <v>140</v>
      </c>
      <c r="Q57" s="22" t="s">
        <v>50</v>
      </c>
      <c r="R57" s="54" t="s">
        <v>139</v>
      </c>
      <c r="S57" s="22"/>
      <c r="T57" s="22"/>
      <c r="U57" s="54" t="s">
        <v>132</v>
      </c>
      <c r="V57" s="54" t="s">
        <v>94</v>
      </c>
      <c r="W57" s="54" t="s">
        <v>35</v>
      </c>
      <c r="X57" s="54" t="s">
        <v>36</v>
      </c>
      <c r="Y57" s="54"/>
    </row>
    <row r="58" spans="2:25">
      <c r="B58" s="21" t="s">
        <v>47</v>
      </c>
      <c r="C58" s="46" t="s">
        <v>28</v>
      </c>
      <c r="D58" s="58">
        <v>43854</v>
      </c>
      <c r="F58" s="22"/>
      <c r="G58" s="22"/>
      <c r="H58" s="22"/>
      <c r="I58" s="54"/>
      <c r="J58" s="22"/>
      <c r="N58" s="22" t="s">
        <v>41</v>
      </c>
      <c r="O58" s="22">
        <v>1929401</v>
      </c>
      <c r="P58" s="56" t="s">
        <v>141</v>
      </c>
      <c r="Q58" s="22"/>
      <c r="R58" s="54" t="s">
        <v>139</v>
      </c>
      <c r="S58" s="22"/>
      <c r="T58" s="22"/>
      <c r="U58" s="22"/>
      <c r="V58" s="54" t="s">
        <v>94</v>
      </c>
      <c r="W58" s="54" t="s">
        <v>35</v>
      </c>
      <c r="X58" s="54" t="s">
        <v>36</v>
      </c>
      <c r="Y58" s="54"/>
    </row>
    <row r="59" spans="2:25">
      <c r="B59" s="21" t="s">
        <v>47</v>
      </c>
      <c r="C59" s="46" t="s">
        <v>28</v>
      </c>
      <c r="D59" s="58">
        <v>43854</v>
      </c>
      <c r="F59" s="22"/>
      <c r="G59" s="22"/>
      <c r="H59" s="22"/>
      <c r="I59" s="54"/>
      <c r="J59" s="22"/>
      <c r="N59" s="22" t="s">
        <v>41</v>
      </c>
      <c r="O59" s="22">
        <v>1929501</v>
      </c>
      <c r="P59" s="56" t="s">
        <v>142</v>
      </c>
      <c r="Q59" s="22" t="s">
        <v>50</v>
      </c>
      <c r="R59" s="54" t="s">
        <v>139</v>
      </c>
      <c r="S59" s="22"/>
      <c r="T59" s="22"/>
      <c r="U59" s="22"/>
      <c r="V59" s="54" t="s">
        <v>94</v>
      </c>
      <c r="W59" s="54" t="s">
        <v>35</v>
      </c>
      <c r="X59" s="54" t="s">
        <v>36</v>
      </c>
      <c r="Y59" s="54"/>
    </row>
    <row r="60" spans="2:25">
      <c r="B60" s="21" t="s">
        <v>74</v>
      </c>
      <c r="C60" s="46" t="s">
        <v>28</v>
      </c>
      <c r="D60" s="58">
        <v>43854</v>
      </c>
      <c r="F60" s="22" t="s">
        <v>48</v>
      </c>
      <c r="G60" s="22">
        <v>2024301</v>
      </c>
      <c r="H60" s="56" t="s">
        <v>52</v>
      </c>
      <c r="I60" s="54"/>
      <c r="J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54"/>
      <c r="Y60" s="22"/>
    </row>
    <row r="61" spans="2:25">
      <c r="B61" s="21" t="s">
        <v>74</v>
      </c>
      <c r="C61" s="46" t="s">
        <v>28</v>
      </c>
      <c r="D61" s="58">
        <v>43854</v>
      </c>
      <c r="F61" s="22" t="s">
        <v>48</v>
      </c>
      <c r="G61" s="22">
        <v>1931601</v>
      </c>
      <c r="H61" s="56" t="s">
        <v>143</v>
      </c>
      <c r="I61" s="54" t="s">
        <v>73</v>
      </c>
      <c r="J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54"/>
      <c r="Y61" s="22"/>
    </row>
    <row r="62" spans="2:25">
      <c r="B62" s="21" t="s">
        <v>47</v>
      </c>
      <c r="C62" s="46" t="s">
        <v>28</v>
      </c>
      <c r="D62" s="58">
        <v>43861</v>
      </c>
      <c r="F62" s="22"/>
      <c r="G62" s="22"/>
      <c r="H62" s="22"/>
      <c r="I62" s="54"/>
      <c r="J62" s="22"/>
      <c r="N62" s="22" t="s">
        <v>69</v>
      </c>
      <c r="O62" s="22">
        <v>2104201</v>
      </c>
      <c r="P62" s="56" t="s">
        <v>144</v>
      </c>
      <c r="Q62" s="22" t="s">
        <v>31</v>
      </c>
      <c r="R62" s="54" t="s">
        <v>145</v>
      </c>
      <c r="S62" s="22"/>
      <c r="T62" s="22"/>
      <c r="U62" s="54" t="s">
        <v>94</v>
      </c>
      <c r="V62" s="54" t="s">
        <v>94</v>
      </c>
      <c r="W62" s="54" t="s">
        <v>35</v>
      </c>
      <c r="X62" s="54" t="s">
        <v>36</v>
      </c>
      <c r="Y62" s="22"/>
    </row>
    <row r="63" spans="2:25">
      <c r="B63" s="21" t="s">
        <v>47</v>
      </c>
      <c r="C63" s="46" t="s">
        <v>28</v>
      </c>
      <c r="D63" s="58">
        <v>43861</v>
      </c>
      <c r="F63" s="22"/>
      <c r="G63" s="22"/>
      <c r="H63" s="22"/>
      <c r="I63" s="54"/>
      <c r="J63" s="22"/>
      <c r="N63" s="22" t="s">
        <v>69</v>
      </c>
      <c r="O63" s="22">
        <v>2112901</v>
      </c>
      <c r="P63" s="56" t="s">
        <v>146</v>
      </c>
      <c r="Q63" s="22" t="s">
        <v>50</v>
      </c>
      <c r="R63" s="54" t="s">
        <v>145</v>
      </c>
      <c r="S63" s="22"/>
      <c r="T63" s="22"/>
      <c r="U63" s="54" t="s">
        <v>94</v>
      </c>
      <c r="V63" s="54" t="s">
        <v>94</v>
      </c>
      <c r="W63" s="54" t="s">
        <v>35</v>
      </c>
      <c r="X63" s="54" t="s">
        <v>36</v>
      </c>
      <c r="Y63" s="22"/>
    </row>
    <row r="64" spans="2:25">
      <c r="B64" s="21" t="s">
        <v>47</v>
      </c>
      <c r="C64" s="46" t="s">
        <v>28</v>
      </c>
      <c r="D64" s="58">
        <v>43861</v>
      </c>
      <c r="F64" s="22"/>
      <c r="G64" s="22"/>
      <c r="H64" s="22"/>
      <c r="I64" s="54"/>
      <c r="J64" s="22"/>
      <c r="N64" s="22" t="s">
        <v>29</v>
      </c>
      <c r="O64" s="22">
        <v>2078101</v>
      </c>
      <c r="P64" s="56" t="s">
        <v>147</v>
      </c>
      <c r="Q64" s="22" t="s">
        <v>50</v>
      </c>
      <c r="R64" s="54" t="s">
        <v>148</v>
      </c>
      <c r="S64" s="22"/>
      <c r="T64" s="22"/>
      <c r="U64" s="54" t="s">
        <v>94</v>
      </c>
      <c r="V64" s="54" t="s">
        <v>94</v>
      </c>
      <c r="W64" s="54" t="s">
        <v>35</v>
      </c>
      <c r="X64" s="54" t="s">
        <v>36</v>
      </c>
      <c r="Y64" s="54" t="s">
        <v>149</v>
      </c>
    </row>
    <row r="65" spans="2:25">
      <c r="B65" s="21" t="s">
        <v>47</v>
      </c>
      <c r="C65" s="46" t="s">
        <v>28</v>
      </c>
      <c r="D65" s="58">
        <v>43861</v>
      </c>
      <c r="F65" s="22" t="s">
        <v>41</v>
      </c>
      <c r="G65" s="22">
        <v>1897903</v>
      </c>
      <c r="H65" s="16" t="s">
        <v>54</v>
      </c>
      <c r="I65" s="34" t="s">
        <v>150</v>
      </c>
      <c r="J65" s="22"/>
      <c r="N65" s="22"/>
      <c r="O65" s="22"/>
      <c r="P65" s="22"/>
      <c r="Q65" s="22"/>
      <c r="R65" s="22"/>
      <c r="S65" s="22"/>
      <c r="T65" s="22"/>
      <c r="V65" s="22"/>
      <c r="W65" s="22"/>
      <c r="X65" s="22"/>
      <c r="Y65" s="22"/>
    </row>
    <row r="66" spans="2:25">
      <c r="B66" s="21" t="s">
        <v>74</v>
      </c>
      <c r="C66" s="46" t="s">
        <v>28</v>
      </c>
      <c r="D66" s="47">
        <v>43868</v>
      </c>
      <c r="F66" s="39" t="s">
        <v>151</v>
      </c>
      <c r="G66" s="39">
        <v>1746804</v>
      </c>
      <c r="H66" s="16" t="s">
        <v>70</v>
      </c>
      <c r="I66" s="34" t="s">
        <v>76</v>
      </c>
      <c r="J66" s="39" t="s">
        <v>31</v>
      </c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54" t="s">
        <v>152</v>
      </c>
    </row>
    <row r="67" spans="2:25">
      <c r="B67" s="21" t="s">
        <v>74</v>
      </c>
      <c r="C67" s="46" t="s">
        <v>28</v>
      </c>
      <c r="D67" s="47">
        <v>43868</v>
      </c>
      <c r="F67" s="39" t="s">
        <v>64</v>
      </c>
      <c r="G67" s="39">
        <v>1665501</v>
      </c>
      <c r="H67" s="16" t="s">
        <v>153</v>
      </c>
      <c r="I67" s="34" t="s">
        <v>119</v>
      </c>
      <c r="J67" s="39"/>
      <c r="N67" s="46"/>
      <c r="O67" s="39"/>
      <c r="P67" s="16"/>
      <c r="Q67" s="39"/>
      <c r="R67" s="34"/>
      <c r="S67" s="34"/>
      <c r="T67" s="34"/>
      <c r="U67" s="34"/>
      <c r="V67" s="34"/>
      <c r="W67" s="34"/>
      <c r="X67" s="34"/>
      <c r="Y67" s="34"/>
    </row>
    <row r="68" spans="2:25">
      <c r="B68" s="21" t="s">
        <v>74</v>
      </c>
      <c r="C68" s="80" t="s">
        <v>28</v>
      </c>
      <c r="D68" s="47">
        <v>43868</v>
      </c>
      <c r="F68" s="22" t="s">
        <v>64</v>
      </c>
      <c r="G68" s="39">
        <v>1583603</v>
      </c>
      <c r="H68" s="16" t="s">
        <v>154</v>
      </c>
      <c r="I68" s="34" t="s">
        <v>155</v>
      </c>
      <c r="J68" s="39"/>
      <c r="N68" s="46"/>
      <c r="O68" s="39"/>
      <c r="P68" s="16"/>
      <c r="Q68" s="39"/>
      <c r="R68" s="34"/>
      <c r="S68" s="34"/>
      <c r="T68" s="34"/>
      <c r="U68" s="34"/>
      <c r="V68" s="34"/>
      <c r="W68" s="34"/>
      <c r="X68" s="34"/>
      <c r="Y68" s="34"/>
    </row>
    <row r="69" spans="2:25">
      <c r="B69" s="21" t="s">
        <v>74</v>
      </c>
      <c r="C69" s="46" t="s">
        <v>28</v>
      </c>
      <c r="D69" s="47">
        <v>43875</v>
      </c>
      <c r="F69" s="22" t="s">
        <v>156</v>
      </c>
      <c r="G69" s="22">
        <v>1809809</v>
      </c>
      <c r="H69" s="56" t="s">
        <v>30</v>
      </c>
      <c r="I69" s="34" t="s">
        <v>119</v>
      </c>
      <c r="J69" s="39" t="s">
        <v>50</v>
      </c>
      <c r="N69" s="46"/>
      <c r="O69" s="46"/>
      <c r="P69" s="46"/>
      <c r="Q69" s="46"/>
      <c r="R69" s="34"/>
      <c r="S69" s="46"/>
      <c r="T69" s="46"/>
      <c r="U69" s="46"/>
      <c r="V69" s="46"/>
      <c r="W69" s="46"/>
      <c r="X69" s="46"/>
      <c r="Y69" s="46"/>
    </row>
    <row r="70" spans="2:25">
      <c r="B70" s="21" t="s">
        <v>74</v>
      </c>
      <c r="C70" s="46" t="s">
        <v>28</v>
      </c>
      <c r="D70" s="47">
        <v>43875</v>
      </c>
      <c r="F70" s="22" t="s">
        <v>157</v>
      </c>
      <c r="G70" s="22">
        <v>1779301</v>
      </c>
      <c r="H70" s="56" t="s">
        <v>158</v>
      </c>
      <c r="I70" s="54"/>
      <c r="J70" s="22"/>
      <c r="N70" s="46"/>
      <c r="O70" s="46"/>
      <c r="P70" s="46"/>
      <c r="Q70" s="46"/>
      <c r="R70" s="34"/>
      <c r="S70" s="46"/>
      <c r="T70" s="46"/>
      <c r="U70" s="46"/>
      <c r="V70" s="46"/>
      <c r="W70" s="46"/>
      <c r="X70" s="46"/>
      <c r="Y70" s="46"/>
    </row>
    <row r="71" spans="2:25">
      <c r="B71" s="21" t="s">
        <v>47</v>
      </c>
      <c r="C71" s="46" t="s">
        <v>28</v>
      </c>
      <c r="D71" s="58">
        <v>43888</v>
      </c>
      <c r="F71" s="46"/>
      <c r="G71" s="46"/>
      <c r="H71" s="46"/>
      <c r="I71" s="46"/>
      <c r="J71" s="46"/>
      <c r="N71" s="22" t="s">
        <v>64</v>
      </c>
      <c r="O71" s="22">
        <v>1841404</v>
      </c>
      <c r="P71" s="56" t="s">
        <v>159</v>
      </c>
      <c r="Q71" s="22"/>
      <c r="R71" s="54" t="s">
        <v>160</v>
      </c>
      <c r="S71" s="54"/>
      <c r="T71" s="54"/>
      <c r="U71" s="54" t="s">
        <v>94</v>
      </c>
      <c r="V71" s="54" t="s">
        <v>34</v>
      </c>
      <c r="W71" s="54" t="s">
        <v>35</v>
      </c>
      <c r="X71" s="54" t="s">
        <v>36</v>
      </c>
      <c r="Y71" s="54"/>
    </row>
    <row r="72" spans="2:25">
      <c r="B72" s="21" t="s">
        <v>74</v>
      </c>
      <c r="C72" s="46" t="s">
        <v>28</v>
      </c>
      <c r="D72" s="58">
        <v>43893</v>
      </c>
      <c r="F72" s="22" t="s">
        <v>69</v>
      </c>
      <c r="G72" s="22">
        <v>1676604</v>
      </c>
      <c r="H72" s="56" t="s">
        <v>161</v>
      </c>
      <c r="I72" s="54"/>
      <c r="J72" s="22"/>
      <c r="N72" s="46"/>
      <c r="O72" s="46"/>
      <c r="P72" s="46"/>
      <c r="Q72" s="46"/>
      <c r="R72" s="34"/>
      <c r="S72" s="46"/>
      <c r="T72" s="46"/>
      <c r="U72" s="46"/>
      <c r="V72" s="46"/>
      <c r="W72" s="46"/>
      <c r="X72" s="46"/>
      <c r="Y72" s="46"/>
    </row>
    <row r="73" spans="2:25">
      <c r="B73" s="21" t="s">
        <v>74</v>
      </c>
      <c r="C73" s="46" t="s">
        <v>28</v>
      </c>
      <c r="D73" s="58">
        <v>43893</v>
      </c>
      <c r="F73" s="22" t="s">
        <v>69</v>
      </c>
      <c r="G73" s="22">
        <v>1675504</v>
      </c>
      <c r="H73" s="56" t="s">
        <v>162</v>
      </c>
      <c r="I73" s="54"/>
      <c r="J73" s="22"/>
      <c r="N73" s="46"/>
      <c r="O73" s="46"/>
      <c r="P73" s="46"/>
      <c r="Q73" s="46"/>
      <c r="R73" s="34"/>
      <c r="S73" s="46"/>
      <c r="T73" s="46"/>
      <c r="U73" s="46"/>
      <c r="V73" s="46"/>
      <c r="W73" s="46"/>
      <c r="X73" s="46"/>
      <c r="Y73" s="46"/>
    </row>
    <row r="74" spans="2:25">
      <c r="B74" s="21" t="s">
        <v>74</v>
      </c>
      <c r="C74" s="80" t="s">
        <v>28</v>
      </c>
      <c r="D74" s="58">
        <v>43893</v>
      </c>
      <c r="F74" s="22" t="s">
        <v>64</v>
      </c>
      <c r="G74" s="22">
        <v>1668303</v>
      </c>
      <c r="H74" s="56" t="s">
        <v>163</v>
      </c>
      <c r="I74" s="54"/>
      <c r="J74" s="22"/>
      <c r="N74" s="46"/>
      <c r="O74" s="46"/>
      <c r="P74" s="46"/>
      <c r="Q74" s="46"/>
      <c r="R74" s="34"/>
      <c r="S74" s="46"/>
      <c r="T74" s="46"/>
      <c r="U74" s="46"/>
      <c r="V74" s="46"/>
      <c r="W74" s="46"/>
      <c r="X74" s="46"/>
      <c r="Y74" s="46"/>
    </row>
    <row r="75" spans="2:25">
      <c r="B75" s="21" t="s">
        <v>74</v>
      </c>
      <c r="C75" s="80" t="s">
        <v>28</v>
      </c>
      <c r="D75" s="58">
        <v>43893</v>
      </c>
      <c r="F75" s="22" t="s">
        <v>64</v>
      </c>
      <c r="G75" s="22">
        <v>1668204</v>
      </c>
      <c r="H75" s="56" t="s">
        <v>164</v>
      </c>
      <c r="I75" s="54"/>
      <c r="J75" s="22"/>
      <c r="N75" s="46"/>
      <c r="O75" s="46"/>
      <c r="P75" s="46"/>
      <c r="Q75" s="46"/>
      <c r="R75" s="34"/>
      <c r="S75" s="46"/>
      <c r="T75" s="46"/>
      <c r="U75" s="46"/>
      <c r="V75" s="46"/>
      <c r="W75" s="46"/>
      <c r="X75" s="46"/>
      <c r="Y75" s="46"/>
    </row>
    <row r="76" spans="2:25">
      <c r="B76" s="21" t="s">
        <v>74</v>
      </c>
      <c r="C76" s="80" t="s">
        <v>28</v>
      </c>
      <c r="D76" s="58">
        <v>43910</v>
      </c>
      <c r="F76" s="22" t="s">
        <v>57</v>
      </c>
      <c r="G76" s="22">
        <v>1899303</v>
      </c>
      <c r="H76" s="16" t="s">
        <v>58</v>
      </c>
      <c r="I76" s="54"/>
      <c r="J76" s="22" t="s">
        <v>50</v>
      </c>
      <c r="N76" s="46"/>
      <c r="O76" s="46"/>
      <c r="P76" s="46"/>
      <c r="Q76" s="46"/>
      <c r="R76" s="34"/>
      <c r="S76" s="46"/>
      <c r="T76" s="46"/>
      <c r="U76" s="46"/>
      <c r="V76" s="46"/>
      <c r="W76" s="46"/>
      <c r="X76" s="46"/>
      <c r="Y76" s="46"/>
    </row>
    <row r="77" spans="2:25">
      <c r="B77" s="21" t="s">
        <v>74</v>
      </c>
      <c r="C77" s="80" t="s">
        <v>28</v>
      </c>
      <c r="D77" s="58">
        <v>43945</v>
      </c>
      <c r="F77" s="22" t="s">
        <v>69</v>
      </c>
      <c r="G77" s="22">
        <v>1836603</v>
      </c>
      <c r="H77" s="56" t="s">
        <v>165</v>
      </c>
      <c r="I77" s="54"/>
      <c r="J77" s="22" t="s">
        <v>50</v>
      </c>
      <c r="N77" s="46"/>
      <c r="O77" s="46"/>
      <c r="P77" s="46"/>
      <c r="Q77" s="46"/>
      <c r="R77" s="34"/>
      <c r="S77" s="46"/>
      <c r="T77" s="46"/>
      <c r="U77" s="46"/>
      <c r="V77" s="46"/>
      <c r="W77" s="46"/>
      <c r="X77" s="46"/>
      <c r="Y77" s="46"/>
    </row>
    <row r="78" spans="2:25">
      <c r="B78" s="21" t="s">
        <v>47</v>
      </c>
      <c r="C78" s="46" t="s">
        <v>28</v>
      </c>
      <c r="D78" s="58">
        <v>43987</v>
      </c>
      <c r="F78" s="22"/>
      <c r="G78" s="22"/>
      <c r="H78" s="22"/>
      <c r="I78" s="22"/>
      <c r="J78" s="22"/>
      <c r="N78" s="22" t="s">
        <v>166</v>
      </c>
      <c r="O78" s="22">
        <v>2141801</v>
      </c>
      <c r="P78" s="56" t="s">
        <v>167</v>
      </c>
      <c r="Q78" s="46"/>
      <c r="R78" s="34" t="s">
        <v>168</v>
      </c>
      <c r="S78" s="46"/>
      <c r="T78" s="46"/>
      <c r="U78" s="54" t="s">
        <v>94</v>
      </c>
      <c r="V78" s="46" t="s">
        <v>94</v>
      </c>
      <c r="W78" s="54" t="s">
        <v>35</v>
      </c>
      <c r="X78" s="54" t="s">
        <v>36</v>
      </c>
      <c r="Y78" s="54" t="s">
        <v>169</v>
      </c>
    </row>
    <row r="79" spans="2:25">
      <c r="B79" s="21" t="s">
        <v>47</v>
      </c>
      <c r="C79" s="80" t="s">
        <v>28</v>
      </c>
      <c r="D79" s="58">
        <v>43987</v>
      </c>
      <c r="F79" s="22"/>
      <c r="G79" s="22"/>
      <c r="H79" s="22"/>
      <c r="I79" s="22"/>
      <c r="J79" s="22"/>
      <c r="N79" s="22" t="s">
        <v>166</v>
      </c>
      <c r="O79" s="22">
        <v>2141901</v>
      </c>
      <c r="P79" s="56" t="s">
        <v>170</v>
      </c>
      <c r="Q79" s="46"/>
      <c r="R79" s="34" t="s">
        <v>168</v>
      </c>
      <c r="S79" s="46"/>
      <c r="T79" s="46"/>
      <c r="U79" s="54" t="s">
        <v>94</v>
      </c>
      <c r="V79" s="46" t="s">
        <v>94</v>
      </c>
      <c r="W79" s="54" t="s">
        <v>35</v>
      </c>
      <c r="X79" s="54" t="s">
        <v>36</v>
      </c>
      <c r="Y79" s="54" t="s">
        <v>171</v>
      </c>
    </row>
    <row r="80" spans="2:25">
      <c r="B80" s="21" t="s">
        <v>47</v>
      </c>
      <c r="C80" s="46" t="s">
        <v>28</v>
      </c>
      <c r="D80" s="58">
        <v>43987</v>
      </c>
      <c r="F80" s="22"/>
      <c r="G80" s="22"/>
      <c r="H80" s="22"/>
      <c r="I80" s="22"/>
      <c r="J80" s="22"/>
      <c r="N80" s="22" t="s">
        <v>64</v>
      </c>
      <c r="O80" s="22">
        <v>2137802</v>
      </c>
      <c r="P80" s="56" t="s">
        <v>172</v>
      </c>
      <c r="Q80" s="46"/>
      <c r="R80" s="34"/>
      <c r="S80" s="46"/>
      <c r="T80" s="46"/>
      <c r="U80" s="54" t="s">
        <v>94</v>
      </c>
      <c r="V80" s="46" t="s">
        <v>94</v>
      </c>
      <c r="W80" s="54" t="s">
        <v>35</v>
      </c>
      <c r="X80" s="54" t="s">
        <v>36</v>
      </c>
      <c r="Y80" s="54"/>
    </row>
    <row r="81" spans="2:25">
      <c r="B81" s="21" t="s">
        <v>47</v>
      </c>
      <c r="C81" s="46" t="s">
        <v>28</v>
      </c>
      <c r="D81" s="58">
        <v>43987</v>
      </c>
      <c r="F81" s="46"/>
      <c r="G81" s="46"/>
      <c r="H81" s="46"/>
      <c r="I81" s="46"/>
      <c r="J81" s="46"/>
      <c r="N81" s="22" t="s">
        <v>57</v>
      </c>
      <c r="O81" s="22">
        <v>517475</v>
      </c>
      <c r="P81" s="56" t="s">
        <v>173</v>
      </c>
      <c r="Q81" s="46"/>
      <c r="R81" s="34"/>
      <c r="S81" s="46"/>
      <c r="T81" s="46"/>
      <c r="U81" s="54" t="s">
        <v>94</v>
      </c>
      <c r="V81" s="46" t="s">
        <v>94</v>
      </c>
      <c r="W81" s="54" t="s">
        <v>35</v>
      </c>
      <c r="X81" s="54" t="s">
        <v>36</v>
      </c>
      <c r="Y81" s="54"/>
    </row>
    <row r="82" spans="2:25">
      <c r="B82" s="21" t="s">
        <v>47</v>
      </c>
      <c r="C82" s="46" t="s">
        <v>28</v>
      </c>
      <c r="D82" s="58">
        <v>43987</v>
      </c>
      <c r="F82" s="46"/>
      <c r="G82" s="46"/>
      <c r="H82" s="46"/>
      <c r="I82" s="46"/>
      <c r="J82" s="46"/>
      <c r="N82" s="22" t="s">
        <v>57</v>
      </c>
      <c r="O82" s="22">
        <v>225337</v>
      </c>
      <c r="P82" s="56" t="s">
        <v>174</v>
      </c>
      <c r="Q82" s="46"/>
      <c r="R82" s="34"/>
      <c r="S82" s="46"/>
      <c r="T82" s="46"/>
      <c r="U82" s="54" t="s">
        <v>94</v>
      </c>
      <c r="V82" s="46" t="s">
        <v>94</v>
      </c>
      <c r="W82" s="54" t="s">
        <v>35</v>
      </c>
      <c r="X82" s="54" t="s">
        <v>36</v>
      </c>
      <c r="Y82" s="54"/>
    </row>
    <row r="83" spans="2:25">
      <c r="B83" s="21" t="s">
        <v>47</v>
      </c>
      <c r="C83" s="46" t="s">
        <v>28</v>
      </c>
      <c r="D83" s="58">
        <v>43987</v>
      </c>
      <c r="F83" s="46"/>
      <c r="G83" s="46"/>
      <c r="H83" s="46"/>
      <c r="I83" s="46"/>
      <c r="J83" s="46"/>
      <c r="N83" s="22" t="s">
        <v>48</v>
      </c>
      <c r="O83" s="22">
        <v>404041</v>
      </c>
      <c r="P83" s="56" t="s">
        <v>175</v>
      </c>
      <c r="Q83" s="46"/>
      <c r="R83" s="34"/>
      <c r="S83" s="46"/>
      <c r="T83" s="46"/>
      <c r="U83" s="54" t="s">
        <v>94</v>
      </c>
      <c r="V83" s="46" t="s">
        <v>94</v>
      </c>
      <c r="W83" s="54" t="s">
        <v>35</v>
      </c>
      <c r="X83" s="54" t="s">
        <v>36</v>
      </c>
      <c r="Y83" s="54"/>
    </row>
    <row r="84" spans="2:25">
      <c r="B84" s="21" t="s">
        <v>47</v>
      </c>
      <c r="C84" s="46" t="s">
        <v>28</v>
      </c>
      <c r="D84" s="58">
        <v>43987</v>
      </c>
      <c r="F84" s="46"/>
      <c r="G84" s="46"/>
      <c r="H84" s="46"/>
      <c r="I84" s="46"/>
      <c r="J84" s="46"/>
      <c r="N84" s="22" t="s">
        <v>176</v>
      </c>
      <c r="O84" s="22">
        <v>2079601</v>
      </c>
      <c r="P84" s="56" t="s">
        <v>177</v>
      </c>
      <c r="Q84" s="46"/>
      <c r="R84" s="34"/>
      <c r="S84" s="46"/>
      <c r="T84" s="46"/>
      <c r="U84" s="34" t="s">
        <v>94</v>
      </c>
      <c r="V84" s="46" t="s">
        <v>94</v>
      </c>
      <c r="W84" s="34" t="s">
        <v>35</v>
      </c>
      <c r="X84" s="54" t="s">
        <v>36</v>
      </c>
      <c r="Y84" s="54"/>
    </row>
    <row r="85" spans="2:25">
      <c r="B85" s="21" t="s">
        <v>47</v>
      </c>
      <c r="C85" s="46" t="s">
        <v>28</v>
      </c>
      <c r="D85" s="58">
        <v>43987</v>
      </c>
      <c r="F85" s="46"/>
      <c r="G85" s="46"/>
      <c r="H85" s="46"/>
      <c r="I85" s="46"/>
      <c r="J85" s="46"/>
      <c r="N85" s="22" t="s">
        <v>176</v>
      </c>
      <c r="O85" s="22">
        <v>2079301</v>
      </c>
      <c r="P85" s="56" t="s">
        <v>178</v>
      </c>
      <c r="Q85" s="46"/>
      <c r="R85" s="34"/>
      <c r="S85" s="46"/>
      <c r="T85" s="46"/>
      <c r="U85" s="34" t="s">
        <v>94</v>
      </c>
      <c r="V85" s="46" t="s">
        <v>94</v>
      </c>
      <c r="W85" s="34" t="s">
        <v>35</v>
      </c>
      <c r="X85" s="54" t="s">
        <v>36</v>
      </c>
      <c r="Y85" s="54"/>
    </row>
    <row r="86" spans="2:25">
      <c r="B86" s="21" t="s">
        <v>47</v>
      </c>
      <c r="C86" s="46" t="s">
        <v>28</v>
      </c>
      <c r="D86" s="58">
        <v>43987</v>
      </c>
      <c r="F86" s="46"/>
      <c r="G86" s="46"/>
      <c r="H86" s="46"/>
      <c r="I86" s="46"/>
      <c r="J86" s="46"/>
      <c r="N86" s="22" t="s">
        <v>176</v>
      </c>
      <c r="O86" s="22">
        <v>2079501</v>
      </c>
      <c r="P86" s="56" t="s">
        <v>179</v>
      </c>
      <c r="Q86" s="46"/>
      <c r="R86" s="34"/>
      <c r="S86" s="46"/>
      <c r="T86" s="46"/>
      <c r="U86" s="34" t="s">
        <v>94</v>
      </c>
      <c r="V86" s="46" t="s">
        <v>94</v>
      </c>
      <c r="W86" s="34" t="s">
        <v>35</v>
      </c>
      <c r="X86" s="54" t="s">
        <v>36</v>
      </c>
      <c r="Y86" s="54"/>
    </row>
    <row r="87" spans="2:25">
      <c r="B87" s="21" t="s">
        <v>74</v>
      </c>
      <c r="C87" s="80" t="s">
        <v>28</v>
      </c>
      <c r="D87" s="58">
        <v>43987</v>
      </c>
      <c r="F87" s="22" t="s">
        <v>69</v>
      </c>
      <c r="G87" s="36">
        <v>1747707</v>
      </c>
      <c r="H87" s="56" t="s">
        <v>180</v>
      </c>
      <c r="I87" s="46"/>
      <c r="J87" s="22" t="s">
        <v>50</v>
      </c>
      <c r="N87" s="46"/>
      <c r="O87" s="46"/>
      <c r="P87" s="46"/>
      <c r="Q87" s="46"/>
      <c r="R87" s="46"/>
      <c r="S87" s="46"/>
      <c r="T87" s="46"/>
      <c r="U87" s="34"/>
      <c r="V87" s="46"/>
      <c r="W87" s="46"/>
      <c r="X87" s="46"/>
      <c r="Y87" s="46"/>
    </row>
    <row r="88" spans="2:25">
      <c r="B88" s="97" t="s">
        <v>47</v>
      </c>
      <c r="C88" s="80" t="s">
        <v>28</v>
      </c>
      <c r="D88" s="58">
        <v>44008</v>
      </c>
      <c r="F88" s="22"/>
      <c r="G88" s="22"/>
      <c r="H88" s="56"/>
      <c r="I88" s="46"/>
      <c r="J88" s="22"/>
      <c r="N88" s="22" t="s">
        <v>57</v>
      </c>
      <c r="O88" s="39">
        <v>1001007</v>
      </c>
      <c r="P88" s="16" t="s">
        <v>181</v>
      </c>
      <c r="Q88" s="39"/>
      <c r="R88" s="34"/>
      <c r="S88" s="34"/>
      <c r="T88" s="34"/>
      <c r="U88" s="34" t="s">
        <v>94</v>
      </c>
      <c r="V88" s="46" t="s">
        <v>94</v>
      </c>
      <c r="W88" s="34" t="s">
        <v>35</v>
      </c>
      <c r="X88" s="34" t="s">
        <v>36</v>
      </c>
      <c r="Y88" s="34"/>
    </row>
    <row r="89" spans="2:25">
      <c r="B89" s="21" t="s">
        <v>74</v>
      </c>
      <c r="C89" s="46" t="s">
        <v>28</v>
      </c>
      <c r="D89" s="58">
        <v>44015</v>
      </c>
      <c r="F89" s="22" t="s">
        <v>41</v>
      </c>
      <c r="G89" s="22">
        <v>1929501</v>
      </c>
      <c r="H89" s="56" t="s">
        <v>142</v>
      </c>
      <c r="I89" s="46"/>
      <c r="J89" s="22"/>
      <c r="N89" s="46"/>
      <c r="O89" s="39"/>
      <c r="P89" s="16"/>
      <c r="Q89" s="39"/>
      <c r="R89" s="34"/>
      <c r="S89" s="34"/>
      <c r="T89" s="34"/>
      <c r="U89" s="34"/>
      <c r="V89" s="34"/>
      <c r="W89" s="34"/>
      <c r="X89" s="34"/>
      <c r="Y89" s="34"/>
    </row>
    <row r="90" spans="2:25">
      <c r="B90" s="21" t="s">
        <v>74</v>
      </c>
      <c r="C90" s="80" t="s">
        <v>28</v>
      </c>
      <c r="D90" s="58">
        <v>44015</v>
      </c>
      <c r="F90" s="22" t="s">
        <v>182</v>
      </c>
      <c r="G90" s="22">
        <v>1980901</v>
      </c>
      <c r="H90" s="56" t="s">
        <v>183</v>
      </c>
      <c r="I90" s="46"/>
      <c r="J90" s="22"/>
      <c r="N90" s="46"/>
      <c r="O90" s="39"/>
      <c r="P90" s="16"/>
      <c r="Q90" s="39"/>
      <c r="R90" s="34"/>
      <c r="S90" s="34"/>
      <c r="T90" s="34"/>
      <c r="U90" s="34"/>
      <c r="V90" s="34"/>
      <c r="W90" s="34"/>
      <c r="X90" s="34"/>
      <c r="Y90" s="34"/>
    </row>
    <row r="91" spans="2:25">
      <c r="B91" s="21" t="s">
        <v>74</v>
      </c>
      <c r="C91" s="80" t="s">
        <v>28</v>
      </c>
      <c r="D91" s="58">
        <v>44015</v>
      </c>
      <c r="F91" s="39" t="s">
        <v>182</v>
      </c>
      <c r="G91" s="102">
        <v>1981301</v>
      </c>
      <c r="H91" s="103" t="s">
        <v>184</v>
      </c>
      <c r="I91" s="16"/>
      <c r="J91" s="39"/>
      <c r="N91" s="46"/>
      <c r="O91" s="39"/>
      <c r="P91" s="16"/>
      <c r="Q91" s="39"/>
      <c r="R91" s="34"/>
      <c r="S91" s="34"/>
      <c r="T91" s="34"/>
      <c r="U91" s="34"/>
      <c r="V91" s="34"/>
      <c r="W91" s="34"/>
      <c r="X91" s="34"/>
      <c r="Y91" s="34"/>
    </row>
    <row r="92" spans="2:25">
      <c r="B92" s="21" t="s">
        <v>47</v>
      </c>
      <c r="C92" s="46" t="s">
        <v>28</v>
      </c>
      <c r="D92" s="58">
        <v>44036</v>
      </c>
      <c r="F92" s="39"/>
      <c r="G92" s="102"/>
      <c r="H92" s="103"/>
      <c r="I92" s="16"/>
      <c r="J92" s="39"/>
      <c r="N92" s="39" t="s">
        <v>185</v>
      </c>
      <c r="O92" s="39">
        <v>2148501</v>
      </c>
      <c r="P92" s="16" t="s">
        <v>186</v>
      </c>
      <c r="Q92" s="39"/>
      <c r="R92" s="34"/>
      <c r="S92" s="34"/>
      <c r="T92" s="34"/>
      <c r="U92" s="34" t="s">
        <v>94</v>
      </c>
      <c r="V92" s="46" t="s">
        <v>94</v>
      </c>
      <c r="W92" s="34" t="s">
        <v>35</v>
      </c>
      <c r="X92" s="34" t="s">
        <v>36</v>
      </c>
      <c r="Y92" s="34" t="s">
        <v>187</v>
      </c>
    </row>
    <row r="93" spans="2:25">
      <c r="B93" s="21" t="s">
        <v>47</v>
      </c>
      <c r="C93" s="46" t="s">
        <v>28</v>
      </c>
      <c r="D93" s="58">
        <v>44036</v>
      </c>
      <c r="F93" s="39"/>
      <c r="G93" s="102"/>
      <c r="H93" s="103"/>
      <c r="I93" s="16"/>
      <c r="J93" s="39"/>
      <c r="N93" s="39" t="s">
        <v>185</v>
      </c>
      <c r="O93" s="39">
        <v>2087502</v>
      </c>
      <c r="P93" s="16" t="s">
        <v>188</v>
      </c>
      <c r="Q93" s="39"/>
      <c r="R93" s="34"/>
      <c r="S93" s="34"/>
      <c r="T93" s="34"/>
      <c r="U93" s="34" t="s">
        <v>94</v>
      </c>
      <c r="V93" s="46" t="s">
        <v>94</v>
      </c>
      <c r="W93" s="34" t="s">
        <v>35</v>
      </c>
      <c r="X93" s="34" t="s">
        <v>36</v>
      </c>
      <c r="Y93" s="34" t="s">
        <v>187</v>
      </c>
    </row>
    <row r="94" spans="2:25">
      <c r="B94" s="21" t="s">
        <v>47</v>
      </c>
      <c r="C94" s="46" t="s">
        <v>28</v>
      </c>
      <c r="D94" s="58">
        <v>44036</v>
      </c>
      <c r="F94" s="39"/>
      <c r="G94" s="102"/>
      <c r="H94" s="103"/>
      <c r="I94" s="16"/>
      <c r="J94" s="39"/>
      <c r="N94" s="39" t="s">
        <v>185</v>
      </c>
      <c r="O94" s="39">
        <v>2089002</v>
      </c>
      <c r="P94" s="16" t="s">
        <v>189</v>
      </c>
      <c r="Q94" s="39"/>
      <c r="R94" s="34"/>
      <c r="S94" s="34"/>
      <c r="T94" s="34"/>
      <c r="U94" s="34" t="s">
        <v>94</v>
      </c>
      <c r="V94" s="46" t="s">
        <v>94</v>
      </c>
      <c r="W94" s="34" t="s">
        <v>35</v>
      </c>
      <c r="X94" s="34" t="s">
        <v>36</v>
      </c>
      <c r="Y94" s="34" t="s">
        <v>187</v>
      </c>
    </row>
    <row r="95" spans="2:25">
      <c r="B95" s="21" t="s">
        <v>47</v>
      </c>
      <c r="C95" s="46" t="s">
        <v>28</v>
      </c>
      <c r="D95" s="58">
        <v>44036</v>
      </c>
      <c r="F95" s="39"/>
      <c r="G95" s="102"/>
      <c r="H95" s="103"/>
      <c r="I95" s="16"/>
      <c r="J95" s="39"/>
      <c r="N95" s="39" t="s">
        <v>185</v>
      </c>
      <c r="O95" s="39">
        <v>2148601</v>
      </c>
      <c r="P95" s="16" t="s">
        <v>190</v>
      </c>
      <c r="Q95" s="39"/>
      <c r="R95" s="34"/>
      <c r="S95" s="34"/>
      <c r="T95" s="34"/>
      <c r="U95" s="34" t="s">
        <v>94</v>
      </c>
      <c r="V95" s="46" t="s">
        <v>94</v>
      </c>
      <c r="W95" s="34" t="s">
        <v>35</v>
      </c>
      <c r="X95" s="34" t="s">
        <v>36</v>
      </c>
      <c r="Y95" s="34" t="s">
        <v>187</v>
      </c>
    </row>
    <row r="96" spans="2:25">
      <c r="B96" s="21" t="s">
        <v>47</v>
      </c>
      <c r="C96" s="46" t="s">
        <v>28</v>
      </c>
      <c r="D96" s="58">
        <v>44036</v>
      </c>
      <c r="F96" s="39"/>
      <c r="G96" s="102"/>
      <c r="H96" s="103"/>
      <c r="I96" s="16"/>
      <c r="J96" s="39"/>
      <c r="N96" s="39" t="s">
        <v>185</v>
      </c>
      <c r="O96" s="39">
        <v>2089902</v>
      </c>
      <c r="P96" s="16" t="s">
        <v>191</v>
      </c>
      <c r="Q96" s="39"/>
      <c r="R96" s="34"/>
      <c r="S96" s="34"/>
      <c r="T96" s="34"/>
      <c r="U96" s="34" t="s">
        <v>94</v>
      </c>
      <c r="V96" s="46" t="s">
        <v>94</v>
      </c>
      <c r="W96" s="34" t="s">
        <v>35</v>
      </c>
      <c r="X96" s="34" t="s">
        <v>36</v>
      </c>
      <c r="Y96" s="34" t="s">
        <v>187</v>
      </c>
    </row>
    <row r="97" spans="2:25">
      <c r="B97" s="21" t="s">
        <v>47</v>
      </c>
      <c r="C97" s="46" t="s">
        <v>28</v>
      </c>
      <c r="D97" s="58">
        <v>44036</v>
      </c>
      <c r="F97" s="39"/>
      <c r="G97" s="102"/>
      <c r="H97" s="103"/>
      <c r="I97" s="16"/>
      <c r="J97" s="39"/>
      <c r="N97" s="39" t="s">
        <v>185</v>
      </c>
      <c r="O97" s="39">
        <v>2087702</v>
      </c>
      <c r="P97" s="16" t="s">
        <v>192</v>
      </c>
      <c r="Q97" s="39"/>
      <c r="R97" s="34"/>
      <c r="S97" s="34"/>
      <c r="T97" s="34"/>
      <c r="U97" s="34" t="s">
        <v>94</v>
      </c>
      <c r="V97" s="46" t="s">
        <v>94</v>
      </c>
      <c r="W97" s="34" t="s">
        <v>35</v>
      </c>
      <c r="X97" s="34" t="s">
        <v>36</v>
      </c>
      <c r="Y97" s="34" t="s">
        <v>187</v>
      </c>
    </row>
    <row r="98" spans="2:25">
      <c r="B98" s="21" t="s">
        <v>47</v>
      </c>
      <c r="C98" s="46" t="s">
        <v>28</v>
      </c>
      <c r="D98" s="58">
        <v>44036</v>
      </c>
      <c r="F98" s="39"/>
      <c r="G98" s="102"/>
      <c r="H98" s="103"/>
      <c r="I98" s="16"/>
      <c r="J98" s="39"/>
      <c r="N98" s="39" t="s">
        <v>185</v>
      </c>
      <c r="O98" s="39">
        <v>2091002</v>
      </c>
      <c r="P98" s="16" t="s">
        <v>193</v>
      </c>
      <c r="Q98" s="39"/>
      <c r="R98" s="34"/>
      <c r="S98" s="34"/>
      <c r="T98" s="34"/>
      <c r="U98" s="34" t="s">
        <v>94</v>
      </c>
      <c r="V98" s="46" t="s">
        <v>94</v>
      </c>
      <c r="W98" s="34" t="s">
        <v>35</v>
      </c>
      <c r="X98" s="34" t="s">
        <v>36</v>
      </c>
      <c r="Y98" s="34" t="s">
        <v>187</v>
      </c>
    </row>
    <row r="99" spans="2:25">
      <c r="B99" s="21" t="s">
        <v>47</v>
      </c>
      <c r="C99" s="46" t="s">
        <v>28</v>
      </c>
      <c r="D99" s="58">
        <v>44036</v>
      </c>
      <c r="F99" s="39"/>
      <c r="G99" s="102"/>
      <c r="H99" s="103"/>
      <c r="I99" s="16"/>
      <c r="J99" s="39"/>
      <c r="N99" s="39" t="s">
        <v>185</v>
      </c>
      <c r="O99" s="39">
        <v>2090702</v>
      </c>
      <c r="P99" s="16" t="s">
        <v>194</v>
      </c>
      <c r="Q99" s="39"/>
      <c r="R99" s="34"/>
      <c r="S99" s="34"/>
      <c r="T99" s="34"/>
      <c r="U99" s="34" t="s">
        <v>94</v>
      </c>
      <c r="V99" s="46" t="s">
        <v>94</v>
      </c>
      <c r="W99" s="34" t="s">
        <v>35</v>
      </c>
      <c r="X99" s="34" t="s">
        <v>36</v>
      </c>
      <c r="Y99" s="34" t="s">
        <v>187</v>
      </c>
    </row>
    <row r="100" spans="2:25">
      <c r="B100" s="21" t="s">
        <v>47</v>
      </c>
      <c r="C100" s="46" t="s">
        <v>28</v>
      </c>
      <c r="D100" s="58">
        <v>44036</v>
      </c>
      <c r="F100" s="39"/>
      <c r="G100" s="102"/>
      <c r="H100" s="103"/>
      <c r="I100" s="16"/>
      <c r="J100" s="39"/>
      <c r="N100" s="39" t="s">
        <v>185</v>
      </c>
      <c r="O100" s="39">
        <v>2151601</v>
      </c>
      <c r="P100" s="16" t="s">
        <v>195</v>
      </c>
      <c r="Q100" s="39"/>
      <c r="R100" s="34"/>
      <c r="S100" s="34"/>
      <c r="T100" s="34"/>
      <c r="U100" s="34" t="s">
        <v>94</v>
      </c>
      <c r="V100" s="46" t="s">
        <v>94</v>
      </c>
      <c r="W100" s="34" t="s">
        <v>35</v>
      </c>
      <c r="X100" s="34" t="s">
        <v>36</v>
      </c>
      <c r="Y100" s="34" t="s">
        <v>196</v>
      </c>
    </row>
    <row r="101" spans="2:25">
      <c r="B101" s="21" t="s">
        <v>47</v>
      </c>
      <c r="C101" s="80" t="s">
        <v>28</v>
      </c>
      <c r="D101" s="58">
        <v>44036</v>
      </c>
      <c r="F101" s="39"/>
      <c r="G101" s="102"/>
      <c r="H101" s="103"/>
      <c r="I101" s="16"/>
      <c r="J101" s="39"/>
      <c r="N101" s="39" t="s">
        <v>185</v>
      </c>
      <c r="O101" s="39">
        <v>2090202</v>
      </c>
      <c r="P101" s="16" t="s">
        <v>197</v>
      </c>
      <c r="Q101" s="39"/>
      <c r="R101" s="34"/>
      <c r="S101" s="34"/>
      <c r="T101" s="34"/>
      <c r="U101" s="34" t="s">
        <v>94</v>
      </c>
      <c r="V101" s="105" t="s">
        <v>94</v>
      </c>
      <c r="W101" s="34" t="s">
        <v>35</v>
      </c>
      <c r="X101" s="34" t="s">
        <v>36</v>
      </c>
      <c r="Y101" s="34" t="s">
        <v>187</v>
      </c>
    </row>
    <row r="102" spans="2:25">
      <c r="B102" s="21" t="s">
        <v>47</v>
      </c>
      <c r="C102" s="46" t="s">
        <v>28</v>
      </c>
      <c r="D102" s="58">
        <v>44036</v>
      </c>
      <c r="F102" s="39"/>
      <c r="G102" s="102"/>
      <c r="H102" s="103"/>
      <c r="I102" s="16"/>
      <c r="J102" s="39"/>
      <c r="N102" s="39" t="s">
        <v>198</v>
      </c>
      <c r="O102" s="39">
        <v>2027708</v>
      </c>
      <c r="P102" s="16" t="s">
        <v>199</v>
      </c>
      <c r="Q102" s="39"/>
      <c r="R102" s="34"/>
      <c r="S102" s="34"/>
      <c r="T102" s="34"/>
      <c r="U102" s="34" t="s">
        <v>94</v>
      </c>
      <c r="V102" s="46" t="s">
        <v>94</v>
      </c>
      <c r="W102" s="34" t="s">
        <v>35</v>
      </c>
      <c r="X102" s="34" t="s">
        <v>36</v>
      </c>
      <c r="Y102" s="34" t="s">
        <v>187</v>
      </c>
    </row>
    <row r="103" spans="2:25">
      <c r="B103" s="21" t="s">
        <v>47</v>
      </c>
      <c r="C103" s="46" t="s">
        <v>28</v>
      </c>
      <c r="D103" s="58">
        <v>44036</v>
      </c>
      <c r="F103" s="39"/>
      <c r="G103" s="102"/>
      <c r="H103" s="103"/>
      <c r="I103" s="16"/>
      <c r="J103" s="39"/>
      <c r="N103" s="39" t="s">
        <v>198</v>
      </c>
      <c r="O103" s="39">
        <v>2027905</v>
      </c>
      <c r="P103" s="16" t="s">
        <v>200</v>
      </c>
      <c r="Q103" s="39"/>
      <c r="R103" s="34"/>
      <c r="S103" s="34"/>
      <c r="T103" s="34"/>
      <c r="U103" s="34" t="s">
        <v>94</v>
      </c>
      <c r="V103" s="46" t="s">
        <v>94</v>
      </c>
      <c r="W103" s="34" t="s">
        <v>35</v>
      </c>
      <c r="X103" s="34" t="s">
        <v>36</v>
      </c>
      <c r="Y103" s="34" t="s">
        <v>187</v>
      </c>
    </row>
    <row r="104" spans="2:25">
      <c r="B104" s="21" t="s">
        <v>47</v>
      </c>
      <c r="C104" s="46" t="s">
        <v>28</v>
      </c>
      <c r="D104" s="58">
        <v>44036</v>
      </c>
      <c r="F104" s="39"/>
      <c r="G104" s="102"/>
      <c r="H104" s="103"/>
      <c r="I104" s="16"/>
      <c r="J104" s="39"/>
      <c r="N104" s="39" t="s">
        <v>198</v>
      </c>
      <c r="O104" s="39">
        <v>2072502</v>
      </c>
      <c r="P104" s="16" t="s">
        <v>201</v>
      </c>
      <c r="Q104" s="39"/>
      <c r="R104" s="34"/>
      <c r="S104" s="34"/>
      <c r="T104" s="34"/>
      <c r="U104" s="34" t="s">
        <v>94</v>
      </c>
      <c r="V104" s="46" t="s">
        <v>94</v>
      </c>
      <c r="W104" s="34" t="s">
        <v>35</v>
      </c>
      <c r="X104" s="34" t="s">
        <v>36</v>
      </c>
      <c r="Y104" s="34" t="s">
        <v>187</v>
      </c>
    </row>
    <row r="105" spans="2:25">
      <c r="B105" s="21" t="s">
        <v>47</v>
      </c>
      <c r="C105" s="46" t="s">
        <v>28</v>
      </c>
      <c r="D105" s="58">
        <v>44036</v>
      </c>
      <c r="F105" s="39"/>
      <c r="G105" s="102"/>
      <c r="H105" s="103"/>
      <c r="I105" s="16"/>
      <c r="J105" s="39"/>
      <c r="N105" s="39" t="s">
        <v>198</v>
      </c>
      <c r="O105" s="39">
        <v>2027605</v>
      </c>
      <c r="P105" s="16" t="s">
        <v>202</v>
      </c>
      <c r="Q105" s="39"/>
      <c r="R105" s="34"/>
      <c r="S105" s="34"/>
      <c r="T105" s="34"/>
      <c r="U105" s="34" t="s">
        <v>94</v>
      </c>
      <c r="V105" s="46" t="s">
        <v>94</v>
      </c>
      <c r="W105" s="34" t="s">
        <v>35</v>
      </c>
      <c r="X105" s="34" t="s">
        <v>36</v>
      </c>
      <c r="Y105" s="34" t="s">
        <v>187</v>
      </c>
    </row>
    <row r="106" spans="2:25">
      <c r="B106" s="21" t="s">
        <v>47</v>
      </c>
      <c r="C106" s="46" t="s">
        <v>28</v>
      </c>
      <c r="D106" s="58">
        <v>44036</v>
      </c>
      <c r="F106" s="39"/>
      <c r="G106" s="102"/>
      <c r="H106" s="103"/>
      <c r="I106" s="16"/>
      <c r="J106" s="39"/>
      <c r="N106" s="39" t="s">
        <v>203</v>
      </c>
      <c r="O106" s="39">
        <v>2148701</v>
      </c>
      <c r="P106" s="16" t="s">
        <v>204</v>
      </c>
      <c r="Q106" s="39"/>
      <c r="R106" s="34"/>
      <c r="S106" s="34"/>
      <c r="T106" s="34"/>
      <c r="U106" s="34" t="s">
        <v>94</v>
      </c>
      <c r="V106" s="46" t="s">
        <v>94</v>
      </c>
      <c r="W106" s="34" t="s">
        <v>35</v>
      </c>
      <c r="X106" s="34" t="s">
        <v>36</v>
      </c>
      <c r="Y106" s="34" t="s">
        <v>187</v>
      </c>
    </row>
    <row r="107" spans="2:25">
      <c r="B107" s="21" t="s">
        <v>47</v>
      </c>
      <c r="C107" s="46" t="s">
        <v>28</v>
      </c>
      <c r="D107" s="58">
        <v>44036</v>
      </c>
      <c r="F107" s="39"/>
      <c r="G107" s="102"/>
      <c r="H107" s="103"/>
      <c r="I107" s="16"/>
      <c r="J107" s="39"/>
      <c r="N107" s="39" t="s">
        <v>203</v>
      </c>
      <c r="O107" s="39">
        <v>2102302</v>
      </c>
      <c r="P107" s="16" t="s">
        <v>205</v>
      </c>
      <c r="Q107" s="39"/>
      <c r="R107" s="34"/>
      <c r="S107" s="34"/>
      <c r="T107" s="34"/>
      <c r="U107" s="34" t="s">
        <v>94</v>
      </c>
      <c r="V107" s="46" t="s">
        <v>94</v>
      </c>
      <c r="W107" s="34" t="s">
        <v>35</v>
      </c>
      <c r="X107" s="34" t="s">
        <v>36</v>
      </c>
      <c r="Y107" s="34" t="s">
        <v>206</v>
      </c>
    </row>
    <row r="108" spans="2:25">
      <c r="B108" s="21" t="s">
        <v>47</v>
      </c>
      <c r="C108" s="46" t="s">
        <v>28</v>
      </c>
      <c r="D108" s="58">
        <v>44036</v>
      </c>
      <c r="F108" s="39"/>
      <c r="G108" s="102"/>
      <c r="H108" s="103"/>
      <c r="I108" s="16"/>
      <c r="J108" s="39"/>
      <c r="N108" s="39" t="s">
        <v>203</v>
      </c>
      <c r="O108" s="39">
        <v>2148801</v>
      </c>
      <c r="P108" s="16" t="s">
        <v>207</v>
      </c>
      <c r="Q108" s="39"/>
      <c r="R108" s="34"/>
      <c r="S108" s="34"/>
      <c r="T108" s="34"/>
      <c r="U108" s="34" t="s">
        <v>94</v>
      </c>
      <c r="V108" s="46" t="s">
        <v>94</v>
      </c>
      <c r="W108" s="34" t="s">
        <v>35</v>
      </c>
      <c r="X108" s="34" t="s">
        <v>36</v>
      </c>
      <c r="Y108" s="34" t="s">
        <v>208</v>
      </c>
    </row>
    <row r="109" spans="2:25">
      <c r="B109" s="21" t="s">
        <v>47</v>
      </c>
      <c r="C109" s="46" t="s">
        <v>28</v>
      </c>
      <c r="D109" s="58">
        <v>44036</v>
      </c>
      <c r="F109" s="39"/>
      <c r="G109" s="102"/>
      <c r="H109" s="103"/>
      <c r="I109" s="16"/>
      <c r="J109" s="39"/>
      <c r="N109" s="39" t="s">
        <v>203</v>
      </c>
      <c r="O109" s="39">
        <v>1863202</v>
      </c>
      <c r="P109" s="16" t="s">
        <v>209</v>
      </c>
      <c r="Q109" s="39"/>
      <c r="R109" s="34"/>
      <c r="S109" s="34"/>
      <c r="T109" s="34"/>
      <c r="U109" s="34" t="s">
        <v>94</v>
      </c>
      <c r="V109" s="46" t="s">
        <v>94</v>
      </c>
      <c r="W109" s="34" t="s">
        <v>35</v>
      </c>
      <c r="X109" s="34" t="s">
        <v>36</v>
      </c>
      <c r="Y109" s="34" t="s">
        <v>187</v>
      </c>
    </row>
    <row r="110" spans="2:25">
      <c r="B110" s="21" t="s">
        <v>47</v>
      </c>
      <c r="C110" s="46" t="s">
        <v>28</v>
      </c>
      <c r="D110" s="58">
        <v>44036</v>
      </c>
      <c r="F110" s="39"/>
      <c r="G110" s="102"/>
      <c r="H110" s="103"/>
      <c r="I110" s="16"/>
      <c r="J110" s="39"/>
      <c r="N110" s="39" t="s">
        <v>203</v>
      </c>
      <c r="O110" s="39">
        <v>2148901</v>
      </c>
      <c r="P110" s="16" t="s">
        <v>210</v>
      </c>
      <c r="Q110" s="39"/>
      <c r="R110" s="34"/>
      <c r="S110" s="34"/>
      <c r="T110" s="34"/>
      <c r="U110" s="34" t="s">
        <v>94</v>
      </c>
      <c r="V110" s="46" t="s">
        <v>94</v>
      </c>
      <c r="W110" s="34" t="s">
        <v>35</v>
      </c>
      <c r="X110" s="34" t="s">
        <v>36</v>
      </c>
      <c r="Y110" s="34" t="s">
        <v>211</v>
      </c>
    </row>
    <row r="111" spans="2:25">
      <c r="B111" s="21" t="s">
        <v>47</v>
      </c>
      <c r="C111" s="46" t="s">
        <v>28</v>
      </c>
      <c r="D111" s="58">
        <v>44036</v>
      </c>
      <c r="F111" s="39"/>
      <c r="G111" s="102"/>
      <c r="H111" s="103"/>
      <c r="I111" s="16"/>
      <c r="J111" s="39"/>
      <c r="N111" s="39" t="s">
        <v>203</v>
      </c>
      <c r="O111" s="39">
        <v>1813003</v>
      </c>
      <c r="P111" s="16" t="s">
        <v>212</v>
      </c>
      <c r="Q111" s="39"/>
      <c r="R111" s="34"/>
      <c r="S111" s="34"/>
      <c r="T111" s="34"/>
      <c r="U111" s="34" t="s">
        <v>94</v>
      </c>
      <c r="V111" s="46" t="s">
        <v>94</v>
      </c>
      <c r="W111" s="34" t="s">
        <v>35</v>
      </c>
      <c r="X111" s="34" t="s">
        <v>36</v>
      </c>
      <c r="Y111" s="34" t="s">
        <v>187</v>
      </c>
    </row>
    <row r="112" spans="2:25">
      <c r="B112" s="21" t="s">
        <v>47</v>
      </c>
      <c r="C112" s="46" t="s">
        <v>28</v>
      </c>
      <c r="D112" s="58">
        <v>44036</v>
      </c>
      <c r="F112" s="39"/>
      <c r="G112" s="102"/>
      <c r="H112" s="103"/>
      <c r="I112" s="16"/>
      <c r="J112" s="39"/>
      <c r="N112" s="39" t="s">
        <v>203</v>
      </c>
      <c r="O112" s="39">
        <v>1889803</v>
      </c>
      <c r="P112" s="16" t="s">
        <v>213</v>
      </c>
      <c r="Q112" s="39"/>
      <c r="R112" s="34"/>
      <c r="S112" s="34"/>
      <c r="T112" s="34"/>
      <c r="U112" s="34" t="s">
        <v>94</v>
      </c>
      <c r="V112" s="46" t="s">
        <v>94</v>
      </c>
      <c r="W112" s="34" t="s">
        <v>35</v>
      </c>
      <c r="X112" s="34" t="s">
        <v>36</v>
      </c>
      <c r="Y112" s="34" t="s">
        <v>187</v>
      </c>
    </row>
    <row r="113" spans="2:25">
      <c r="B113" s="21" t="s">
        <v>74</v>
      </c>
      <c r="C113" s="46" t="s">
        <v>28</v>
      </c>
      <c r="D113" s="58">
        <v>44036</v>
      </c>
      <c r="F113" s="39" t="s">
        <v>41</v>
      </c>
      <c r="G113" s="102">
        <v>2098401</v>
      </c>
      <c r="H113" s="103" t="s">
        <v>118</v>
      </c>
      <c r="I113" s="16"/>
      <c r="J113" s="39"/>
      <c r="N113" s="46"/>
      <c r="O113" s="39"/>
      <c r="P113" s="16"/>
      <c r="Q113" s="39"/>
      <c r="R113" s="34"/>
      <c r="S113" s="34"/>
      <c r="T113" s="34"/>
      <c r="U113" s="34"/>
      <c r="V113" s="46"/>
      <c r="W113" s="34"/>
      <c r="X113" s="34"/>
      <c r="Y113" s="34"/>
    </row>
    <row r="114" spans="2:25">
      <c r="B114" s="21" t="s">
        <v>74</v>
      </c>
      <c r="C114" s="46" t="s">
        <v>28</v>
      </c>
      <c r="D114" s="58">
        <v>44036</v>
      </c>
      <c r="F114" s="22" t="s">
        <v>156</v>
      </c>
      <c r="G114" s="102">
        <v>1809905</v>
      </c>
      <c r="H114" s="103" t="s">
        <v>214</v>
      </c>
      <c r="I114" s="16"/>
      <c r="J114" s="39"/>
      <c r="N114" s="46"/>
      <c r="O114" s="39"/>
      <c r="P114" s="16"/>
      <c r="Q114" s="39"/>
      <c r="R114" s="34"/>
      <c r="S114" s="34"/>
      <c r="T114" s="34"/>
      <c r="U114" s="34"/>
      <c r="V114" s="46"/>
      <c r="W114" s="34"/>
      <c r="X114" s="34"/>
      <c r="Y114" s="34"/>
    </row>
    <row r="115" spans="2:25">
      <c r="B115" s="21" t="s">
        <v>74</v>
      </c>
      <c r="C115" s="46" t="s">
        <v>28</v>
      </c>
      <c r="D115" s="58">
        <v>44043</v>
      </c>
      <c r="F115" s="22" t="s">
        <v>128</v>
      </c>
      <c r="G115" s="102">
        <v>1876301</v>
      </c>
      <c r="H115" s="103" t="s">
        <v>215</v>
      </c>
      <c r="I115" s="16"/>
      <c r="J115" s="39"/>
      <c r="N115" s="46"/>
      <c r="O115" s="39"/>
      <c r="P115" s="16"/>
      <c r="Q115" s="39"/>
      <c r="R115" s="34"/>
      <c r="S115" s="34"/>
      <c r="T115" s="34"/>
      <c r="U115" s="34"/>
      <c r="V115" s="46"/>
      <c r="W115" s="54"/>
      <c r="X115" s="34"/>
      <c r="Y115" s="34"/>
    </row>
    <row r="116" spans="2:25">
      <c r="B116" s="21" t="s">
        <v>74</v>
      </c>
      <c r="C116" s="46" t="s">
        <v>28</v>
      </c>
      <c r="D116" s="58">
        <v>44050</v>
      </c>
      <c r="E116" s="107"/>
      <c r="F116" s="36" t="s">
        <v>216</v>
      </c>
      <c r="G116" s="108">
        <v>1887305</v>
      </c>
      <c r="H116" s="109" t="s">
        <v>99</v>
      </c>
      <c r="I116" s="16"/>
      <c r="J116" s="39"/>
      <c r="N116" s="46"/>
      <c r="O116" s="39"/>
      <c r="P116" s="16"/>
      <c r="Q116" s="39"/>
      <c r="R116" s="34"/>
      <c r="S116" s="34"/>
      <c r="T116" s="34"/>
      <c r="U116" s="34"/>
      <c r="V116" s="46"/>
      <c r="W116" s="54"/>
      <c r="X116" s="34"/>
      <c r="Y116" s="34"/>
    </row>
    <row r="117" spans="2:25">
      <c r="B117" s="21" t="s">
        <v>74</v>
      </c>
      <c r="C117" s="46" t="s">
        <v>28</v>
      </c>
      <c r="D117" s="58" t="s">
        <v>217</v>
      </c>
      <c r="F117" s="22" t="s">
        <v>41</v>
      </c>
      <c r="G117" s="102">
        <v>1929401</v>
      </c>
      <c r="H117" s="103" t="s">
        <v>141</v>
      </c>
      <c r="I117" s="16"/>
      <c r="J117" s="39"/>
      <c r="N117" s="46"/>
      <c r="O117" s="39"/>
      <c r="P117" s="16"/>
      <c r="Q117" s="39"/>
      <c r="R117" s="34"/>
      <c r="S117" s="34"/>
      <c r="T117" s="34"/>
      <c r="U117" s="34"/>
      <c r="V117" s="46"/>
      <c r="W117" s="54"/>
      <c r="X117" s="34"/>
      <c r="Y117" s="34"/>
    </row>
    <row r="118" spans="2:25">
      <c r="B118" s="21" t="s">
        <v>74</v>
      </c>
      <c r="C118" s="46" t="s">
        <v>28</v>
      </c>
      <c r="D118" s="58" t="s">
        <v>217</v>
      </c>
      <c r="F118" s="22" t="s">
        <v>57</v>
      </c>
      <c r="G118" s="102">
        <v>225321</v>
      </c>
      <c r="H118" s="103" t="s">
        <v>218</v>
      </c>
      <c r="I118" s="16"/>
      <c r="J118" s="39"/>
      <c r="N118" s="46"/>
      <c r="O118" s="39"/>
      <c r="P118" s="16"/>
      <c r="Q118" s="39"/>
      <c r="R118" s="34"/>
      <c r="S118" s="34"/>
      <c r="T118" s="34"/>
      <c r="U118" s="34"/>
      <c r="V118" s="46"/>
      <c r="W118" s="54"/>
      <c r="X118" s="34"/>
      <c r="Y118" s="34"/>
    </row>
    <row r="119" spans="2:25">
      <c r="B119" s="21" t="s">
        <v>47</v>
      </c>
      <c r="C119" s="46" t="s">
        <v>28</v>
      </c>
      <c r="D119" s="58">
        <v>44078</v>
      </c>
      <c r="F119" s="22"/>
      <c r="G119" s="102"/>
      <c r="H119" s="103"/>
      <c r="I119" s="16"/>
      <c r="J119" s="39"/>
      <c r="N119" s="39" t="s">
        <v>219</v>
      </c>
      <c r="O119" s="39">
        <v>2184701</v>
      </c>
      <c r="P119" s="16" t="s">
        <v>220</v>
      </c>
      <c r="Q119" s="39"/>
      <c r="R119" s="34"/>
      <c r="S119" s="34"/>
      <c r="T119" s="34"/>
      <c r="U119" s="34" t="s">
        <v>94</v>
      </c>
      <c r="V119" s="46" t="s">
        <v>221</v>
      </c>
      <c r="W119" s="54" t="s">
        <v>35</v>
      </c>
      <c r="X119" s="34" t="s">
        <v>36</v>
      </c>
      <c r="Y119" s="34"/>
    </row>
    <row r="120" spans="2:25">
      <c r="B120" s="21" t="s">
        <v>74</v>
      </c>
      <c r="C120" s="46" t="s">
        <v>28</v>
      </c>
      <c r="D120" s="58">
        <v>44099</v>
      </c>
      <c r="F120" s="22" t="s">
        <v>156</v>
      </c>
      <c r="G120" s="102">
        <v>1809702</v>
      </c>
      <c r="H120" s="103" t="s">
        <v>222</v>
      </c>
      <c r="I120" s="16"/>
      <c r="J120" s="39"/>
      <c r="N120" s="34"/>
      <c r="O120" s="39"/>
      <c r="P120" s="16"/>
      <c r="Q120" s="39"/>
      <c r="R120" s="34"/>
      <c r="S120" s="34"/>
      <c r="T120" s="34"/>
      <c r="U120" s="34"/>
      <c r="V120" s="46"/>
      <c r="W120" s="54"/>
      <c r="X120" s="34"/>
      <c r="Y120" s="34"/>
    </row>
    <row r="121" spans="2:25">
      <c r="B121" s="21" t="s">
        <v>74</v>
      </c>
      <c r="C121" s="80" t="s">
        <v>28</v>
      </c>
      <c r="D121" s="58">
        <v>44099</v>
      </c>
      <c r="F121" s="22" t="s">
        <v>57</v>
      </c>
      <c r="G121" s="102">
        <v>517439</v>
      </c>
      <c r="H121" s="103" t="s">
        <v>223</v>
      </c>
      <c r="I121" s="16"/>
      <c r="J121" s="39"/>
      <c r="N121" s="34"/>
      <c r="O121" s="39"/>
      <c r="P121" s="16"/>
      <c r="Q121" s="39"/>
      <c r="R121" s="34"/>
      <c r="S121" s="34"/>
      <c r="T121" s="34"/>
      <c r="U121" s="34"/>
      <c r="V121" s="46"/>
      <c r="W121" s="54"/>
      <c r="X121" s="34"/>
      <c r="Y121" s="34"/>
    </row>
    <row r="122" spans="2:25">
      <c r="B122" s="21" t="s">
        <v>47</v>
      </c>
      <c r="C122" s="46" t="s">
        <v>28</v>
      </c>
      <c r="D122" s="58">
        <v>44106</v>
      </c>
      <c r="F122" s="22"/>
      <c r="G122" s="102"/>
      <c r="H122" s="103"/>
      <c r="I122" s="16"/>
      <c r="J122" s="39"/>
      <c r="N122" s="39" t="s">
        <v>219</v>
      </c>
      <c r="O122" s="39">
        <v>2210101</v>
      </c>
      <c r="P122" s="16" t="s">
        <v>224</v>
      </c>
      <c r="Q122" s="39"/>
      <c r="R122" s="34"/>
      <c r="S122" s="34"/>
      <c r="T122" s="34"/>
      <c r="U122" s="34" t="s">
        <v>94</v>
      </c>
      <c r="V122" s="46" t="s">
        <v>221</v>
      </c>
      <c r="W122" s="54" t="s">
        <v>35</v>
      </c>
      <c r="X122" s="34" t="s">
        <v>36</v>
      </c>
      <c r="Y122" s="34"/>
    </row>
    <row r="123" spans="2:25">
      <c r="B123" s="21" t="s">
        <v>74</v>
      </c>
      <c r="C123" s="46" t="s">
        <v>28</v>
      </c>
      <c r="D123" s="58">
        <v>44106</v>
      </c>
      <c r="F123" s="22" t="s">
        <v>41</v>
      </c>
      <c r="G123" s="102">
        <v>2019901</v>
      </c>
      <c r="H123" s="103" t="s">
        <v>46</v>
      </c>
      <c r="I123" s="16"/>
      <c r="J123" s="39"/>
      <c r="N123" s="34"/>
      <c r="O123" s="39"/>
      <c r="P123" s="16"/>
      <c r="Q123" s="39"/>
      <c r="R123" s="34"/>
      <c r="S123" s="34"/>
      <c r="T123" s="34"/>
      <c r="U123" s="34"/>
      <c r="V123" s="46"/>
      <c r="W123" s="54"/>
      <c r="X123" s="34"/>
      <c r="Y123" s="34"/>
    </row>
    <row r="124" spans="2:25">
      <c r="B124" s="21" t="s">
        <v>74</v>
      </c>
      <c r="C124" s="46" t="s">
        <v>28</v>
      </c>
      <c r="D124" s="58">
        <v>44106</v>
      </c>
      <c r="F124" s="22" t="s">
        <v>48</v>
      </c>
      <c r="G124" s="102">
        <v>404032</v>
      </c>
      <c r="H124" s="103" t="s">
        <v>225</v>
      </c>
      <c r="I124" s="16"/>
      <c r="J124" s="39"/>
      <c r="N124" s="34"/>
      <c r="O124" s="39"/>
      <c r="P124" s="16"/>
      <c r="Q124" s="39"/>
      <c r="R124" s="34"/>
      <c r="S124" s="34"/>
      <c r="T124" s="34"/>
      <c r="U124" s="34"/>
      <c r="V124" s="46"/>
      <c r="W124" s="54"/>
      <c r="X124" s="34"/>
      <c r="Y124" s="34"/>
    </row>
    <row r="125" spans="2:25">
      <c r="B125" s="21" t="s">
        <v>47</v>
      </c>
      <c r="C125" s="46" t="s">
        <v>28</v>
      </c>
      <c r="D125" s="58">
        <v>44120</v>
      </c>
      <c r="F125" s="22"/>
      <c r="G125" s="102"/>
      <c r="H125" s="103"/>
      <c r="I125" s="16"/>
      <c r="J125" s="39"/>
      <c r="N125" s="39" t="s">
        <v>226</v>
      </c>
      <c r="O125" s="39">
        <v>2203803</v>
      </c>
      <c r="P125" s="16" t="s">
        <v>227</v>
      </c>
      <c r="Q125" s="39"/>
      <c r="R125" s="34"/>
      <c r="S125" s="34"/>
      <c r="T125" s="34"/>
      <c r="U125" s="34" t="s">
        <v>94</v>
      </c>
      <c r="V125" s="46" t="s">
        <v>221</v>
      </c>
      <c r="W125" s="54" t="s">
        <v>35</v>
      </c>
      <c r="X125" s="34" t="s">
        <v>36</v>
      </c>
      <c r="Y125" s="34"/>
    </row>
    <row r="126" spans="2:25">
      <c r="B126" s="21" t="s">
        <v>47</v>
      </c>
      <c r="C126" s="46" t="s">
        <v>28</v>
      </c>
      <c r="D126" s="58">
        <v>44120</v>
      </c>
      <c r="F126" s="22"/>
      <c r="G126" s="102"/>
      <c r="H126" s="103"/>
      <c r="I126" s="16"/>
      <c r="J126" s="39"/>
      <c r="N126" s="39" t="s">
        <v>226</v>
      </c>
      <c r="O126" s="39">
        <v>2203903</v>
      </c>
      <c r="P126" s="16" t="s">
        <v>228</v>
      </c>
      <c r="Q126" s="39"/>
      <c r="R126" s="34"/>
      <c r="S126" s="34"/>
      <c r="T126" s="34"/>
      <c r="U126" s="34" t="s">
        <v>94</v>
      </c>
      <c r="V126" s="46" t="s">
        <v>221</v>
      </c>
      <c r="W126" s="54" t="s">
        <v>35</v>
      </c>
      <c r="X126" s="34" t="s">
        <v>36</v>
      </c>
      <c r="Y126" s="34"/>
    </row>
    <row r="127" spans="2:25">
      <c r="B127" s="21" t="s">
        <v>47</v>
      </c>
      <c r="C127" s="46" t="s">
        <v>28</v>
      </c>
      <c r="D127" s="58">
        <v>44120</v>
      </c>
      <c r="F127" s="22"/>
      <c r="G127" s="102"/>
      <c r="H127" s="103"/>
      <c r="I127" s="16"/>
      <c r="J127" s="39"/>
      <c r="N127" s="39" t="s">
        <v>226</v>
      </c>
      <c r="O127" s="39">
        <v>2204003</v>
      </c>
      <c r="P127" s="16" t="s">
        <v>229</v>
      </c>
      <c r="Q127" s="39"/>
      <c r="R127" s="34"/>
      <c r="S127" s="34"/>
      <c r="T127" s="34"/>
      <c r="U127" s="34" t="s">
        <v>94</v>
      </c>
      <c r="V127" s="46" t="s">
        <v>221</v>
      </c>
      <c r="W127" s="54" t="s">
        <v>35</v>
      </c>
      <c r="X127" s="34" t="s">
        <v>36</v>
      </c>
      <c r="Y127" s="34"/>
    </row>
    <row r="128" spans="2:25">
      <c r="B128" s="21" t="s">
        <v>47</v>
      </c>
      <c r="C128" s="46" t="s">
        <v>28</v>
      </c>
      <c r="D128" s="58">
        <v>44120</v>
      </c>
      <c r="F128" s="22"/>
      <c r="G128" s="102"/>
      <c r="H128" s="103"/>
      <c r="I128" s="16"/>
      <c r="J128" s="39"/>
      <c r="N128" s="39" t="s">
        <v>41</v>
      </c>
      <c r="O128" s="39">
        <v>1409005</v>
      </c>
      <c r="P128" s="16" t="s">
        <v>230</v>
      </c>
      <c r="Q128" s="39"/>
      <c r="R128" s="34" t="s">
        <v>231</v>
      </c>
      <c r="S128" s="34"/>
      <c r="T128" s="34"/>
      <c r="U128" s="34" t="s">
        <v>94</v>
      </c>
      <c r="V128" s="46" t="s">
        <v>221</v>
      </c>
      <c r="W128" s="54" t="s">
        <v>35</v>
      </c>
      <c r="X128" s="34" t="s">
        <v>36</v>
      </c>
      <c r="Y128" s="39"/>
    </row>
    <row r="129" spans="2:25">
      <c r="B129" s="21" t="s">
        <v>47</v>
      </c>
      <c r="C129" s="46" t="s">
        <v>28</v>
      </c>
      <c r="D129" s="58">
        <v>44120</v>
      </c>
      <c r="F129" s="22"/>
      <c r="G129" s="102"/>
      <c r="H129" s="103"/>
      <c r="I129" s="16"/>
      <c r="J129" s="39"/>
      <c r="N129" s="39" t="s">
        <v>41</v>
      </c>
      <c r="O129" s="39">
        <v>2166001</v>
      </c>
      <c r="P129" s="16" t="s">
        <v>232</v>
      </c>
      <c r="Q129" s="39"/>
      <c r="R129" s="34" t="s">
        <v>231</v>
      </c>
      <c r="S129" s="34"/>
      <c r="T129" s="34"/>
      <c r="U129" s="34" t="s">
        <v>94</v>
      </c>
      <c r="V129" s="46" t="s">
        <v>221</v>
      </c>
      <c r="W129" s="54" t="s">
        <v>35</v>
      </c>
      <c r="X129" s="34" t="s">
        <v>36</v>
      </c>
      <c r="Y129" s="39"/>
    </row>
    <row r="130" spans="2:25">
      <c r="B130" s="21" t="s">
        <v>47</v>
      </c>
      <c r="C130" s="46" t="s">
        <v>28</v>
      </c>
      <c r="D130" s="58">
        <v>44120</v>
      </c>
      <c r="F130" s="22"/>
      <c r="G130" s="102"/>
      <c r="H130" s="103"/>
      <c r="I130" s="16"/>
      <c r="J130" s="39"/>
      <c r="N130" s="39" t="s">
        <v>41</v>
      </c>
      <c r="O130" s="39">
        <v>2166101</v>
      </c>
      <c r="P130" s="16" t="s">
        <v>233</v>
      </c>
      <c r="Q130" s="39"/>
      <c r="R130" s="34" t="s">
        <v>231</v>
      </c>
      <c r="S130" s="34"/>
      <c r="T130" s="34"/>
      <c r="U130" s="34" t="s">
        <v>94</v>
      </c>
      <c r="V130" s="46" t="s">
        <v>221</v>
      </c>
      <c r="W130" s="54" t="s">
        <v>35</v>
      </c>
      <c r="X130" s="34" t="s">
        <v>36</v>
      </c>
      <c r="Y130" s="39"/>
    </row>
    <row r="131" spans="2:25">
      <c r="B131" s="21" t="s">
        <v>47</v>
      </c>
      <c r="C131" s="46" t="s">
        <v>28</v>
      </c>
      <c r="D131" s="58">
        <v>44120</v>
      </c>
      <c r="F131" s="22"/>
      <c r="G131" s="102"/>
      <c r="H131" s="103"/>
      <c r="I131" s="16"/>
      <c r="J131" s="39"/>
      <c r="N131" s="39" t="s">
        <v>41</v>
      </c>
      <c r="O131" s="39">
        <v>2166601</v>
      </c>
      <c r="P131" s="16" t="s">
        <v>234</v>
      </c>
      <c r="Q131" s="39"/>
      <c r="R131" s="34" t="s">
        <v>231</v>
      </c>
      <c r="S131" s="34"/>
      <c r="T131" s="34"/>
      <c r="U131" s="34" t="s">
        <v>94</v>
      </c>
      <c r="V131" s="46" t="s">
        <v>221</v>
      </c>
      <c r="W131" s="54" t="s">
        <v>35</v>
      </c>
      <c r="X131" s="34" t="s">
        <v>36</v>
      </c>
      <c r="Y131" s="39"/>
    </row>
    <row r="132" spans="2:25">
      <c r="B132" s="21" t="s">
        <v>47</v>
      </c>
      <c r="C132" s="46" t="s">
        <v>28</v>
      </c>
      <c r="D132" s="58">
        <v>44120</v>
      </c>
      <c r="F132" s="22"/>
      <c r="G132" s="102"/>
      <c r="H132" s="103"/>
      <c r="I132" s="16"/>
      <c r="J132" s="39"/>
      <c r="N132" s="39" t="s">
        <v>41</v>
      </c>
      <c r="O132" s="39">
        <v>2166801</v>
      </c>
      <c r="P132" s="16" t="s">
        <v>235</v>
      </c>
      <c r="Q132" s="39"/>
      <c r="R132" s="34" t="s">
        <v>231</v>
      </c>
      <c r="S132" s="34"/>
      <c r="T132" s="34"/>
      <c r="U132" s="34" t="s">
        <v>94</v>
      </c>
      <c r="V132" s="46" t="s">
        <v>221</v>
      </c>
      <c r="W132" s="54" t="s">
        <v>35</v>
      </c>
      <c r="X132" s="34" t="s">
        <v>36</v>
      </c>
      <c r="Y132" s="39"/>
    </row>
    <row r="133" spans="2:25">
      <c r="B133" s="21" t="s">
        <v>47</v>
      </c>
      <c r="C133" s="46" t="s">
        <v>28</v>
      </c>
      <c r="D133" s="58">
        <v>44120</v>
      </c>
      <c r="F133" s="22"/>
      <c r="G133" s="102"/>
      <c r="H133" s="103"/>
      <c r="I133" s="16"/>
      <c r="J133" s="39"/>
      <c r="N133" s="39" t="s">
        <v>41</v>
      </c>
      <c r="O133" s="39">
        <v>2166701</v>
      </c>
      <c r="P133" s="16" t="s">
        <v>236</v>
      </c>
      <c r="Q133" s="39"/>
      <c r="R133" s="34" t="s">
        <v>231</v>
      </c>
      <c r="S133" s="34"/>
      <c r="T133" s="34"/>
      <c r="U133" s="34" t="s">
        <v>94</v>
      </c>
      <c r="V133" s="46" t="s">
        <v>221</v>
      </c>
      <c r="W133" s="54" t="s">
        <v>35</v>
      </c>
      <c r="X133" s="34" t="s">
        <v>36</v>
      </c>
      <c r="Y133" s="39"/>
    </row>
    <row r="134" spans="2:25">
      <c r="B134" s="21" t="s">
        <v>47</v>
      </c>
      <c r="C134" s="46" t="s">
        <v>28</v>
      </c>
      <c r="D134" s="58">
        <v>44120</v>
      </c>
      <c r="F134" s="22"/>
      <c r="G134" s="102"/>
      <c r="H134" s="103"/>
      <c r="I134" s="16"/>
      <c r="J134" s="39"/>
      <c r="N134" s="39" t="s">
        <v>41</v>
      </c>
      <c r="O134" s="39">
        <v>1409004</v>
      </c>
      <c r="P134" s="16" t="s">
        <v>237</v>
      </c>
      <c r="Q134" s="39"/>
      <c r="R134" s="34" t="s">
        <v>231</v>
      </c>
      <c r="S134" s="34"/>
      <c r="T134" s="34"/>
      <c r="U134" s="34" t="s">
        <v>94</v>
      </c>
      <c r="V134" s="46" t="s">
        <v>221</v>
      </c>
      <c r="W134" s="54" t="s">
        <v>35</v>
      </c>
      <c r="X134" s="34" t="s">
        <v>36</v>
      </c>
      <c r="Y134" s="34"/>
    </row>
    <row r="135" spans="2:25">
      <c r="B135" s="21" t="s">
        <v>47</v>
      </c>
      <c r="C135" s="46" t="s">
        <v>28</v>
      </c>
      <c r="D135" s="58">
        <v>44120</v>
      </c>
      <c r="F135" s="22"/>
      <c r="G135" s="102"/>
      <c r="H135" s="103"/>
      <c r="I135" s="16"/>
      <c r="J135" s="39"/>
      <c r="N135" s="39" t="s">
        <v>41</v>
      </c>
      <c r="O135" s="39">
        <v>2165801</v>
      </c>
      <c r="P135" s="16" t="s">
        <v>238</v>
      </c>
      <c r="Q135" s="39"/>
      <c r="R135" s="34" t="s">
        <v>231</v>
      </c>
      <c r="S135" s="34"/>
      <c r="T135" s="34"/>
      <c r="U135" s="34" t="s">
        <v>94</v>
      </c>
      <c r="V135" s="46" t="s">
        <v>221</v>
      </c>
      <c r="W135" s="54" t="s">
        <v>35</v>
      </c>
      <c r="X135" s="34" t="s">
        <v>36</v>
      </c>
      <c r="Y135" s="39"/>
    </row>
    <row r="136" spans="2:25">
      <c r="B136" s="21" t="s">
        <v>47</v>
      </c>
      <c r="C136" s="46" t="s">
        <v>28</v>
      </c>
      <c r="D136" s="58">
        <v>44120</v>
      </c>
      <c r="F136" s="22"/>
      <c r="G136" s="102"/>
      <c r="H136" s="103"/>
      <c r="I136" s="16"/>
      <c r="J136" s="39"/>
      <c r="N136" s="39" t="s">
        <v>41</v>
      </c>
      <c r="O136" s="39">
        <v>2184501</v>
      </c>
      <c r="P136" s="16" t="s">
        <v>239</v>
      </c>
      <c r="Q136" s="39"/>
      <c r="R136" s="34" t="s">
        <v>231</v>
      </c>
      <c r="S136" s="34"/>
      <c r="T136" s="34"/>
      <c r="U136" s="34" t="s">
        <v>94</v>
      </c>
      <c r="V136" s="46" t="s">
        <v>221</v>
      </c>
      <c r="W136" s="54" t="s">
        <v>35</v>
      </c>
      <c r="X136" s="34" t="s">
        <v>36</v>
      </c>
      <c r="Y136" s="39"/>
    </row>
    <row r="137" spans="2:25">
      <c r="B137" s="21" t="s">
        <v>47</v>
      </c>
      <c r="C137" s="46" t="s">
        <v>28</v>
      </c>
      <c r="D137" s="58">
        <v>44120</v>
      </c>
      <c r="F137" s="22"/>
      <c r="G137" s="102"/>
      <c r="H137" s="103"/>
      <c r="I137" s="16"/>
      <c r="J137" s="39"/>
      <c r="N137" s="39" t="s">
        <v>41</v>
      </c>
      <c r="O137" s="39">
        <v>2184601</v>
      </c>
      <c r="P137" s="16" t="s">
        <v>240</v>
      </c>
      <c r="Q137" s="39"/>
      <c r="R137" s="34" t="s">
        <v>231</v>
      </c>
      <c r="S137" s="34"/>
      <c r="T137" s="34"/>
      <c r="U137" s="34" t="s">
        <v>94</v>
      </c>
      <c r="V137" s="46" t="s">
        <v>221</v>
      </c>
      <c r="W137" s="54" t="s">
        <v>35</v>
      </c>
      <c r="X137" s="34" t="s">
        <v>36</v>
      </c>
      <c r="Y137" s="39"/>
    </row>
    <row r="138" spans="2:25">
      <c r="B138" s="21" t="s">
        <v>47</v>
      </c>
      <c r="C138" s="46" t="s">
        <v>28</v>
      </c>
      <c r="D138" s="58">
        <v>44141</v>
      </c>
      <c r="F138" s="22"/>
      <c r="G138" s="102"/>
      <c r="H138" s="103"/>
      <c r="I138" s="16"/>
      <c r="J138" s="39"/>
      <c r="N138" s="39" t="s">
        <v>41</v>
      </c>
      <c r="O138" s="39">
        <v>2165901</v>
      </c>
      <c r="P138" s="16" t="s">
        <v>241</v>
      </c>
      <c r="Q138" s="39"/>
      <c r="R138" s="34" t="s">
        <v>231</v>
      </c>
      <c r="S138" s="34"/>
      <c r="T138" s="34"/>
      <c r="U138" s="34" t="s">
        <v>94</v>
      </c>
      <c r="V138" s="46" t="s">
        <v>221</v>
      </c>
      <c r="W138" s="54" t="s">
        <v>35</v>
      </c>
      <c r="X138" s="34" t="s">
        <v>102</v>
      </c>
      <c r="Y138" s="106"/>
    </row>
    <row r="139" spans="2:25">
      <c r="B139" s="21" t="s">
        <v>47</v>
      </c>
      <c r="C139" s="46" t="s">
        <v>28</v>
      </c>
      <c r="D139" s="58">
        <v>44141</v>
      </c>
      <c r="F139" s="22"/>
      <c r="G139" s="102"/>
      <c r="H139" s="103"/>
      <c r="I139" s="16"/>
      <c r="J139" s="39"/>
      <c r="N139" s="39" t="s">
        <v>64</v>
      </c>
      <c r="O139" s="39">
        <v>2109402</v>
      </c>
      <c r="P139" s="16" t="s">
        <v>242</v>
      </c>
      <c r="Q139" s="39"/>
      <c r="R139" s="34" t="s">
        <v>243</v>
      </c>
      <c r="S139" s="34"/>
      <c r="T139" s="34"/>
      <c r="U139" s="34" t="s">
        <v>94</v>
      </c>
      <c r="V139" s="46" t="s">
        <v>221</v>
      </c>
      <c r="W139" s="54" t="s">
        <v>35</v>
      </c>
      <c r="X139" s="34" t="s">
        <v>36</v>
      </c>
      <c r="Y139" s="111" t="s">
        <v>244</v>
      </c>
    </row>
    <row r="140" spans="2:25">
      <c r="B140" s="21" t="s">
        <v>47</v>
      </c>
      <c r="C140" s="46" t="s">
        <v>28</v>
      </c>
      <c r="D140" s="58">
        <v>44141</v>
      </c>
      <c r="F140" s="22"/>
      <c r="G140" s="102"/>
      <c r="H140" s="103"/>
      <c r="I140" s="16"/>
      <c r="J140" s="39"/>
      <c r="N140" s="39" t="s">
        <v>245</v>
      </c>
      <c r="O140" s="39">
        <v>2125401</v>
      </c>
      <c r="P140" s="16" t="s">
        <v>246</v>
      </c>
      <c r="Q140" s="39"/>
      <c r="R140" s="34" t="s">
        <v>247</v>
      </c>
      <c r="S140" s="34"/>
      <c r="T140" s="34"/>
      <c r="U140" s="34" t="s">
        <v>94</v>
      </c>
      <c r="V140" s="46" t="s">
        <v>221</v>
      </c>
      <c r="W140" s="54" t="s">
        <v>35</v>
      </c>
      <c r="X140" s="34" t="s">
        <v>36</v>
      </c>
      <c r="Y140" s="106"/>
    </row>
    <row r="141" spans="2:25">
      <c r="B141" s="21" t="s">
        <v>47</v>
      </c>
      <c r="C141" s="46" t="s">
        <v>28</v>
      </c>
      <c r="D141" s="58">
        <v>44141</v>
      </c>
      <c r="F141" s="22"/>
      <c r="G141" s="102"/>
      <c r="H141" s="103"/>
      <c r="I141" s="16"/>
      <c r="J141" s="39"/>
      <c r="N141" s="39" t="s">
        <v>245</v>
      </c>
      <c r="O141" s="39">
        <v>2125301</v>
      </c>
      <c r="P141" s="16" t="s">
        <v>248</v>
      </c>
      <c r="Q141" s="39"/>
      <c r="R141" s="34" t="s">
        <v>247</v>
      </c>
      <c r="S141" s="34"/>
      <c r="T141" s="34"/>
      <c r="U141" s="34" t="s">
        <v>94</v>
      </c>
      <c r="V141" s="46" t="s">
        <v>221</v>
      </c>
      <c r="W141" s="54" t="s">
        <v>35</v>
      </c>
      <c r="X141" s="34" t="s">
        <v>36</v>
      </c>
      <c r="Y141" s="106"/>
    </row>
    <row r="142" spans="2:25">
      <c r="B142" s="21" t="s">
        <v>47</v>
      </c>
      <c r="C142" s="46" t="s">
        <v>28</v>
      </c>
      <c r="D142" s="58">
        <v>44141</v>
      </c>
      <c r="F142" s="22"/>
      <c r="G142" s="102"/>
      <c r="H142" s="103"/>
      <c r="I142" s="16"/>
      <c r="J142" s="39"/>
      <c r="N142" s="39" t="s">
        <v>245</v>
      </c>
      <c r="O142" s="39">
        <v>2125701</v>
      </c>
      <c r="P142" s="16" t="s">
        <v>249</v>
      </c>
      <c r="Q142" s="39"/>
      <c r="R142" s="34" t="s">
        <v>247</v>
      </c>
      <c r="S142" s="34"/>
      <c r="T142" s="34"/>
      <c r="U142" s="34" t="s">
        <v>94</v>
      </c>
      <c r="V142" s="46" t="s">
        <v>221</v>
      </c>
      <c r="W142" s="54" t="s">
        <v>35</v>
      </c>
      <c r="X142" s="34" t="s">
        <v>36</v>
      </c>
      <c r="Y142" s="106"/>
    </row>
    <row r="143" spans="2:25">
      <c r="B143" s="21" t="s">
        <v>47</v>
      </c>
      <c r="C143" s="46" t="s">
        <v>28</v>
      </c>
      <c r="D143" s="58">
        <v>44141</v>
      </c>
      <c r="F143" s="22"/>
      <c r="G143" s="102"/>
      <c r="H143" s="103"/>
      <c r="I143" s="16"/>
      <c r="J143" s="39"/>
      <c r="N143" s="39" t="s">
        <v>245</v>
      </c>
      <c r="O143" s="39">
        <v>2125201</v>
      </c>
      <c r="P143" s="16" t="s">
        <v>250</v>
      </c>
      <c r="Q143" s="39"/>
      <c r="R143" s="34" t="s">
        <v>247</v>
      </c>
      <c r="S143" s="34"/>
      <c r="T143" s="34"/>
      <c r="U143" s="34" t="s">
        <v>94</v>
      </c>
      <c r="V143" s="46" t="s">
        <v>221</v>
      </c>
      <c r="W143" s="54" t="s">
        <v>35</v>
      </c>
      <c r="X143" s="34" t="s">
        <v>36</v>
      </c>
      <c r="Y143" s="106"/>
    </row>
    <row r="144" spans="2:25">
      <c r="B144" s="21" t="s">
        <v>47</v>
      </c>
      <c r="C144" s="46" t="s">
        <v>28</v>
      </c>
      <c r="D144" s="58">
        <v>44141</v>
      </c>
      <c r="F144" s="22"/>
      <c r="G144" s="102"/>
      <c r="H144" s="103"/>
      <c r="I144" s="16"/>
      <c r="J144" s="39"/>
      <c r="N144" s="39" t="s">
        <v>245</v>
      </c>
      <c r="O144" s="39">
        <v>2096802</v>
      </c>
      <c r="P144" s="16" t="s">
        <v>251</v>
      </c>
      <c r="Q144" s="39"/>
      <c r="R144" s="34" t="s">
        <v>247</v>
      </c>
      <c r="S144" s="34"/>
      <c r="T144" s="34"/>
      <c r="U144" s="34" t="s">
        <v>94</v>
      </c>
      <c r="V144" s="46" t="s">
        <v>221</v>
      </c>
      <c r="W144" s="54" t="s">
        <v>35</v>
      </c>
      <c r="X144" s="34" t="s">
        <v>36</v>
      </c>
      <c r="Y144" s="106"/>
    </row>
    <row r="145" spans="2:25">
      <c r="B145" s="21" t="s">
        <v>74</v>
      </c>
      <c r="C145" s="46" t="s">
        <v>28</v>
      </c>
      <c r="D145" s="58">
        <v>44141</v>
      </c>
      <c r="F145" s="22" t="s">
        <v>41</v>
      </c>
      <c r="G145" s="102">
        <v>2019801</v>
      </c>
      <c r="H145" s="103" t="s">
        <v>43</v>
      </c>
      <c r="I145" s="16"/>
      <c r="J145" s="39"/>
      <c r="N145" s="39"/>
      <c r="O145" s="39"/>
      <c r="P145" s="16"/>
      <c r="Q145" s="39"/>
      <c r="R145" s="34"/>
      <c r="S145" s="34"/>
      <c r="T145" s="34"/>
      <c r="U145" s="34"/>
      <c r="V145" s="46"/>
      <c r="W145" s="54"/>
      <c r="X145" s="34"/>
      <c r="Y145" s="106"/>
    </row>
    <row r="146" spans="2:25">
      <c r="B146" s="21" t="s">
        <v>47</v>
      </c>
      <c r="C146" s="46" t="s">
        <v>28</v>
      </c>
      <c r="D146" s="58">
        <v>44148</v>
      </c>
      <c r="F146" s="22"/>
      <c r="G146" s="102"/>
      <c r="H146" s="103"/>
      <c r="I146" s="16"/>
      <c r="J146" s="39"/>
      <c r="N146" s="39" t="s">
        <v>245</v>
      </c>
      <c r="O146" s="39">
        <v>2095802</v>
      </c>
      <c r="P146" s="16" t="s">
        <v>252</v>
      </c>
      <c r="Q146" s="39"/>
      <c r="R146" s="34" t="s">
        <v>247</v>
      </c>
      <c r="S146" s="34"/>
      <c r="T146" s="34"/>
      <c r="U146" s="34" t="s">
        <v>94</v>
      </c>
      <c r="V146" s="46" t="s">
        <v>221</v>
      </c>
      <c r="W146" s="54" t="s">
        <v>35</v>
      </c>
      <c r="X146" s="34" t="s">
        <v>36</v>
      </c>
      <c r="Y146" s="106"/>
    </row>
    <row r="147" spans="2:25">
      <c r="B147" s="21" t="s">
        <v>47</v>
      </c>
      <c r="C147" s="46" t="s">
        <v>28</v>
      </c>
      <c r="D147" s="58">
        <v>44148</v>
      </c>
      <c r="F147" s="22"/>
      <c r="G147" s="102"/>
      <c r="H147" s="103"/>
      <c r="I147" s="16"/>
      <c r="J147" s="39"/>
      <c r="N147" s="39" t="s">
        <v>216</v>
      </c>
      <c r="O147" s="82">
        <v>421807</v>
      </c>
      <c r="P147" s="16" t="s">
        <v>253</v>
      </c>
      <c r="Q147" s="39"/>
      <c r="R147" s="34" t="s">
        <v>76</v>
      </c>
      <c r="S147" s="34"/>
      <c r="T147" s="34"/>
      <c r="U147" s="34" t="s">
        <v>94</v>
      </c>
      <c r="V147" s="46" t="s">
        <v>221</v>
      </c>
      <c r="W147" s="54" t="s">
        <v>35</v>
      </c>
      <c r="X147" s="34" t="s">
        <v>36</v>
      </c>
      <c r="Y147" s="111" t="s">
        <v>254</v>
      </c>
    </row>
    <row r="148" spans="2:25">
      <c r="B148" s="21" t="s">
        <v>47</v>
      </c>
      <c r="C148" s="46" t="s">
        <v>28</v>
      </c>
      <c r="D148" s="58">
        <v>44155</v>
      </c>
      <c r="F148" s="22"/>
      <c r="G148" s="102"/>
      <c r="H148" s="103"/>
      <c r="I148" s="16"/>
      <c r="J148" s="39"/>
      <c r="N148" s="39" t="s">
        <v>216</v>
      </c>
      <c r="O148" s="82">
        <v>1459601</v>
      </c>
      <c r="P148" s="16" t="s">
        <v>255</v>
      </c>
      <c r="Q148" s="39"/>
      <c r="R148" s="34" t="s">
        <v>76</v>
      </c>
      <c r="S148" s="34"/>
      <c r="T148" s="34"/>
      <c r="U148" s="34" t="s">
        <v>94</v>
      </c>
      <c r="V148" s="46" t="s">
        <v>221</v>
      </c>
      <c r="W148" s="54" t="s">
        <v>35</v>
      </c>
      <c r="X148" s="34" t="s">
        <v>36</v>
      </c>
      <c r="Y148" s="111" t="s">
        <v>254</v>
      </c>
    </row>
    <row r="149" spans="2:25">
      <c r="B149" s="21" t="s">
        <v>47</v>
      </c>
      <c r="C149" s="46" t="s">
        <v>28</v>
      </c>
      <c r="D149" s="58">
        <v>44162</v>
      </c>
      <c r="F149" s="22"/>
      <c r="G149" s="102"/>
      <c r="H149" s="103"/>
      <c r="I149" s="16"/>
      <c r="J149" s="39"/>
      <c r="N149" s="39" t="s">
        <v>103</v>
      </c>
      <c r="O149" s="39">
        <v>524806</v>
      </c>
      <c r="P149" s="16" t="s">
        <v>256</v>
      </c>
      <c r="Q149" s="39"/>
      <c r="R149" s="34" t="s">
        <v>257</v>
      </c>
      <c r="S149" s="34"/>
      <c r="T149" s="34"/>
      <c r="U149" s="34" t="s">
        <v>94</v>
      </c>
      <c r="V149" s="46" t="s">
        <v>221</v>
      </c>
      <c r="W149" s="54" t="s">
        <v>35</v>
      </c>
      <c r="X149" s="34" t="s">
        <v>36</v>
      </c>
      <c r="Y149" s="106"/>
    </row>
    <row r="150" spans="2:25">
      <c r="B150" s="21" t="s">
        <v>47</v>
      </c>
      <c r="C150" s="46" t="s">
        <v>28</v>
      </c>
      <c r="D150" s="58">
        <v>44162</v>
      </c>
      <c r="F150" s="22"/>
      <c r="G150" s="102"/>
      <c r="H150" s="103"/>
      <c r="I150" s="16"/>
      <c r="J150" s="39"/>
      <c r="N150" s="39" t="s">
        <v>103</v>
      </c>
      <c r="O150" s="39">
        <v>142504</v>
      </c>
      <c r="P150" s="16" t="s">
        <v>258</v>
      </c>
      <c r="Q150" s="39"/>
      <c r="R150" s="34" t="s">
        <v>257</v>
      </c>
      <c r="S150" s="34"/>
      <c r="T150" s="34"/>
      <c r="U150" s="34" t="s">
        <v>94</v>
      </c>
      <c r="V150" s="46" t="s">
        <v>221</v>
      </c>
      <c r="W150" s="54" t="s">
        <v>35</v>
      </c>
      <c r="X150" s="34" t="s">
        <v>36</v>
      </c>
      <c r="Y150" s="106"/>
    </row>
    <row r="151" spans="2:25">
      <c r="B151" s="21" t="s">
        <v>47</v>
      </c>
      <c r="C151" s="46" t="s">
        <v>28</v>
      </c>
      <c r="D151" s="58">
        <v>44162</v>
      </c>
      <c r="F151" s="22"/>
      <c r="G151" s="102"/>
      <c r="H151" s="103"/>
      <c r="I151" s="16"/>
      <c r="J151" s="39"/>
      <c r="N151" s="39" t="s">
        <v>103</v>
      </c>
      <c r="O151" s="39">
        <v>698405</v>
      </c>
      <c r="P151" s="16" t="s">
        <v>259</v>
      </c>
      <c r="Q151" s="39"/>
      <c r="R151" s="34" t="s">
        <v>257</v>
      </c>
      <c r="S151" s="34"/>
      <c r="T151" s="34"/>
      <c r="U151" s="34" t="s">
        <v>94</v>
      </c>
      <c r="V151" s="46" t="s">
        <v>221</v>
      </c>
      <c r="W151" s="54" t="s">
        <v>35</v>
      </c>
      <c r="X151" s="34" t="s">
        <v>36</v>
      </c>
      <c r="Y151" s="106"/>
    </row>
    <row r="152" spans="2:25">
      <c r="B152" s="21" t="s">
        <v>47</v>
      </c>
      <c r="C152" s="46" t="s">
        <v>28</v>
      </c>
      <c r="D152" s="58">
        <v>44162</v>
      </c>
      <c r="F152" s="22"/>
      <c r="G152" s="102"/>
      <c r="H152" s="103"/>
      <c r="I152" s="16"/>
      <c r="J152" s="39"/>
      <c r="N152" s="82" t="s">
        <v>103</v>
      </c>
      <c r="O152" s="82">
        <v>1416007</v>
      </c>
      <c r="P152" s="78" t="s">
        <v>260</v>
      </c>
      <c r="Q152" s="39"/>
      <c r="R152" s="34" t="s">
        <v>257</v>
      </c>
      <c r="S152" s="34"/>
      <c r="T152" s="34"/>
      <c r="U152" s="38" t="s">
        <v>94</v>
      </c>
      <c r="V152" s="80" t="s">
        <v>221</v>
      </c>
      <c r="W152" s="98" t="s">
        <v>35</v>
      </c>
      <c r="X152" s="34" t="s">
        <v>36</v>
      </c>
      <c r="Y152" s="106"/>
    </row>
    <row r="153" spans="2:25">
      <c r="B153" s="21" t="s">
        <v>47</v>
      </c>
      <c r="C153" s="46" t="s">
        <v>28</v>
      </c>
      <c r="D153" s="81">
        <v>44169</v>
      </c>
      <c r="F153" s="22"/>
      <c r="G153" s="102"/>
      <c r="H153" s="103"/>
      <c r="I153" s="16"/>
      <c r="J153" s="39"/>
      <c r="N153" s="82" t="s">
        <v>245</v>
      </c>
      <c r="O153" s="82">
        <v>2097002</v>
      </c>
      <c r="P153" s="78" t="s">
        <v>261</v>
      </c>
      <c r="Q153" s="39"/>
      <c r="R153" s="34"/>
      <c r="S153" s="34"/>
      <c r="T153" s="34"/>
      <c r="U153" s="38" t="s">
        <v>94</v>
      </c>
      <c r="V153" s="80" t="s">
        <v>221</v>
      </c>
      <c r="W153" s="98" t="s">
        <v>35</v>
      </c>
      <c r="X153" s="34" t="s">
        <v>36</v>
      </c>
      <c r="Y153" s="34"/>
    </row>
    <row r="154" spans="2:25">
      <c r="B154" s="21" t="s">
        <v>47</v>
      </c>
      <c r="C154" s="80" t="s">
        <v>28</v>
      </c>
      <c r="D154" s="81">
        <v>44169</v>
      </c>
      <c r="F154" s="22"/>
      <c r="G154" s="102"/>
      <c r="H154" s="103"/>
      <c r="I154" s="16"/>
      <c r="J154" s="39"/>
      <c r="N154" s="82" t="s">
        <v>245</v>
      </c>
      <c r="O154" s="82">
        <v>2096002</v>
      </c>
      <c r="P154" s="78" t="s">
        <v>262</v>
      </c>
      <c r="Q154" s="39"/>
      <c r="R154" s="34"/>
      <c r="S154" s="34"/>
      <c r="T154" s="34"/>
      <c r="U154" s="38" t="s">
        <v>94</v>
      </c>
      <c r="V154" s="80" t="s">
        <v>221</v>
      </c>
      <c r="W154" s="98" t="s">
        <v>35</v>
      </c>
      <c r="X154" s="34" t="s">
        <v>36</v>
      </c>
      <c r="Y154" s="34"/>
    </row>
    <row r="155" spans="2:25">
      <c r="B155" s="21" t="s">
        <v>47</v>
      </c>
      <c r="C155" s="80" t="s">
        <v>28</v>
      </c>
      <c r="D155" s="81">
        <v>44169</v>
      </c>
      <c r="F155" s="22"/>
      <c r="G155" s="102"/>
      <c r="H155" s="103"/>
      <c r="I155" s="16"/>
      <c r="J155" s="39"/>
      <c r="N155" s="82" t="s">
        <v>245</v>
      </c>
      <c r="O155" s="82">
        <v>2096502</v>
      </c>
      <c r="P155" s="78" t="s">
        <v>263</v>
      </c>
      <c r="Q155" s="39"/>
      <c r="R155" s="34"/>
      <c r="S155" s="34"/>
      <c r="T155" s="34"/>
      <c r="U155" s="38" t="s">
        <v>94</v>
      </c>
      <c r="V155" s="80" t="s">
        <v>221</v>
      </c>
      <c r="W155" s="98" t="s">
        <v>35</v>
      </c>
      <c r="X155" s="34" t="s">
        <v>36</v>
      </c>
      <c r="Y155" s="34"/>
    </row>
    <row r="156" spans="2:25">
      <c r="B156" s="21" t="s">
        <v>47</v>
      </c>
      <c r="C156" s="80" t="s">
        <v>28</v>
      </c>
      <c r="D156" s="81">
        <v>44169</v>
      </c>
      <c r="F156" s="22"/>
      <c r="G156" s="102"/>
      <c r="H156" s="103"/>
      <c r="I156" s="16"/>
      <c r="J156" s="39"/>
      <c r="N156" s="82" t="s">
        <v>245</v>
      </c>
      <c r="O156" s="82">
        <v>2096602</v>
      </c>
      <c r="P156" s="78" t="s">
        <v>264</v>
      </c>
      <c r="Q156" s="39"/>
      <c r="R156" s="34"/>
      <c r="S156" s="34"/>
      <c r="T156" s="34"/>
      <c r="U156" s="38" t="s">
        <v>94</v>
      </c>
      <c r="V156" s="80" t="s">
        <v>221</v>
      </c>
      <c r="W156" s="98" t="s">
        <v>35</v>
      </c>
      <c r="X156" s="38" t="s">
        <v>36</v>
      </c>
      <c r="Y156" s="34"/>
    </row>
    <row r="157" spans="2:25">
      <c r="B157" s="21" t="s">
        <v>47</v>
      </c>
      <c r="C157" s="46" t="s">
        <v>28</v>
      </c>
      <c r="D157" s="47">
        <v>44176</v>
      </c>
      <c r="F157" s="22"/>
      <c r="G157" s="102"/>
      <c r="H157" s="103"/>
      <c r="I157" s="16"/>
      <c r="J157" s="39"/>
      <c r="N157" s="39" t="s">
        <v>265</v>
      </c>
      <c r="O157" s="39">
        <v>2224501</v>
      </c>
      <c r="P157" s="16" t="s">
        <v>266</v>
      </c>
      <c r="Q157" s="39"/>
      <c r="R157" s="34" t="s">
        <v>267</v>
      </c>
      <c r="S157" s="34"/>
      <c r="T157" s="34"/>
      <c r="U157" s="34" t="s">
        <v>94</v>
      </c>
      <c r="V157" s="46" t="s">
        <v>221</v>
      </c>
      <c r="W157" s="54" t="s">
        <v>35</v>
      </c>
      <c r="X157" s="34" t="s">
        <v>36</v>
      </c>
      <c r="Y157" s="34"/>
    </row>
    <row r="158" spans="2:25">
      <c r="B158" s="21" t="s">
        <v>47</v>
      </c>
      <c r="C158" s="46" t="s">
        <v>28</v>
      </c>
      <c r="D158" s="47">
        <v>44176</v>
      </c>
      <c r="F158" s="22"/>
      <c r="G158" s="102"/>
      <c r="H158" s="103"/>
      <c r="I158" s="16"/>
      <c r="J158" s="39"/>
      <c r="N158" s="39" t="s">
        <v>265</v>
      </c>
      <c r="O158" s="39">
        <v>2224601</v>
      </c>
      <c r="P158" s="16" t="s">
        <v>268</v>
      </c>
      <c r="Q158" s="39"/>
      <c r="R158" s="34" t="s">
        <v>267</v>
      </c>
      <c r="S158" s="34"/>
      <c r="T158" s="34"/>
      <c r="U158" s="34" t="s">
        <v>94</v>
      </c>
      <c r="V158" s="46" t="s">
        <v>221</v>
      </c>
      <c r="W158" s="54" t="s">
        <v>35</v>
      </c>
      <c r="X158" s="34" t="s">
        <v>36</v>
      </c>
      <c r="Y158" s="34"/>
    </row>
    <row r="159" spans="2:25">
      <c r="B159" s="21" t="s">
        <v>47</v>
      </c>
      <c r="C159" s="46" t="s">
        <v>28</v>
      </c>
      <c r="D159" s="47">
        <v>44176</v>
      </c>
      <c r="F159" s="22"/>
      <c r="G159" s="102"/>
      <c r="H159" s="103"/>
      <c r="I159" s="16"/>
      <c r="J159" s="39"/>
      <c r="N159" s="39" t="s">
        <v>265</v>
      </c>
      <c r="O159" s="39">
        <v>2224701</v>
      </c>
      <c r="P159" s="16" t="s">
        <v>269</v>
      </c>
      <c r="Q159" s="39"/>
      <c r="R159" s="34" t="s">
        <v>267</v>
      </c>
      <c r="S159" s="34"/>
      <c r="T159" s="34"/>
      <c r="U159" s="34" t="s">
        <v>94</v>
      </c>
      <c r="V159" s="46" t="s">
        <v>221</v>
      </c>
      <c r="W159" s="54" t="s">
        <v>35</v>
      </c>
      <c r="X159" s="34" t="s">
        <v>36</v>
      </c>
      <c r="Y159" s="34"/>
    </row>
    <row r="160" spans="2:25">
      <c r="B160" s="21" t="s">
        <v>47</v>
      </c>
      <c r="C160" s="46" t="s">
        <v>28</v>
      </c>
      <c r="D160" s="47">
        <v>44176</v>
      </c>
      <c r="F160" s="22"/>
      <c r="G160" s="102"/>
      <c r="H160" s="103"/>
      <c r="I160" s="16"/>
      <c r="J160" s="39"/>
      <c r="N160" s="39" t="s">
        <v>265</v>
      </c>
      <c r="O160" s="39">
        <v>2226801</v>
      </c>
      <c r="P160" s="16" t="s">
        <v>270</v>
      </c>
      <c r="Q160" s="39"/>
      <c r="R160" s="34" t="s">
        <v>267</v>
      </c>
      <c r="S160" s="34"/>
      <c r="T160" s="34"/>
      <c r="U160" s="34" t="s">
        <v>94</v>
      </c>
      <c r="V160" s="46" t="s">
        <v>221</v>
      </c>
      <c r="W160" s="54" t="s">
        <v>35</v>
      </c>
      <c r="X160" s="34" t="s">
        <v>36</v>
      </c>
      <c r="Y160" s="34"/>
    </row>
    <row r="161" spans="2:25">
      <c r="B161" s="21" t="s">
        <v>47</v>
      </c>
      <c r="C161" s="46" t="s">
        <v>28</v>
      </c>
      <c r="D161" s="47">
        <v>44176</v>
      </c>
      <c r="F161" s="22"/>
      <c r="G161" s="102"/>
      <c r="H161" s="103"/>
      <c r="I161" s="16"/>
      <c r="J161" s="39"/>
      <c r="N161" s="39" t="s">
        <v>265</v>
      </c>
      <c r="O161" s="39">
        <v>2224401</v>
      </c>
      <c r="P161" s="16" t="s">
        <v>271</v>
      </c>
      <c r="Q161" s="39"/>
      <c r="R161" s="34" t="s">
        <v>267</v>
      </c>
      <c r="S161" s="34"/>
      <c r="T161" s="34"/>
      <c r="U161" s="34" t="s">
        <v>94</v>
      </c>
      <c r="V161" s="46" t="s">
        <v>221</v>
      </c>
      <c r="W161" s="54" t="s">
        <v>35</v>
      </c>
      <c r="X161" s="34" t="s">
        <v>36</v>
      </c>
      <c r="Y161" s="34"/>
    </row>
    <row r="162" spans="2:25">
      <c r="B162" s="21" t="s">
        <v>47</v>
      </c>
      <c r="C162" s="46" t="s">
        <v>28</v>
      </c>
      <c r="D162" s="47">
        <v>44176</v>
      </c>
      <c r="F162" s="22"/>
      <c r="G162" s="102"/>
      <c r="H162" s="103"/>
      <c r="I162" s="16"/>
      <c r="J162" s="39"/>
      <c r="N162" s="39" t="s">
        <v>265</v>
      </c>
      <c r="O162" s="39">
        <v>2226701</v>
      </c>
      <c r="P162" s="16" t="s">
        <v>272</v>
      </c>
      <c r="Q162" s="39"/>
      <c r="R162" s="34" t="s">
        <v>267</v>
      </c>
      <c r="S162" s="34"/>
      <c r="T162" s="34"/>
      <c r="U162" s="34" t="s">
        <v>94</v>
      </c>
      <c r="V162" s="46" t="s">
        <v>221</v>
      </c>
      <c r="W162" s="54" t="s">
        <v>35</v>
      </c>
      <c r="X162" s="34" t="s">
        <v>36</v>
      </c>
      <c r="Y162" s="34"/>
    </row>
    <row r="163" spans="2:25">
      <c r="B163" s="21" t="s">
        <v>47</v>
      </c>
      <c r="C163" s="46" t="s">
        <v>28</v>
      </c>
      <c r="D163" s="47">
        <v>44176</v>
      </c>
      <c r="F163" s="22"/>
      <c r="G163" s="102"/>
      <c r="H163" s="103"/>
      <c r="I163" s="16"/>
      <c r="J163" s="39"/>
      <c r="N163" s="39" t="s">
        <v>265</v>
      </c>
      <c r="O163" s="39">
        <v>2226901</v>
      </c>
      <c r="P163" s="16" t="s">
        <v>273</v>
      </c>
      <c r="Q163" s="39"/>
      <c r="R163" s="34" t="s">
        <v>267</v>
      </c>
      <c r="S163" s="34"/>
      <c r="T163" s="34"/>
      <c r="U163" s="34" t="s">
        <v>94</v>
      </c>
      <c r="V163" s="46" t="s">
        <v>221</v>
      </c>
      <c r="W163" s="54" t="s">
        <v>35</v>
      </c>
      <c r="X163" s="34" t="s">
        <v>36</v>
      </c>
      <c r="Y163" s="34"/>
    </row>
    <row r="164" spans="2:25">
      <c r="B164" s="21" t="s">
        <v>47</v>
      </c>
      <c r="C164" s="46" t="s">
        <v>28</v>
      </c>
      <c r="D164" s="47">
        <v>44176</v>
      </c>
      <c r="F164" s="22"/>
      <c r="G164" s="102"/>
      <c r="H164" s="103"/>
      <c r="I164" s="16"/>
      <c r="J164" s="39"/>
      <c r="N164" s="39" t="s">
        <v>265</v>
      </c>
      <c r="O164" s="39">
        <v>2227201</v>
      </c>
      <c r="P164" s="16" t="s">
        <v>274</v>
      </c>
      <c r="Q164" s="39"/>
      <c r="R164" s="34" t="s">
        <v>267</v>
      </c>
      <c r="S164" s="34"/>
      <c r="T164" s="34"/>
      <c r="U164" s="34" t="s">
        <v>94</v>
      </c>
      <c r="V164" s="46" t="s">
        <v>221</v>
      </c>
      <c r="W164" s="54" t="s">
        <v>35</v>
      </c>
      <c r="X164" s="34" t="s">
        <v>36</v>
      </c>
      <c r="Y164" s="34"/>
    </row>
    <row r="165" spans="2:25">
      <c r="B165" s="21" t="s">
        <v>47</v>
      </c>
      <c r="C165" s="46" t="s">
        <v>28</v>
      </c>
      <c r="D165" s="47">
        <v>44176</v>
      </c>
      <c r="F165" s="22"/>
      <c r="G165" s="102"/>
      <c r="H165" s="103"/>
      <c r="I165" s="16"/>
      <c r="J165" s="39"/>
      <c r="N165" s="39" t="s">
        <v>265</v>
      </c>
      <c r="O165" s="39">
        <v>2227301</v>
      </c>
      <c r="P165" s="16" t="s">
        <v>275</v>
      </c>
      <c r="Q165" s="39"/>
      <c r="R165" s="34" t="s">
        <v>267</v>
      </c>
      <c r="S165" s="34"/>
      <c r="T165" s="34"/>
      <c r="U165" s="34" t="s">
        <v>94</v>
      </c>
      <c r="V165" s="46" t="s">
        <v>221</v>
      </c>
      <c r="W165" s="54" t="s">
        <v>35</v>
      </c>
      <c r="X165" s="34" t="s">
        <v>36</v>
      </c>
      <c r="Y165" s="34"/>
    </row>
    <row r="166" spans="2:25">
      <c r="B166" s="21" t="s">
        <v>47</v>
      </c>
      <c r="C166" s="46" t="s">
        <v>28</v>
      </c>
      <c r="D166" s="47">
        <v>44176</v>
      </c>
      <c r="F166" s="22"/>
      <c r="G166" s="102"/>
      <c r="H166" s="103"/>
      <c r="I166" s="16"/>
      <c r="J166" s="39"/>
      <c r="N166" s="39" t="s">
        <v>265</v>
      </c>
      <c r="O166" s="39">
        <v>2226601</v>
      </c>
      <c r="P166" s="16" t="s">
        <v>276</v>
      </c>
      <c r="Q166" s="39"/>
      <c r="R166" s="34" t="s">
        <v>267</v>
      </c>
      <c r="S166" s="34"/>
      <c r="T166" s="34"/>
      <c r="U166" s="34" t="s">
        <v>94</v>
      </c>
      <c r="V166" s="46" t="s">
        <v>221</v>
      </c>
      <c r="W166" s="54" t="s">
        <v>35</v>
      </c>
      <c r="X166" s="34" t="s">
        <v>36</v>
      </c>
      <c r="Y166" s="34"/>
    </row>
    <row r="167" spans="2:25">
      <c r="B167" s="21" t="s">
        <v>47</v>
      </c>
      <c r="C167" s="46" t="s">
        <v>28</v>
      </c>
      <c r="D167" s="47">
        <v>44176</v>
      </c>
      <c r="F167" s="22"/>
      <c r="G167" s="102"/>
      <c r="H167" s="103"/>
      <c r="I167" s="16"/>
      <c r="J167" s="39"/>
      <c r="N167" s="39" t="s">
        <v>265</v>
      </c>
      <c r="O167" s="39">
        <v>2224901</v>
      </c>
      <c r="P167" s="16" t="s">
        <v>277</v>
      </c>
      <c r="Q167" s="39"/>
      <c r="R167" s="34" t="s">
        <v>267</v>
      </c>
      <c r="S167" s="34"/>
      <c r="T167" s="34"/>
      <c r="U167" s="34" t="s">
        <v>94</v>
      </c>
      <c r="V167" s="46" t="s">
        <v>221</v>
      </c>
      <c r="W167" s="54" t="s">
        <v>35</v>
      </c>
      <c r="X167" s="34" t="s">
        <v>36</v>
      </c>
      <c r="Y167" s="34"/>
    </row>
    <row r="168" spans="2:25">
      <c r="B168" s="21" t="s">
        <v>47</v>
      </c>
      <c r="C168" s="46" t="s">
        <v>28</v>
      </c>
      <c r="D168" s="47">
        <v>44176</v>
      </c>
      <c r="F168" s="22"/>
      <c r="G168" s="102"/>
      <c r="H168" s="103"/>
      <c r="I168" s="16"/>
      <c r="J168" s="39"/>
      <c r="N168" s="39" t="s">
        <v>265</v>
      </c>
      <c r="O168" s="39">
        <v>2224801</v>
      </c>
      <c r="P168" s="16" t="s">
        <v>278</v>
      </c>
      <c r="Q168" s="39"/>
      <c r="R168" s="34" t="s">
        <v>267</v>
      </c>
      <c r="S168" s="34"/>
      <c r="T168" s="34"/>
      <c r="U168" s="34" t="s">
        <v>94</v>
      </c>
      <c r="V168" s="46" t="s">
        <v>221</v>
      </c>
      <c r="W168" s="54" t="s">
        <v>35</v>
      </c>
      <c r="X168" s="34" t="s">
        <v>36</v>
      </c>
      <c r="Y168" s="34"/>
    </row>
    <row r="169" spans="2:25">
      <c r="B169" s="21" t="s">
        <v>74</v>
      </c>
      <c r="C169" s="46" t="s">
        <v>28</v>
      </c>
      <c r="D169" s="120" t="s">
        <v>279</v>
      </c>
      <c r="F169" s="39" t="s">
        <v>103</v>
      </c>
      <c r="G169" s="39">
        <v>1971101</v>
      </c>
      <c r="H169" s="16" t="s">
        <v>280</v>
      </c>
      <c r="I169" s="16"/>
      <c r="J169" s="39"/>
      <c r="N169" s="34"/>
      <c r="O169" s="39"/>
      <c r="P169" s="16"/>
      <c r="Q169" s="39"/>
      <c r="R169" s="34"/>
      <c r="S169" s="34"/>
      <c r="T169" s="34"/>
      <c r="U169" s="34"/>
      <c r="V169" s="34"/>
      <c r="W169" s="34"/>
      <c r="X169" s="34"/>
      <c r="Y169" s="34"/>
    </row>
    <row r="170" spans="2:25">
      <c r="B170" s="16" t="s">
        <v>47</v>
      </c>
      <c r="C170" s="80" t="s">
        <v>28</v>
      </c>
      <c r="D170" s="81">
        <v>44218</v>
      </c>
      <c r="E170" s="107"/>
      <c r="F170" s="80"/>
      <c r="G170" s="82"/>
      <c r="H170" s="78"/>
      <c r="I170" s="16"/>
      <c r="J170" s="39"/>
      <c r="N170" s="39" t="s">
        <v>103</v>
      </c>
      <c r="O170" s="39">
        <v>478442</v>
      </c>
      <c r="P170" s="16" t="s">
        <v>281</v>
      </c>
      <c r="Q170" s="39"/>
      <c r="R170" s="34" t="s">
        <v>282</v>
      </c>
      <c r="S170" s="34"/>
      <c r="T170" s="34"/>
      <c r="U170" s="34" t="s">
        <v>94</v>
      </c>
      <c r="V170" s="46" t="s">
        <v>221</v>
      </c>
      <c r="W170" s="54" t="s">
        <v>35</v>
      </c>
      <c r="X170" s="38" t="s">
        <v>36</v>
      </c>
      <c r="Y170" s="34" t="s">
        <v>283</v>
      </c>
    </row>
    <row r="171" spans="2:25">
      <c r="B171" s="16" t="s">
        <v>47</v>
      </c>
      <c r="C171" s="80" t="s">
        <v>28</v>
      </c>
      <c r="D171" s="81">
        <v>44218</v>
      </c>
      <c r="E171" s="107"/>
      <c r="F171" s="80"/>
      <c r="G171" s="82"/>
      <c r="H171" s="78"/>
      <c r="I171" s="16"/>
      <c r="J171" s="39"/>
      <c r="N171" s="39" t="s">
        <v>103</v>
      </c>
      <c r="O171" s="39">
        <v>1498402</v>
      </c>
      <c r="P171" s="16" t="s">
        <v>284</v>
      </c>
      <c r="Q171" s="39"/>
      <c r="R171" s="34" t="s">
        <v>282</v>
      </c>
      <c r="S171" s="34"/>
      <c r="T171" s="34"/>
      <c r="U171" s="34" t="s">
        <v>94</v>
      </c>
      <c r="V171" s="46" t="s">
        <v>221</v>
      </c>
      <c r="W171" s="54" t="s">
        <v>35</v>
      </c>
      <c r="X171" s="38" t="s">
        <v>36</v>
      </c>
      <c r="Y171" s="34" t="s">
        <v>283</v>
      </c>
    </row>
    <row r="172" spans="2:25">
      <c r="B172" s="16" t="s">
        <v>47</v>
      </c>
      <c r="C172" s="80" t="s">
        <v>28</v>
      </c>
      <c r="D172" s="81">
        <v>44218</v>
      </c>
      <c r="E172" s="107"/>
      <c r="F172" s="80"/>
      <c r="G172" s="82"/>
      <c r="H172" s="78"/>
      <c r="I172" s="16"/>
      <c r="J172" s="39"/>
      <c r="N172" s="39" t="s">
        <v>285</v>
      </c>
      <c r="O172" s="39">
        <v>1530418</v>
      </c>
      <c r="P172" s="16" t="s">
        <v>286</v>
      </c>
      <c r="Q172" s="39"/>
      <c r="R172" s="34" t="s">
        <v>287</v>
      </c>
      <c r="S172" s="34"/>
      <c r="T172" s="34"/>
      <c r="U172" s="38" t="s">
        <v>94</v>
      </c>
      <c r="V172" s="80" t="s">
        <v>221</v>
      </c>
      <c r="W172" s="98" t="s">
        <v>35</v>
      </c>
      <c r="X172" s="34" t="s">
        <v>36</v>
      </c>
      <c r="Y172" s="111" t="s">
        <v>288</v>
      </c>
    </row>
    <row r="173" spans="2:25">
      <c r="B173" s="16" t="s">
        <v>47</v>
      </c>
      <c r="C173" s="80" t="s">
        <v>28</v>
      </c>
      <c r="D173" s="81">
        <v>44218</v>
      </c>
      <c r="E173" s="107"/>
      <c r="F173" s="80"/>
      <c r="G173" s="82"/>
      <c r="H173" s="78"/>
      <c r="I173" s="16"/>
      <c r="J173" s="39"/>
      <c r="N173" s="39" t="s">
        <v>285</v>
      </c>
      <c r="O173" s="39">
        <v>1123278</v>
      </c>
      <c r="P173" s="16" t="s">
        <v>289</v>
      </c>
      <c r="Q173" s="39"/>
      <c r="R173" s="34" t="s">
        <v>287</v>
      </c>
      <c r="S173" s="34"/>
      <c r="T173" s="34"/>
      <c r="U173" s="38" t="s">
        <v>94</v>
      </c>
      <c r="V173" s="80" t="s">
        <v>221</v>
      </c>
      <c r="W173" s="98" t="s">
        <v>35</v>
      </c>
      <c r="X173" s="34" t="s">
        <v>36</v>
      </c>
      <c r="Y173" s="111" t="s">
        <v>290</v>
      </c>
    </row>
    <row r="174" spans="2:25">
      <c r="B174" s="16" t="s">
        <v>47</v>
      </c>
      <c r="C174" s="80" t="s">
        <v>28</v>
      </c>
      <c r="D174" s="81">
        <v>44218</v>
      </c>
      <c r="E174" s="107"/>
      <c r="F174" s="80"/>
      <c r="G174" s="82"/>
      <c r="H174" s="78"/>
      <c r="I174" s="16"/>
      <c r="J174" s="39"/>
      <c r="N174" s="39" t="s">
        <v>285</v>
      </c>
      <c r="O174" s="39">
        <v>1123626</v>
      </c>
      <c r="P174" s="16" t="s">
        <v>291</v>
      </c>
      <c r="Q174" s="39"/>
      <c r="R174" s="34" t="s">
        <v>287</v>
      </c>
      <c r="S174" s="34"/>
      <c r="T174" s="34"/>
      <c r="U174" s="38" t="s">
        <v>94</v>
      </c>
      <c r="V174" s="80" t="s">
        <v>221</v>
      </c>
      <c r="W174" s="98" t="s">
        <v>35</v>
      </c>
      <c r="X174" s="34" t="s">
        <v>36</v>
      </c>
      <c r="Y174" s="111" t="s">
        <v>290</v>
      </c>
    </row>
    <row r="175" spans="2:25">
      <c r="B175" s="16" t="s">
        <v>47</v>
      </c>
      <c r="C175" s="46" t="s">
        <v>28</v>
      </c>
      <c r="D175" s="47">
        <v>44225</v>
      </c>
      <c r="F175" s="46"/>
      <c r="G175" s="39"/>
      <c r="H175" s="16"/>
      <c r="I175" s="16"/>
      <c r="J175" s="39"/>
      <c r="N175" s="39" t="s">
        <v>265</v>
      </c>
      <c r="O175" s="39">
        <v>2243501</v>
      </c>
      <c r="P175" s="16" t="s">
        <v>292</v>
      </c>
      <c r="Q175" s="39"/>
      <c r="R175" s="34"/>
      <c r="S175" s="34"/>
      <c r="T175" s="34"/>
      <c r="U175" s="38" t="s">
        <v>94</v>
      </c>
      <c r="V175" s="80" t="s">
        <v>221</v>
      </c>
      <c r="W175" s="98" t="s">
        <v>35</v>
      </c>
      <c r="X175" s="34" t="s">
        <v>36</v>
      </c>
      <c r="Y175" s="34"/>
    </row>
    <row r="176" spans="2:25">
      <c r="B176" s="16" t="s">
        <v>47</v>
      </c>
      <c r="C176" s="123" t="s">
        <v>293</v>
      </c>
      <c r="D176" s="47">
        <v>44239</v>
      </c>
      <c r="F176" s="46"/>
      <c r="G176" s="39"/>
      <c r="H176" s="16"/>
      <c r="I176" s="16"/>
      <c r="J176" s="39"/>
      <c r="N176" s="39" t="s">
        <v>265</v>
      </c>
      <c r="O176" s="39">
        <v>2248201</v>
      </c>
      <c r="P176" s="16" t="s">
        <v>294</v>
      </c>
      <c r="Q176" s="39"/>
      <c r="R176" s="34"/>
      <c r="S176" s="34"/>
      <c r="T176" s="34"/>
      <c r="U176" s="38" t="s">
        <v>94</v>
      </c>
      <c r="V176" s="80" t="s">
        <v>221</v>
      </c>
      <c r="W176" s="98" t="s">
        <v>35</v>
      </c>
      <c r="X176" s="38" t="s">
        <v>36</v>
      </c>
      <c r="Y176" s="34"/>
    </row>
    <row r="177" spans="2:25">
      <c r="B177" s="21" t="s">
        <v>74</v>
      </c>
      <c r="C177" s="46" t="s">
        <v>28</v>
      </c>
      <c r="D177" s="47">
        <v>44239</v>
      </c>
      <c r="F177" s="39" t="s">
        <v>48</v>
      </c>
      <c r="G177" s="102">
        <v>1871201</v>
      </c>
      <c r="H177" s="103" t="s">
        <v>295</v>
      </c>
      <c r="I177" s="16"/>
      <c r="J177" s="39"/>
      <c r="N177" s="46"/>
      <c r="O177" s="39"/>
      <c r="P177" s="16"/>
      <c r="Q177" s="39"/>
      <c r="R177" s="34"/>
      <c r="S177" s="34"/>
      <c r="T177" s="34"/>
      <c r="U177" s="34"/>
      <c r="V177" s="34"/>
      <c r="W177" s="34"/>
      <c r="X177" s="34"/>
      <c r="Y177" s="34"/>
    </row>
    <row r="178" spans="2:25">
      <c r="B178" s="21" t="s">
        <v>74</v>
      </c>
      <c r="C178" s="46" t="s">
        <v>28</v>
      </c>
      <c r="D178" s="47">
        <v>44239</v>
      </c>
      <c r="F178" s="39" t="s">
        <v>41</v>
      </c>
      <c r="G178" s="102">
        <v>1626601</v>
      </c>
      <c r="H178" s="103" t="s">
        <v>296</v>
      </c>
      <c r="I178" s="16"/>
      <c r="J178" s="39"/>
      <c r="N178" s="46"/>
      <c r="O178" s="39"/>
      <c r="P178" s="16"/>
      <c r="Q178" s="39"/>
      <c r="R178" s="34"/>
      <c r="S178" s="34"/>
      <c r="T178" s="34"/>
      <c r="U178" s="34"/>
      <c r="V178" s="34"/>
      <c r="W178" s="34"/>
      <c r="X178" s="34"/>
      <c r="Y178" s="34"/>
    </row>
    <row r="179" spans="2:25">
      <c r="B179" s="21" t="s">
        <v>74</v>
      </c>
      <c r="C179" s="46" t="s">
        <v>28</v>
      </c>
      <c r="D179" s="47">
        <v>44246</v>
      </c>
      <c r="F179" s="39" t="s">
        <v>297</v>
      </c>
      <c r="G179" s="39">
        <v>1350908</v>
      </c>
      <c r="H179" s="103" t="s">
        <v>298</v>
      </c>
      <c r="I179" s="16"/>
      <c r="J179" s="39"/>
      <c r="N179" s="46"/>
      <c r="O179" s="39"/>
      <c r="P179" s="16"/>
      <c r="Q179" s="39"/>
      <c r="R179" s="34"/>
      <c r="S179" s="34"/>
      <c r="T179" s="34"/>
      <c r="U179" s="34"/>
      <c r="V179" s="34"/>
      <c r="W179" s="34"/>
      <c r="X179" s="34"/>
      <c r="Y179" s="34"/>
    </row>
    <row r="180" spans="2:25">
      <c r="B180" s="21" t="s">
        <v>74</v>
      </c>
      <c r="C180" s="46" t="s">
        <v>28</v>
      </c>
      <c r="D180" s="47">
        <v>44253</v>
      </c>
      <c r="F180" s="39" t="s">
        <v>297</v>
      </c>
      <c r="G180" s="39">
        <v>1121901</v>
      </c>
      <c r="H180" s="133" t="s">
        <v>299</v>
      </c>
      <c r="I180" s="16"/>
      <c r="J180" s="39"/>
      <c r="N180" s="46"/>
      <c r="O180" s="39"/>
      <c r="P180" s="16"/>
      <c r="Q180" s="39"/>
      <c r="R180" s="34"/>
      <c r="S180" s="34"/>
      <c r="T180" s="34"/>
      <c r="U180" s="34"/>
      <c r="V180" s="34"/>
      <c r="W180" s="34"/>
      <c r="X180" s="34"/>
      <c r="Y180" s="34"/>
    </row>
    <row r="181" spans="2:25">
      <c r="B181" s="21" t="s">
        <v>74</v>
      </c>
      <c r="C181" s="46" t="s">
        <v>28</v>
      </c>
      <c r="D181" s="47">
        <v>44253</v>
      </c>
      <c r="F181" s="39" t="s">
        <v>297</v>
      </c>
      <c r="G181" s="39">
        <v>762301</v>
      </c>
      <c r="H181" s="133" t="s">
        <v>300</v>
      </c>
      <c r="I181" s="16"/>
      <c r="J181" s="39"/>
      <c r="N181" s="46"/>
      <c r="O181" s="39"/>
      <c r="P181" s="16"/>
      <c r="Q181" s="39"/>
      <c r="R181" s="34"/>
      <c r="S181" s="34"/>
      <c r="T181" s="34"/>
      <c r="U181" s="34"/>
      <c r="V181" s="34"/>
      <c r="W181" s="34"/>
      <c r="X181" s="34"/>
      <c r="Y181" s="34"/>
    </row>
    <row r="182" spans="2:25">
      <c r="B182" s="21" t="s">
        <v>74</v>
      </c>
      <c r="C182" s="46" t="s">
        <v>28</v>
      </c>
      <c r="D182" s="47">
        <v>44253</v>
      </c>
      <c r="F182" s="39" t="s">
        <v>41</v>
      </c>
      <c r="G182" s="39">
        <v>1450901</v>
      </c>
      <c r="H182" s="133" t="s">
        <v>301</v>
      </c>
      <c r="I182" s="16"/>
      <c r="J182" s="39"/>
      <c r="N182" s="46"/>
      <c r="O182" s="39"/>
      <c r="P182" s="16"/>
      <c r="Q182" s="39"/>
      <c r="R182" s="34"/>
      <c r="S182" s="34"/>
      <c r="T182" s="34"/>
      <c r="U182" s="34"/>
      <c r="V182" s="34"/>
      <c r="W182" s="34"/>
      <c r="X182" s="34"/>
      <c r="Y182" s="34"/>
    </row>
    <row r="183" spans="2:25">
      <c r="B183" s="16" t="s">
        <v>74</v>
      </c>
      <c r="C183" s="46" t="s">
        <v>28</v>
      </c>
      <c r="D183" s="47">
        <v>44260</v>
      </c>
      <c r="F183" s="39" t="s">
        <v>41</v>
      </c>
      <c r="G183" s="39">
        <v>161401</v>
      </c>
      <c r="H183" s="133" t="s">
        <v>302</v>
      </c>
      <c r="I183" s="16"/>
      <c r="J183" s="39"/>
      <c r="N183" s="46"/>
      <c r="O183" s="39"/>
      <c r="P183" s="16"/>
      <c r="Q183" s="39"/>
      <c r="R183" s="34"/>
      <c r="S183" s="34"/>
      <c r="T183" s="34"/>
      <c r="U183" s="34"/>
      <c r="V183" s="34"/>
      <c r="W183" s="34"/>
      <c r="X183" s="34"/>
      <c r="Y183" s="34"/>
    </row>
    <row r="184" spans="2:25">
      <c r="B184" s="16" t="s">
        <v>74</v>
      </c>
      <c r="C184" s="46" t="s">
        <v>28</v>
      </c>
      <c r="D184" s="47">
        <v>44267</v>
      </c>
      <c r="F184" s="39" t="s">
        <v>41</v>
      </c>
      <c r="G184" s="102">
        <v>1897903</v>
      </c>
      <c r="H184" s="133" t="s">
        <v>54</v>
      </c>
      <c r="I184" s="16"/>
      <c r="J184" s="39"/>
      <c r="N184" s="46"/>
      <c r="O184" s="39"/>
      <c r="P184" s="16"/>
      <c r="Q184" s="39"/>
      <c r="R184" s="34"/>
      <c r="S184" s="34"/>
      <c r="T184" s="34"/>
      <c r="U184" s="34"/>
      <c r="V184" s="34"/>
      <c r="W184" s="34"/>
      <c r="X184" s="34"/>
      <c r="Y184" s="34"/>
    </row>
    <row r="185" spans="2:25">
      <c r="B185" s="16" t="s">
        <v>74</v>
      </c>
      <c r="C185" s="46" t="s">
        <v>28</v>
      </c>
      <c r="D185" s="47">
        <v>44267</v>
      </c>
      <c r="F185" s="39" t="s">
        <v>41</v>
      </c>
      <c r="G185" s="102">
        <v>1451101</v>
      </c>
      <c r="H185" s="134" t="s">
        <v>303</v>
      </c>
      <c r="I185" s="16"/>
      <c r="J185" s="39"/>
      <c r="N185" s="46"/>
      <c r="O185" s="39"/>
      <c r="P185" s="16"/>
      <c r="Q185" s="39"/>
      <c r="R185" s="34"/>
      <c r="S185" s="34"/>
      <c r="T185" s="34"/>
      <c r="U185" s="34"/>
      <c r="V185" s="34"/>
      <c r="W185" s="34"/>
      <c r="X185" s="34"/>
      <c r="Y185" s="34"/>
    </row>
    <row r="186" spans="2:25">
      <c r="B186" s="16" t="s">
        <v>74</v>
      </c>
      <c r="C186" s="46" t="s">
        <v>28</v>
      </c>
      <c r="D186" s="47">
        <v>44267</v>
      </c>
      <c r="F186" s="39" t="s">
        <v>41</v>
      </c>
      <c r="G186" s="102">
        <v>1984301</v>
      </c>
      <c r="H186" s="103" t="s">
        <v>304</v>
      </c>
      <c r="I186" s="16"/>
      <c r="J186" s="39"/>
      <c r="N186" s="46"/>
      <c r="O186" s="39"/>
      <c r="P186" s="16"/>
      <c r="Q186" s="39"/>
      <c r="R186" s="34"/>
      <c r="S186" s="34"/>
      <c r="T186" s="34"/>
      <c r="U186" s="34"/>
      <c r="V186" s="34"/>
      <c r="W186" s="34"/>
      <c r="X186" s="34"/>
      <c r="Y186" s="34"/>
    </row>
    <row r="187" spans="2:25">
      <c r="B187" s="16" t="s">
        <v>74</v>
      </c>
      <c r="C187" s="46" t="s">
        <v>28</v>
      </c>
      <c r="D187" s="47">
        <v>44267</v>
      </c>
      <c r="F187" s="39" t="s">
        <v>64</v>
      </c>
      <c r="G187" s="102">
        <v>1277102</v>
      </c>
      <c r="H187" s="103" t="s">
        <v>305</v>
      </c>
      <c r="I187" s="16"/>
      <c r="J187" s="39"/>
      <c r="N187" s="46"/>
      <c r="O187" s="39"/>
      <c r="P187" s="16"/>
      <c r="Q187" s="39"/>
      <c r="R187" s="34"/>
      <c r="S187" s="34"/>
      <c r="T187" s="34"/>
      <c r="U187" s="34"/>
      <c r="V187" s="34"/>
      <c r="W187" s="34"/>
      <c r="X187" s="34"/>
      <c r="Y187" s="34"/>
    </row>
    <row r="188" spans="2:25">
      <c r="B188" s="16" t="s">
        <v>74</v>
      </c>
      <c r="C188" s="46" t="s">
        <v>28</v>
      </c>
      <c r="D188" s="47">
        <v>44281</v>
      </c>
      <c r="F188" s="39" t="s">
        <v>41</v>
      </c>
      <c r="G188" s="102">
        <v>860001</v>
      </c>
      <c r="H188" s="103" t="s">
        <v>306</v>
      </c>
      <c r="I188" s="16"/>
      <c r="J188" s="39"/>
      <c r="N188" s="82"/>
      <c r="O188" s="82"/>
      <c r="P188" s="78"/>
      <c r="Q188" s="39"/>
      <c r="R188" s="34"/>
      <c r="S188" s="34"/>
      <c r="T188" s="34"/>
      <c r="U188" s="34"/>
      <c r="V188" s="34"/>
      <c r="W188" s="34"/>
      <c r="X188" s="34"/>
      <c r="Y188" s="34"/>
    </row>
    <row r="189" spans="2:25">
      <c r="B189" s="16" t="s">
        <v>74</v>
      </c>
      <c r="C189" s="46" t="s">
        <v>28</v>
      </c>
      <c r="D189" s="47">
        <v>44281</v>
      </c>
      <c r="F189" s="39" t="s">
        <v>307</v>
      </c>
      <c r="G189" s="102">
        <v>1743408</v>
      </c>
      <c r="H189" s="103" t="s">
        <v>308</v>
      </c>
      <c r="I189" s="16"/>
      <c r="J189" s="39"/>
      <c r="N189" s="46"/>
      <c r="O189" s="39"/>
      <c r="P189" s="16"/>
      <c r="Q189" s="39"/>
      <c r="R189" s="34"/>
      <c r="S189" s="34"/>
      <c r="T189" s="34"/>
      <c r="U189" s="34"/>
      <c r="V189" s="34"/>
      <c r="W189" s="34"/>
      <c r="X189" s="34"/>
      <c r="Y189" s="34"/>
    </row>
    <row r="190" spans="2:25">
      <c r="B190" s="16" t="s">
        <v>47</v>
      </c>
      <c r="C190" s="46" t="s">
        <v>28</v>
      </c>
      <c r="D190" s="47">
        <v>44281</v>
      </c>
      <c r="F190" s="46"/>
      <c r="G190" s="39"/>
      <c r="H190" s="16"/>
      <c r="I190" s="16"/>
      <c r="J190" s="39"/>
      <c r="N190" s="39" t="s">
        <v>185</v>
      </c>
      <c r="O190" s="39">
        <v>2087813</v>
      </c>
      <c r="P190" s="16" t="s">
        <v>309</v>
      </c>
      <c r="Q190" s="39"/>
      <c r="R190" s="34"/>
      <c r="S190" s="34"/>
      <c r="T190" s="34"/>
      <c r="U190" s="34" t="s">
        <v>94</v>
      </c>
      <c r="V190" s="34" t="s">
        <v>94</v>
      </c>
      <c r="W190" s="34" t="s">
        <v>35</v>
      </c>
      <c r="X190" s="34" t="s">
        <v>36</v>
      </c>
      <c r="Y190" s="34"/>
    </row>
    <row r="191" spans="2:25">
      <c r="B191" s="16" t="s">
        <v>47</v>
      </c>
      <c r="C191" s="46" t="s">
        <v>28</v>
      </c>
      <c r="D191" s="47">
        <v>44295</v>
      </c>
      <c r="F191" s="46"/>
      <c r="G191" s="39"/>
      <c r="H191" s="16"/>
      <c r="I191" s="16"/>
      <c r="J191" s="39"/>
      <c r="N191" s="39" t="s">
        <v>310</v>
      </c>
      <c r="O191" s="39">
        <v>2186903</v>
      </c>
      <c r="P191" s="16" t="s">
        <v>311</v>
      </c>
      <c r="Q191" s="39"/>
      <c r="R191" s="34"/>
      <c r="S191" s="34"/>
      <c r="T191" s="34"/>
      <c r="U191" s="34" t="s">
        <v>94</v>
      </c>
      <c r="V191" s="34" t="s">
        <v>94</v>
      </c>
      <c r="W191" s="34" t="s">
        <v>35</v>
      </c>
      <c r="X191" s="38" t="s">
        <v>36</v>
      </c>
      <c r="Y191" s="34"/>
    </row>
    <row r="192" spans="2:25">
      <c r="B192" s="16" t="s">
        <v>47</v>
      </c>
      <c r="C192" s="46" t="s">
        <v>28</v>
      </c>
      <c r="D192" s="47">
        <v>44295</v>
      </c>
      <c r="F192" s="46"/>
      <c r="G192" s="39"/>
      <c r="H192" s="16"/>
      <c r="I192" s="16"/>
      <c r="J192" s="39"/>
      <c r="N192" s="39" t="s">
        <v>310</v>
      </c>
      <c r="O192" s="39">
        <v>2187003</v>
      </c>
      <c r="P192" s="16" t="s">
        <v>312</v>
      </c>
      <c r="Q192" s="39"/>
      <c r="R192" s="34"/>
      <c r="S192" s="34"/>
      <c r="T192" s="34"/>
      <c r="U192" s="34" t="s">
        <v>94</v>
      </c>
      <c r="V192" s="34" t="s">
        <v>94</v>
      </c>
      <c r="W192" s="34" t="s">
        <v>35</v>
      </c>
      <c r="X192" s="38" t="s">
        <v>36</v>
      </c>
      <c r="Y192" s="34"/>
    </row>
    <row r="193" spans="2:25">
      <c r="B193" s="16" t="s">
        <v>47</v>
      </c>
      <c r="C193" s="46" t="s">
        <v>28</v>
      </c>
      <c r="D193" s="47">
        <v>44295</v>
      </c>
      <c r="F193" s="46"/>
      <c r="G193" s="39"/>
      <c r="H193" s="16"/>
      <c r="I193" s="16"/>
      <c r="J193" s="39"/>
      <c r="N193" s="39" t="s">
        <v>310</v>
      </c>
      <c r="O193" s="39">
        <v>2241803</v>
      </c>
      <c r="P193" s="16" t="s">
        <v>313</v>
      </c>
      <c r="Q193" s="39"/>
      <c r="R193" s="34"/>
      <c r="S193" s="34"/>
      <c r="T193" s="34"/>
      <c r="U193" s="34" t="s">
        <v>94</v>
      </c>
      <c r="V193" s="34" t="s">
        <v>94</v>
      </c>
      <c r="W193" s="34" t="s">
        <v>35</v>
      </c>
      <c r="X193" s="38" t="s">
        <v>36</v>
      </c>
      <c r="Y193" s="34"/>
    </row>
    <row r="194" spans="2:25">
      <c r="B194" s="16" t="s">
        <v>47</v>
      </c>
      <c r="C194" s="46" t="s">
        <v>28</v>
      </c>
      <c r="D194" s="47">
        <v>44295</v>
      </c>
      <c r="F194" s="46"/>
      <c r="G194" s="39"/>
      <c r="H194" s="16"/>
      <c r="I194" s="16"/>
      <c r="J194" s="39"/>
      <c r="N194" s="39" t="s">
        <v>310</v>
      </c>
      <c r="O194" s="39">
        <v>2186803</v>
      </c>
      <c r="P194" s="16" t="s">
        <v>314</v>
      </c>
      <c r="Q194" s="39"/>
      <c r="R194" s="34"/>
      <c r="S194" s="34"/>
      <c r="T194" s="34"/>
      <c r="U194" s="34" t="s">
        <v>94</v>
      </c>
      <c r="V194" s="34" t="s">
        <v>94</v>
      </c>
      <c r="W194" s="34" t="s">
        <v>35</v>
      </c>
      <c r="X194" s="38" t="s">
        <v>36</v>
      </c>
      <c r="Y194" s="34"/>
    </row>
    <row r="195" spans="2:25">
      <c r="B195" s="16" t="s">
        <v>47</v>
      </c>
      <c r="C195" s="80" t="s">
        <v>28</v>
      </c>
      <c r="D195" s="81">
        <v>44302</v>
      </c>
      <c r="E195" s="107"/>
      <c r="F195" s="80"/>
      <c r="G195" s="82"/>
      <c r="H195" s="78"/>
      <c r="I195" s="78"/>
      <c r="J195" s="82"/>
      <c r="K195" s="118"/>
      <c r="L195" s="118"/>
      <c r="M195" s="107"/>
      <c r="N195" s="82" t="s">
        <v>265</v>
      </c>
      <c r="O195" s="82">
        <v>2262201</v>
      </c>
      <c r="P195" s="78" t="s">
        <v>315</v>
      </c>
      <c r="Q195" s="39"/>
      <c r="R195" s="34"/>
      <c r="S195" s="34"/>
      <c r="T195" s="34"/>
      <c r="U195" s="34" t="s">
        <v>94</v>
      </c>
      <c r="V195" s="34" t="s">
        <v>94</v>
      </c>
      <c r="W195" s="34" t="s">
        <v>35</v>
      </c>
      <c r="X195" s="34" t="s">
        <v>36</v>
      </c>
      <c r="Y195" s="34"/>
    </row>
    <row r="196" spans="2:25">
      <c r="B196" s="16" t="s">
        <v>47</v>
      </c>
      <c r="C196" s="80" t="s">
        <v>28</v>
      </c>
      <c r="D196" s="81">
        <v>44302</v>
      </c>
      <c r="E196" s="107"/>
      <c r="F196" s="80"/>
      <c r="G196" s="82"/>
      <c r="H196" s="78"/>
      <c r="I196" s="78"/>
      <c r="J196" s="82"/>
      <c r="K196" s="118"/>
      <c r="L196" s="118"/>
      <c r="M196" s="107"/>
      <c r="N196" s="82" t="s">
        <v>265</v>
      </c>
      <c r="O196" s="82">
        <v>2262101</v>
      </c>
      <c r="P196" s="78" t="s">
        <v>316</v>
      </c>
      <c r="Q196" s="39"/>
      <c r="R196" s="34"/>
      <c r="S196" s="34"/>
      <c r="T196" s="34"/>
      <c r="U196" s="34" t="s">
        <v>94</v>
      </c>
      <c r="V196" s="34" t="s">
        <v>94</v>
      </c>
      <c r="W196" s="34" t="s">
        <v>35</v>
      </c>
      <c r="X196" s="34" t="s">
        <v>36</v>
      </c>
      <c r="Y196" s="34"/>
    </row>
    <row r="197" spans="2:25">
      <c r="B197" s="16" t="s">
        <v>74</v>
      </c>
      <c r="C197" s="46" t="s">
        <v>28</v>
      </c>
      <c r="D197" s="47">
        <v>44309</v>
      </c>
      <c r="E197" s="107"/>
      <c r="F197" s="82" t="s">
        <v>41</v>
      </c>
      <c r="G197" s="82">
        <v>1712701</v>
      </c>
      <c r="H197" s="109" t="s">
        <v>317</v>
      </c>
      <c r="I197" s="78"/>
      <c r="J197" s="82"/>
      <c r="K197" s="118"/>
      <c r="L197" s="118"/>
      <c r="M197" s="107"/>
      <c r="N197" s="80"/>
      <c r="O197" s="82"/>
      <c r="P197" s="78"/>
      <c r="Q197" s="39"/>
      <c r="R197" s="34"/>
      <c r="S197" s="34"/>
      <c r="T197" s="34"/>
      <c r="U197" s="34"/>
      <c r="V197" s="34"/>
      <c r="W197" s="34"/>
      <c r="X197" s="34"/>
      <c r="Y197" s="34"/>
    </row>
    <row r="198" spans="2:25">
      <c r="B198" s="16" t="s">
        <v>74</v>
      </c>
      <c r="C198" s="46" t="s">
        <v>28</v>
      </c>
      <c r="D198" s="47">
        <v>44316</v>
      </c>
      <c r="E198" s="107"/>
      <c r="F198" s="82" t="s">
        <v>318</v>
      </c>
      <c r="G198" s="82">
        <v>1753903</v>
      </c>
      <c r="H198" s="109" t="s">
        <v>319</v>
      </c>
      <c r="I198" s="78"/>
      <c r="J198" s="82"/>
      <c r="K198" s="118"/>
      <c r="L198" s="118"/>
      <c r="M198" s="107"/>
      <c r="N198" s="80"/>
      <c r="O198" s="82"/>
      <c r="P198" s="78"/>
      <c r="Q198" s="39"/>
      <c r="R198" s="34"/>
      <c r="S198" s="34"/>
      <c r="T198" s="34"/>
      <c r="U198" s="34"/>
      <c r="V198" s="34"/>
      <c r="W198" s="34"/>
      <c r="X198" s="34"/>
      <c r="Y198" s="34"/>
    </row>
    <row r="199" spans="2:25">
      <c r="B199" s="16" t="s">
        <v>47</v>
      </c>
      <c r="C199" s="46" t="s">
        <v>28</v>
      </c>
      <c r="D199" s="47">
        <v>44337</v>
      </c>
      <c r="E199" s="107"/>
      <c r="F199" s="80"/>
      <c r="G199" s="82"/>
      <c r="H199" s="78"/>
      <c r="I199" s="78"/>
      <c r="J199" s="82"/>
      <c r="K199" s="118"/>
      <c r="L199" s="118"/>
      <c r="M199" s="107"/>
      <c r="N199" s="82" t="s">
        <v>48</v>
      </c>
      <c r="O199" s="82">
        <v>2258801</v>
      </c>
      <c r="P199" s="78" t="s">
        <v>320</v>
      </c>
      <c r="Q199" s="39"/>
      <c r="R199" s="34"/>
      <c r="S199" s="34"/>
      <c r="T199" s="34"/>
      <c r="U199" s="34" t="s">
        <v>94</v>
      </c>
      <c r="V199" s="34" t="s">
        <v>94</v>
      </c>
      <c r="W199" s="34" t="s">
        <v>35</v>
      </c>
      <c r="X199" s="34" t="s">
        <v>36</v>
      </c>
      <c r="Y199" s="34"/>
    </row>
    <row r="200" spans="2:25">
      <c r="B200" s="16" t="s">
        <v>47</v>
      </c>
      <c r="C200" s="46" t="s">
        <v>28</v>
      </c>
      <c r="D200" s="47">
        <v>44337</v>
      </c>
      <c r="E200" s="107"/>
      <c r="F200" s="80"/>
      <c r="G200" s="82"/>
      <c r="H200" s="78"/>
      <c r="I200" s="78"/>
      <c r="J200" s="82"/>
      <c r="K200" s="118"/>
      <c r="L200" s="118"/>
      <c r="M200" s="107"/>
      <c r="N200" s="82" t="s">
        <v>86</v>
      </c>
      <c r="O200" s="82">
        <v>2258901</v>
      </c>
      <c r="P200" s="78" t="s">
        <v>321</v>
      </c>
      <c r="Q200" s="39"/>
      <c r="R200" s="34"/>
      <c r="S200" s="34"/>
      <c r="T200" s="34"/>
      <c r="U200" s="34" t="s">
        <v>94</v>
      </c>
      <c r="V200" s="34" t="s">
        <v>94</v>
      </c>
      <c r="W200" s="34" t="s">
        <v>35</v>
      </c>
      <c r="X200" s="34" t="s">
        <v>36</v>
      </c>
      <c r="Y200" s="34"/>
    </row>
    <row r="201" spans="2:25">
      <c r="B201" s="16" t="s">
        <v>47</v>
      </c>
      <c r="C201" s="46" t="s">
        <v>28</v>
      </c>
      <c r="D201" s="47">
        <v>44337</v>
      </c>
      <c r="E201" s="107"/>
      <c r="F201" s="80"/>
      <c r="G201" s="82"/>
      <c r="H201" s="78"/>
      <c r="I201" s="78"/>
      <c r="J201" s="82"/>
      <c r="K201" s="118"/>
      <c r="L201" s="118"/>
      <c r="M201" s="107"/>
      <c r="N201" s="82" t="s">
        <v>112</v>
      </c>
      <c r="O201" s="82">
        <v>2259001</v>
      </c>
      <c r="P201" s="78" t="s">
        <v>322</v>
      </c>
      <c r="Q201" s="39"/>
      <c r="R201" s="34"/>
      <c r="S201" s="34"/>
      <c r="T201" s="34"/>
      <c r="U201" s="34" t="s">
        <v>94</v>
      </c>
      <c r="V201" s="34" t="s">
        <v>94</v>
      </c>
      <c r="W201" s="34" t="s">
        <v>35</v>
      </c>
      <c r="X201" s="34" t="s">
        <v>36</v>
      </c>
      <c r="Y201" s="34"/>
    </row>
    <row r="202" spans="2:25">
      <c r="B202" s="16" t="s">
        <v>74</v>
      </c>
      <c r="C202" s="46" t="s">
        <v>28</v>
      </c>
      <c r="D202" s="47">
        <v>44337</v>
      </c>
      <c r="F202" s="39" t="s">
        <v>41</v>
      </c>
      <c r="G202" s="39">
        <v>1147501</v>
      </c>
      <c r="H202" s="103" t="s">
        <v>323</v>
      </c>
      <c r="I202" s="16"/>
      <c r="J202" s="39"/>
      <c r="N202" s="46"/>
      <c r="O202" s="39"/>
      <c r="P202" s="16"/>
      <c r="Q202" s="39"/>
      <c r="R202" s="34"/>
      <c r="S202" s="34"/>
      <c r="T202" s="34"/>
      <c r="U202" s="34"/>
      <c r="V202" s="34"/>
      <c r="W202" s="34"/>
      <c r="X202" s="34"/>
      <c r="Y202" s="34"/>
    </row>
    <row r="203" spans="2:25">
      <c r="B203" s="16" t="s">
        <v>74</v>
      </c>
      <c r="C203" s="46" t="s">
        <v>28</v>
      </c>
      <c r="D203" s="47">
        <v>44344</v>
      </c>
      <c r="F203" s="39" t="s">
        <v>41</v>
      </c>
      <c r="G203" s="139">
        <v>1146401</v>
      </c>
      <c r="H203" s="103" t="s">
        <v>324</v>
      </c>
      <c r="I203" s="16"/>
      <c r="J203" s="39"/>
      <c r="N203" s="46"/>
      <c r="O203" s="39"/>
      <c r="P203" s="16"/>
      <c r="Q203" s="39"/>
      <c r="R203" s="34"/>
      <c r="S203" s="34"/>
      <c r="T203" s="34"/>
      <c r="U203" s="34"/>
      <c r="V203" s="34"/>
      <c r="W203" s="34"/>
      <c r="X203" s="34"/>
      <c r="Y203" s="34"/>
    </row>
    <row r="204" spans="2:25">
      <c r="B204" s="16" t="s">
        <v>47</v>
      </c>
      <c r="C204" s="46" t="s">
        <v>28</v>
      </c>
      <c r="D204" s="47">
        <v>44365</v>
      </c>
      <c r="F204" s="46"/>
      <c r="G204" s="39"/>
      <c r="H204" s="16"/>
      <c r="I204" s="16"/>
      <c r="J204" s="39"/>
      <c r="N204" s="39" t="s">
        <v>285</v>
      </c>
      <c r="O204" s="82">
        <v>1123279</v>
      </c>
      <c r="P204" s="16" t="s">
        <v>325</v>
      </c>
      <c r="Q204" s="39"/>
      <c r="R204" s="34"/>
      <c r="S204" s="34"/>
      <c r="T204" s="34"/>
      <c r="U204" s="34" t="s">
        <v>94</v>
      </c>
      <c r="V204" s="34" t="s">
        <v>94</v>
      </c>
      <c r="W204" s="34" t="s">
        <v>35</v>
      </c>
      <c r="X204" s="34" t="s">
        <v>36</v>
      </c>
      <c r="Y204" s="34" t="s">
        <v>326</v>
      </c>
    </row>
    <row r="205" spans="2:25">
      <c r="B205" s="16" t="s">
        <v>47</v>
      </c>
      <c r="C205" s="46" t="s">
        <v>28</v>
      </c>
      <c r="D205" s="47">
        <v>44393</v>
      </c>
      <c r="F205" s="46"/>
      <c r="G205" s="39"/>
      <c r="H205" s="16"/>
      <c r="I205" s="16"/>
      <c r="J205" s="39"/>
      <c r="N205" s="39" t="s">
        <v>151</v>
      </c>
      <c r="O205" s="39">
        <v>2274601</v>
      </c>
      <c r="P205" s="16" t="s">
        <v>327</v>
      </c>
      <c r="Q205" s="39"/>
      <c r="R205" s="34"/>
      <c r="S205" s="34"/>
      <c r="T205" s="34"/>
      <c r="U205" s="34" t="s">
        <v>94</v>
      </c>
      <c r="V205" s="34" t="s">
        <v>94</v>
      </c>
      <c r="W205" s="34" t="s">
        <v>35</v>
      </c>
      <c r="X205" s="34" t="s">
        <v>36</v>
      </c>
      <c r="Y205" s="34"/>
    </row>
    <row r="206" spans="2:25">
      <c r="B206" s="16" t="s">
        <v>47</v>
      </c>
      <c r="C206" s="46" t="s">
        <v>28</v>
      </c>
      <c r="D206" s="47">
        <v>44393</v>
      </c>
      <c r="F206" s="46"/>
      <c r="G206" s="39"/>
      <c r="H206" s="16"/>
      <c r="I206" s="16"/>
      <c r="J206" s="39"/>
      <c r="N206" s="39" t="s">
        <v>151</v>
      </c>
      <c r="O206" s="39">
        <v>2274701</v>
      </c>
      <c r="P206" s="16" t="s">
        <v>328</v>
      </c>
      <c r="Q206" s="39"/>
      <c r="R206" s="34"/>
      <c r="S206" s="34"/>
      <c r="T206" s="34"/>
      <c r="U206" s="34" t="s">
        <v>94</v>
      </c>
      <c r="V206" s="34" t="s">
        <v>94</v>
      </c>
      <c r="W206" s="34" t="s">
        <v>35</v>
      </c>
      <c r="X206" s="34" t="s">
        <v>36</v>
      </c>
      <c r="Y206" s="34"/>
    </row>
    <row r="207" spans="2:25">
      <c r="B207" s="16" t="s">
        <v>47</v>
      </c>
      <c r="C207" s="46" t="s">
        <v>28</v>
      </c>
      <c r="D207" s="47">
        <v>44414</v>
      </c>
      <c r="F207" s="46"/>
      <c r="G207" s="39"/>
      <c r="H207" s="16"/>
      <c r="I207" s="16"/>
      <c r="J207" s="39"/>
      <c r="N207" s="39" t="s">
        <v>329</v>
      </c>
      <c r="O207" s="39">
        <v>2269301</v>
      </c>
      <c r="P207" s="16" t="s">
        <v>330</v>
      </c>
      <c r="Q207" s="39"/>
      <c r="R207" s="34"/>
      <c r="S207" s="34"/>
      <c r="T207" s="34"/>
      <c r="U207" s="34" t="s">
        <v>94</v>
      </c>
      <c r="V207" s="34" t="s">
        <v>94</v>
      </c>
      <c r="W207" s="34" t="s">
        <v>35</v>
      </c>
      <c r="X207" s="34" t="s">
        <v>36</v>
      </c>
      <c r="Y207" s="34"/>
    </row>
    <row r="208" spans="2:25">
      <c r="B208" s="16" t="s">
        <v>47</v>
      </c>
      <c r="C208" s="46" t="s">
        <v>28</v>
      </c>
      <c r="D208" s="47">
        <v>44414</v>
      </c>
      <c r="F208" s="46"/>
      <c r="G208" s="39"/>
      <c r="H208" s="16"/>
      <c r="I208" s="16"/>
      <c r="J208" s="39"/>
      <c r="N208" s="39" t="s">
        <v>329</v>
      </c>
      <c r="O208" s="39">
        <v>2269501</v>
      </c>
      <c r="P208" s="16" t="s">
        <v>331</v>
      </c>
      <c r="Q208" s="39"/>
      <c r="R208" s="34"/>
      <c r="S208" s="34"/>
      <c r="T208" s="34"/>
      <c r="U208" s="34" t="s">
        <v>94</v>
      </c>
      <c r="V208" s="34" t="s">
        <v>94</v>
      </c>
      <c r="W208" s="34" t="s">
        <v>35</v>
      </c>
      <c r="X208" s="34" t="s">
        <v>36</v>
      </c>
      <c r="Y208" s="34"/>
    </row>
    <row r="209" spans="2:25">
      <c r="B209" s="16" t="s">
        <v>47</v>
      </c>
      <c r="C209" s="46" t="s">
        <v>28</v>
      </c>
      <c r="D209" s="47">
        <v>44414</v>
      </c>
      <c r="F209" s="46"/>
      <c r="G209" s="39"/>
      <c r="H209" s="16"/>
      <c r="I209" s="16"/>
      <c r="J209" s="39"/>
      <c r="N209" s="128" t="s">
        <v>329</v>
      </c>
      <c r="O209" s="128">
        <v>2268801</v>
      </c>
      <c r="P209" s="140" t="s">
        <v>332</v>
      </c>
      <c r="Q209" s="39"/>
      <c r="R209" s="34"/>
      <c r="S209" s="34"/>
      <c r="T209" s="34"/>
      <c r="U209" s="34" t="s">
        <v>94</v>
      </c>
      <c r="V209" s="34" t="s">
        <v>94</v>
      </c>
      <c r="W209" s="34" t="s">
        <v>35</v>
      </c>
      <c r="X209" s="34" t="s">
        <v>36</v>
      </c>
      <c r="Y209" s="34"/>
    </row>
    <row r="210" spans="2:25">
      <c r="B210" s="16" t="s">
        <v>47</v>
      </c>
      <c r="C210" s="46" t="s">
        <v>28</v>
      </c>
      <c r="D210" s="47">
        <v>44414</v>
      </c>
      <c r="F210" s="46"/>
      <c r="G210" s="39"/>
      <c r="H210" s="16"/>
      <c r="I210" s="16"/>
      <c r="J210" s="39"/>
      <c r="N210" s="39" t="s">
        <v>329</v>
      </c>
      <c r="O210" s="39">
        <v>2272901</v>
      </c>
      <c r="P210" s="16" t="s">
        <v>333</v>
      </c>
      <c r="Q210" s="39"/>
      <c r="R210" s="34"/>
      <c r="S210" s="34"/>
      <c r="T210" s="34"/>
      <c r="U210" s="34" t="s">
        <v>94</v>
      </c>
      <c r="V210" s="34" t="s">
        <v>94</v>
      </c>
      <c r="W210" s="34" t="s">
        <v>35</v>
      </c>
      <c r="X210" s="34" t="s">
        <v>36</v>
      </c>
      <c r="Y210" s="34"/>
    </row>
    <row r="211" spans="2:25">
      <c r="B211" s="16" t="s">
        <v>47</v>
      </c>
      <c r="C211" s="46" t="s">
        <v>28</v>
      </c>
      <c r="D211" s="47">
        <v>44414</v>
      </c>
      <c r="F211" s="46"/>
      <c r="G211" s="39"/>
      <c r="H211" s="16"/>
      <c r="I211" s="16"/>
      <c r="J211" s="39"/>
      <c r="N211" s="39" t="s">
        <v>329</v>
      </c>
      <c r="O211" s="39">
        <v>2273001</v>
      </c>
      <c r="P211" s="16" t="s">
        <v>334</v>
      </c>
      <c r="Q211" s="39"/>
      <c r="R211" s="34"/>
      <c r="S211" s="34"/>
      <c r="T211" s="34"/>
      <c r="U211" s="34" t="s">
        <v>94</v>
      </c>
      <c r="V211" s="34" t="s">
        <v>94</v>
      </c>
      <c r="W211" s="34" t="s">
        <v>35</v>
      </c>
      <c r="X211" s="34" t="s">
        <v>36</v>
      </c>
      <c r="Y211" s="34"/>
    </row>
    <row r="212" spans="2:25">
      <c r="B212" s="16" t="s">
        <v>47</v>
      </c>
      <c r="C212" s="46" t="s">
        <v>28</v>
      </c>
      <c r="D212" s="47">
        <v>44414</v>
      </c>
      <c r="F212" s="46"/>
      <c r="G212" s="39"/>
      <c r="H212" s="16"/>
      <c r="I212" s="16"/>
      <c r="J212" s="39"/>
      <c r="N212" s="39" t="s">
        <v>329</v>
      </c>
      <c r="O212" s="39">
        <v>2269302</v>
      </c>
      <c r="P212" s="16" t="s">
        <v>335</v>
      </c>
      <c r="Q212" s="39"/>
      <c r="R212" s="34"/>
      <c r="S212" s="34"/>
      <c r="T212" s="34"/>
      <c r="U212" s="34" t="s">
        <v>94</v>
      </c>
      <c r="V212" s="34" t="s">
        <v>94</v>
      </c>
      <c r="W212" s="34" t="s">
        <v>35</v>
      </c>
      <c r="X212" s="34" t="s">
        <v>36</v>
      </c>
      <c r="Y212" s="34"/>
    </row>
    <row r="213" spans="2:25">
      <c r="B213" s="16" t="s">
        <v>47</v>
      </c>
      <c r="C213" s="46" t="s">
        <v>28</v>
      </c>
      <c r="D213" s="47">
        <v>44414</v>
      </c>
      <c r="F213" s="46"/>
      <c r="G213" s="39"/>
      <c r="H213" s="16"/>
      <c r="I213" s="16"/>
      <c r="J213" s="39"/>
      <c r="N213" s="39" t="s">
        <v>329</v>
      </c>
      <c r="O213" s="39">
        <v>2268802</v>
      </c>
      <c r="P213" s="16" t="s">
        <v>336</v>
      </c>
      <c r="Q213" s="39"/>
      <c r="R213" s="34"/>
      <c r="S213" s="34"/>
      <c r="T213" s="34"/>
      <c r="U213" s="34" t="s">
        <v>94</v>
      </c>
      <c r="V213" s="34" t="s">
        <v>94</v>
      </c>
      <c r="W213" s="34" t="s">
        <v>35</v>
      </c>
      <c r="X213" s="34" t="s">
        <v>36</v>
      </c>
      <c r="Y213" s="34"/>
    </row>
    <row r="214" spans="2:25">
      <c r="B214" s="16" t="s">
        <v>74</v>
      </c>
      <c r="C214" s="46" t="s">
        <v>28</v>
      </c>
      <c r="D214" s="47">
        <v>44414</v>
      </c>
      <c r="F214" s="39" t="s">
        <v>151</v>
      </c>
      <c r="G214" s="139">
        <v>2077502</v>
      </c>
      <c r="H214" s="103" t="s">
        <v>337</v>
      </c>
      <c r="I214" s="16"/>
      <c r="J214" s="39"/>
      <c r="N214" s="46"/>
      <c r="O214" s="39"/>
      <c r="P214" s="16"/>
      <c r="Q214" s="39"/>
      <c r="R214" s="34"/>
      <c r="S214" s="34"/>
      <c r="T214" s="34"/>
      <c r="U214" s="34"/>
      <c r="V214" s="34"/>
      <c r="W214" s="34"/>
      <c r="X214" s="34"/>
      <c r="Y214" s="34"/>
    </row>
    <row r="215" spans="2:25">
      <c r="B215" s="16" t="s">
        <v>74</v>
      </c>
      <c r="C215" s="46" t="s">
        <v>28</v>
      </c>
      <c r="D215" s="47">
        <v>44414</v>
      </c>
      <c r="F215" s="39" t="s">
        <v>151</v>
      </c>
      <c r="G215" s="139">
        <v>2104201</v>
      </c>
      <c r="H215" s="103" t="s">
        <v>144</v>
      </c>
      <c r="I215" s="16"/>
      <c r="J215" s="39"/>
      <c r="N215" s="46"/>
      <c r="O215" s="39"/>
      <c r="P215" s="16"/>
      <c r="Q215" s="39"/>
      <c r="R215" s="34"/>
      <c r="S215" s="34"/>
      <c r="T215" s="34"/>
      <c r="U215" s="34"/>
      <c r="V215" s="34"/>
      <c r="W215" s="34"/>
      <c r="X215" s="34"/>
      <c r="Y215" s="34"/>
    </row>
    <row r="216" spans="2:25">
      <c r="B216" s="16" t="s">
        <v>47</v>
      </c>
      <c r="C216" s="46" t="s">
        <v>28</v>
      </c>
      <c r="D216" s="47">
        <v>44435</v>
      </c>
      <c r="F216" s="46"/>
      <c r="G216" s="39"/>
      <c r="H216" s="16"/>
      <c r="I216" s="16"/>
      <c r="J216" s="39"/>
      <c r="N216" s="39" t="s">
        <v>338</v>
      </c>
      <c r="O216" s="39">
        <v>2226702</v>
      </c>
      <c r="P216" s="16" t="s">
        <v>339</v>
      </c>
      <c r="Q216" s="39"/>
      <c r="R216" s="34"/>
      <c r="S216" s="34"/>
      <c r="T216" s="34"/>
      <c r="U216" s="34" t="s">
        <v>94</v>
      </c>
      <c r="V216" s="34" t="s">
        <v>94</v>
      </c>
      <c r="W216" s="34" t="s">
        <v>35</v>
      </c>
      <c r="X216" s="34" t="s">
        <v>36</v>
      </c>
      <c r="Y216" s="34"/>
    </row>
    <row r="217" spans="2:25">
      <c r="B217" s="16" t="s">
        <v>74</v>
      </c>
      <c r="C217" s="46" t="s">
        <v>28</v>
      </c>
      <c r="D217" s="47">
        <v>44435</v>
      </c>
      <c r="F217" s="39" t="s">
        <v>151</v>
      </c>
      <c r="G217" s="139">
        <v>1954702</v>
      </c>
      <c r="H217" s="103" t="s">
        <v>340</v>
      </c>
      <c r="I217" s="16"/>
      <c r="J217" s="39"/>
      <c r="N217" s="46"/>
      <c r="O217" s="39"/>
      <c r="P217" s="16"/>
      <c r="Q217" s="39"/>
      <c r="R217" s="34"/>
      <c r="S217" s="34"/>
      <c r="T217" s="34"/>
      <c r="U217" s="34"/>
      <c r="V217" s="34"/>
      <c r="W217" s="34"/>
      <c r="X217" s="34"/>
      <c r="Y217" s="34"/>
    </row>
    <row r="218" spans="2:25">
      <c r="B218" s="16" t="s">
        <v>74</v>
      </c>
      <c r="C218" s="46" t="s">
        <v>28</v>
      </c>
      <c r="D218" s="47">
        <v>44442</v>
      </c>
      <c r="F218" s="22" t="s">
        <v>57</v>
      </c>
      <c r="G218" s="139">
        <v>1959919</v>
      </c>
      <c r="H218" s="103" t="s">
        <v>125</v>
      </c>
      <c r="I218" s="16"/>
      <c r="J218" s="39"/>
      <c r="N218" s="46"/>
      <c r="O218" s="39"/>
      <c r="P218" s="16"/>
      <c r="Q218" s="39"/>
      <c r="R218" s="34"/>
      <c r="S218" s="34"/>
      <c r="T218" s="34"/>
      <c r="U218" s="34"/>
      <c r="V218" s="34"/>
      <c r="W218" s="34"/>
      <c r="X218" s="34"/>
      <c r="Y218" s="34"/>
    </row>
    <row r="219" spans="2:25">
      <c r="B219" s="16" t="s">
        <v>47</v>
      </c>
      <c r="C219" s="46" t="s">
        <v>28</v>
      </c>
      <c r="D219" s="47">
        <v>44449</v>
      </c>
      <c r="F219" s="46"/>
      <c r="G219" s="39"/>
      <c r="H219" s="16"/>
      <c r="I219" s="16"/>
      <c r="J219" s="39"/>
      <c r="N219" s="22" t="s">
        <v>185</v>
      </c>
      <c r="O219" s="39">
        <v>2087913</v>
      </c>
      <c r="P219" s="16" t="s">
        <v>341</v>
      </c>
      <c r="Q219" s="39"/>
      <c r="R219" s="34"/>
      <c r="S219" s="34"/>
      <c r="T219" s="34"/>
      <c r="U219" s="38" t="s">
        <v>94</v>
      </c>
      <c r="V219" s="34" t="s">
        <v>94</v>
      </c>
      <c r="W219" s="34" t="s">
        <v>35</v>
      </c>
      <c r="X219" s="34" t="s">
        <v>36</v>
      </c>
      <c r="Y219" s="34"/>
    </row>
    <row r="220" spans="2:25">
      <c r="B220" s="16" t="s">
        <v>27</v>
      </c>
      <c r="C220" s="46" t="s">
        <v>28</v>
      </c>
      <c r="D220" s="47">
        <v>44463</v>
      </c>
      <c r="F220" s="22" t="s">
        <v>69</v>
      </c>
      <c r="G220" s="39">
        <v>1675203</v>
      </c>
      <c r="H220" s="16" t="s">
        <v>342</v>
      </c>
      <c r="I220" s="16"/>
      <c r="J220" s="39"/>
      <c r="N220" s="22" t="s">
        <v>69</v>
      </c>
      <c r="O220" s="39">
        <v>1675227</v>
      </c>
      <c r="P220" s="16" t="s">
        <v>343</v>
      </c>
      <c r="Q220" s="39"/>
      <c r="R220" s="34"/>
      <c r="S220" s="34" t="s">
        <v>344</v>
      </c>
      <c r="T220" s="34"/>
      <c r="U220" s="34" t="s">
        <v>94</v>
      </c>
      <c r="V220" s="34" t="s">
        <v>94</v>
      </c>
      <c r="W220" s="34" t="s">
        <v>35</v>
      </c>
      <c r="X220" s="34" t="s">
        <v>102</v>
      </c>
      <c r="Y220" s="34"/>
    </row>
    <row r="221" spans="2:25">
      <c r="B221" s="16" t="s">
        <v>27</v>
      </c>
      <c r="C221" s="46" t="s">
        <v>28</v>
      </c>
      <c r="D221" s="47">
        <v>44463</v>
      </c>
      <c r="F221" s="22" t="s">
        <v>69</v>
      </c>
      <c r="G221" s="39">
        <v>1675303</v>
      </c>
      <c r="H221" s="16" t="s">
        <v>345</v>
      </c>
      <c r="I221" s="16"/>
      <c r="J221" s="39"/>
      <c r="N221" s="22" t="s">
        <v>69</v>
      </c>
      <c r="O221" s="39">
        <v>1675322</v>
      </c>
      <c r="P221" s="16" t="s">
        <v>346</v>
      </c>
      <c r="Q221" s="39"/>
      <c r="R221" s="34"/>
      <c r="S221" s="34" t="s">
        <v>344</v>
      </c>
      <c r="T221" s="34"/>
      <c r="U221" s="34" t="s">
        <v>94</v>
      </c>
      <c r="V221" s="34" t="s">
        <v>94</v>
      </c>
      <c r="W221" s="34" t="s">
        <v>35</v>
      </c>
      <c r="X221" s="34" t="s">
        <v>102</v>
      </c>
      <c r="Y221" s="34"/>
    </row>
    <row r="222" spans="2:25">
      <c r="B222" s="16" t="s">
        <v>27</v>
      </c>
      <c r="C222" s="46" t="s">
        <v>28</v>
      </c>
      <c r="D222" s="47">
        <v>44463</v>
      </c>
      <c r="F222" s="22" t="s">
        <v>69</v>
      </c>
      <c r="G222" s="39">
        <v>1676404</v>
      </c>
      <c r="H222" s="16" t="s">
        <v>347</v>
      </c>
      <c r="I222" s="16"/>
      <c r="J222" s="39"/>
      <c r="N222" s="22" t="s">
        <v>69</v>
      </c>
      <c r="O222" s="39">
        <v>1676433</v>
      </c>
      <c r="P222" s="16" t="s">
        <v>348</v>
      </c>
      <c r="Q222" s="16"/>
      <c r="R222" s="39"/>
      <c r="S222" s="34" t="s">
        <v>344</v>
      </c>
      <c r="T222" s="34"/>
      <c r="U222" s="34" t="s">
        <v>94</v>
      </c>
      <c r="V222" s="34" t="s">
        <v>94</v>
      </c>
      <c r="W222" s="34" t="s">
        <v>35</v>
      </c>
      <c r="X222" s="34" t="s">
        <v>102</v>
      </c>
      <c r="Y222" s="34"/>
    </row>
    <row r="223" spans="2:25">
      <c r="B223" s="16" t="s">
        <v>27</v>
      </c>
      <c r="C223" s="46" t="s">
        <v>28</v>
      </c>
      <c r="D223" s="47">
        <v>44463</v>
      </c>
      <c r="F223" s="22" t="s">
        <v>69</v>
      </c>
      <c r="G223" s="39">
        <v>1676504</v>
      </c>
      <c r="H223" s="16" t="s">
        <v>349</v>
      </c>
      <c r="I223" s="16"/>
      <c r="J223" s="39"/>
      <c r="N223" s="22" t="s">
        <v>69</v>
      </c>
      <c r="O223" s="39">
        <v>1676527</v>
      </c>
      <c r="P223" s="16" t="s">
        <v>350</v>
      </c>
      <c r="Q223" s="39"/>
      <c r="R223" s="34"/>
      <c r="S223" s="34" t="s">
        <v>344</v>
      </c>
      <c r="T223" s="34"/>
      <c r="U223" s="34" t="s">
        <v>94</v>
      </c>
      <c r="V223" s="34" t="s">
        <v>94</v>
      </c>
      <c r="W223" s="34" t="s">
        <v>35</v>
      </c>
      <c r="X223" s="34" t="s">
        <v>102</v>
      </c>
      <c r="Y223" s="34"/>
    </row>
    <row r="224" spans="2:25">
      <c r="B224" s="16" t="s">
        <v>27</v>
      </c>
      <c r="C224" s="46" t="s">
        <v>28</v>
      </c>
      <c r="D224" s="47">
        <v>44463</v>
      </c>
      <c r="F224" s="22" t="s">
        <v>69</v>
      </c>
      <c r="G224" s="39">
        <v>1676003</v>
      </c>
      <c r="H224" s="16" t="s">
        <v>351</v>
      </c>
      <c r="I224" s="16"/>
      <c r="J224" s="39"/>
      <c r="N224" s="22" t="s">
        <v>69</v>
      </c>
      <c r="O224" s="39">
        <v>1791709</v>
      </c>
      <c r="P224" s="16" t="s">
        <v>352</v>
      </c>
      <c r="Q224" s="39"/>
      <c r="R224" s="34"/>
      <c r="S224" s="34" t="s">
        <v>59</v>
      </c>
      <c r="T224" s="34"/>
      <c r="U224" s="34" t="s">
        <v>94</v>
      </c>
      <c r="V224" s="34" t="s">
        <v>94</v>
      </c>
      <c r="W224" s="34" t="s">
        <v>35</v>
      </c>
      <c r="X224" s="34" t="s">
        <v>36</v>
      </c>
      <c r="Y224" s="34"/>
    </row>
    <row r="225" spans="2:25">
      <c r="B225" s="16" t="s">
        <v>27</v>
      </c>
      <c r="C225" s="46" t="s">
        <v>28</v>
      </c>
      <c r="D225" s="47">
        <v>44463</v>
      </c>
      <c r="F225" s="22" t="s">
        <v>69</v>
      </c>
      <c r="G225" s="39">
        <v>1791705</v>
      </c>
      <c r="H225" s="16" t="s">
        <v>353</v>
      </c>
      <c r="I225" s="16"/>
      <c r="J225" s="39"/>
      <c r="N225" s="22" t="s">
        <v>69</v>
      </c>
      <c r="O225" s="39">
        <v>1676005</v>
      </c>
      <c r="P225" s="16" t="s">
        <v>354</v>
      </c>
      <c r="Q225" s="39"/>
      <c r="R225" s="34"/>
      <c r="S225" s="34" t="s">
        <v>59</v>
      </c>
      <c r="T225" s="34"/>
      <c r="U225" s="34" t="s">
        <v>94</v>
      </c>
      <c r="V225" s="34" t="s">
        <v>94</v>
      </c>
      <c r="W225" s="34" t="s">
        <v>35</v>
      </c>
      <c r="X225" s="34" t="s">
        <v>36</v>
      </c>
      <c r="Y225" s="34"/>
    </row>
    <row r="226" spans="2:25">
      <c r="B226" s="16" t="s">
        <v>74</v>
      </c>
      <c r="C226" s="46" t="s">
        <v>28</v>
      </c>
      <c r="D226" s="47">
        <v>44463</v>
      </c>
      <c r="F226" s="22" t="s">
        <v>310</v>
      </c>
      <c r="G226" s="139">
        <v>2095802</v>
      </c>
      <c r="H226" s="103" t="s">
        <v>252</v>
      </c>
      <c r="I226" s="16"/>
      <c r="J226" s="39"/>
      <c r="N226" s="46"/>
      <c r="O226" s="39"/>
      <c r="P226" s="16"/>
      <c r="Q226" s="39"/>
      <c r="R226" s="34"/>
      <c r="S226" s="34"/>
      <c r="T226" s="34"/>
      <c r="U226" s="34"/>
      <c r="V226" s="34"/>
      <c r="W226" s="34"/>
      <c r="X226" s="34"/>
      <c r="Y226" s="34"/>
    </row>
    <row r="227" spans="2:25">
      <c r="B227" s="16" t="s">
        <v>74</v>
      </c>
      <c r="C227" s="46" t="s">
        <v>28</v>
      </c>
      <c r="D227" s="47">
        <v>44463</v>
      </c>
      <c r="F227" s="22" t="s">
        <v>310</v>
      </c>
      <c r="G227" s="139">
        <v>2096002</v>
      </c>
      <c r="H227" s="103" t="s">
        <v>262</v>
      </c>
      <c r="I227" s="16"/>
      <c r="J227" s="128"/>
      <c r="N227" s="46"/>
      <c r="O227" s="39"/>
      <c r="P227" s="16"/>
      <c r="Q227" s="39"/>
      <c r="R227" s="34"/>
      <c r="S227" s="34"/>
      <c r="T227" s="34"/>
      <c r="U227" s="34"/>
      <c r="V227" s="34"/>
      <c r="W227" s="34"/>
      <c r="X227" s="34"/>
      <c r="Y227" s="34"/>
    </row>
    <row r="228" spans="2:25">
      <c r="B228" s="16" t="s">
        <v>74</v>
      </c>
      <c r="C228" s="46" t="s">
        <v>28</v>
      </c>
      <c r="D228" s="47">
        <v>44463</v>
      </c>
      <c r="F228" s="22" t="s">
        <v>310</v>
      </c>
      <c r="G228" s="139">
        <v>2125401</v>
      </c>
      <c r="H228" s="103" t="s">
        <v>246</v>
      </c>
      <c r="I228" s="16"/>
      <c r="J228" s="39"/>
      <c r="N228" s="136"/>
      <c r="O228" s="128"/>
      <c r="P228" s="140"/>
      <c r="Q228" s="128"/>
      <c r="R228" s="95"/>
      <c r="S228" s="95"/>
      <c r="T228" s="95"/>
      <c r="U228" s="95"/>
      <c r="V228" s="95"/>
      <c r="W228" s="95"/>
      <c r="X228" s="95"/>
      <c r="Y228" s="95"/>
    </row>
    <row r="229" spans="2:25">
      <c r="B229" s="16" t="s">
        <v>27</v>
      </c>
      <c r="C229" s="46" t="s">
        <v>28</v>
      </c>
      <c r="D229" s="47">
        <v>44470</v>
      </c>
      <c r="F229" s="22" t="s">
        <v>310</v>
      </c>
      <c r="G229" s="39">
        <v>2125201</v>
      </c>
      <c r="H229" s="16" t="s">
        <v>250</v>
      </c>
      <c r="I229" s="16"/>
      <c r="J229" s="39"/>
      <c r="N229" s="39" t="s">
        <v>310</v>
      </c>
      <c r="O229" s="39">
        <v>2186803</v>
      </c>
      <c r="P229" s="143" t="s">
        <v>355</v>
      </c>
      <c r="Q229" s="142"/>
      <c r="R229" s="34"/>
      <c r="S229" s="34" t="s">
        <v>356</v>
      </c>
      <c r="T229" s="34"/>
      <c r="U229" s="34" t="s">
        <v>94</v>
      </c>
      <c r="V229" s="34" t="s">
        <v>94</v>
      </c>
      <c r="W229" s="34" t="s">
        <v>35</v>
      </c>
      <c r="X229" s="34" t="s">
        <v>36</v>
      </c>
      <c r="Y229" s="34" t="s">
        <v>357</v>
      </c>
    </row>
    <row r="230" spans="2:25">
      <c r="B230" s="16" t="s">
        <v>27</v>
      </c>
      <c r="C230" s="46" t="s">
        <v>28</v>
      </c>
      <c r="D230" s="47">
        <v>44470</v>
      </c>
      <c r="F230" s="22" t="s">
        <v>310</v>
      </c>
      <c r="G230" s="39">
        <v>2125401</v>
      </c>
      <c r="H230" s="16" t="s">
        <v>246</v>
      </c>
      <c r="I230" s="16"/>
      <c r="J230" s="39"/>
      <c r="N230" s="39" t="s">
        <v>310</v>
      </c>
      <c r="O230" s="39">
        <v>2187003</v>
      </c>
      <c r="P230" s="16" t="s">
        <v>312</v>
      </c>
      <c r="Q230" s="39"/>
      <c r="R230" s="34"/>
      <c r="S230" s="34" t="s">
        <v>356</v>
      </c>
      <c r="T230" s="34"/>
      <c r="U230" s="34" t="s">
        <v>94</v>
      </c>
      <c r="V230" s="34" t="s">
        <v>94</v>
      </c>
      <c r="W230" s="34" t="s">
        <v>35</v>
      </c>
      <c r="X230" s="34" t="s">
        <v>36</v>
      </c>
      <c r="Y230" s="34" t="s">
        <v>357</v>
      </c>
    </row>
    <row r="231" spans="2:25">
      <c r="B231" s="16" t="s">
        <v>27</v>
      </c>
      <c r="C231" s="46" t="s">
        <v>28</v>
      </c>
      <c r="D231" s="47">
        <v>44470</v>
      </c>
      <c r="F231" s="22" t="s">
        <v>310</v>
      </c>
      <c r="G231" s="39">
        <v>2125301</v>
      </c>
      <c r="H231" s="16" t="s">
        <v>248</v>
      </c>
      <c r="I231" s="16"/>
      <c r="J231" s="39"/>
      <c r="N231" s="39" t="s">
        <v>310</v>
      </c>
      <c r="O231" s="39">
        <v>2186903</v>
      </c>
      <c r="P231" s="16" t="s">
        <v>311</v>
      </c>
      <c r="Q231" s="39"/>
      <c r="R231" s="34"/>
      <c r="S231" s="34" t="s">
        <v>356</v>
      </c>
      <c r="T231" s="34"/>
      <c r="U231" s="34" t="s">
        <v>94</v>
      </c>
      <c r="V231" s="34" t="s">
        <v>94</v>
      </c>
      <c r="W231" s="34" t="s">
        <v>35</v>
      </c>
      <c r="X231" s="34" t="s">
        <v>36</v>
      </c>
      <c r="Y231" s="34" t="s">
        <v>357</v>
      </c>
    </row>
    <row r="232" spans="2:25">
      <c r="B232" s="16" t="s">
        <v>27</v>
      </c>
      <c r="C232" s="46" t="s">
        <v>28</v>
      </c>
      <c r="D232" s="47">
        <v>44470</v>
      </c>
      <c r="F232" s="22" t="s">
        <v>310</v>
      </c>
      <c r="G232" s="39">
        <v>2125701</v>
      </c>
      <c r="H232" s="16" t="s">
        <v>249</v>
      </c>
      <c r="I232" s="16"/>
      <c r="J232" s="39"/>
      <c r="N232" s="39" t="s">
        <v>310</v>
      </c>
      <c r="O232" s="39">
        <v>2241803</v>
      </c>
      <c r="P232" s="16" t="s">
        <v>313</v>
      </c>
      <c r="Q232" s="39"/>
      <c r="R232" s="34"/>
      <c r="S232" s="34" t="s">
        <v>356</v>
      </c>
      <c r="T232" s="34"/>
      <c r="U232" s="34" t="s">
        <v>94</v>
      </c>
      <c r="V232" s="34" t="s">
        <v>94</v>
      </c>
      <c r="W232" s="34" t="s">
        <v>35</v>
      </c>
      <c r="X232" s="34" t="s">
        <v>36</v>
      </c>
      <c r="Y232" s="34" t="s">
        <v>357</v>
      </c>
    </row>
    <row r="233" spans="2:25">
      <c r="B233" s="16" t="s">
        <v>27</v>
      </c>
      <c r="C233" s="46" t="s">
        <v>28</v>
      </c>
      <c r="D233" s="47">
        <v>44470</v>
      </c>
      <c r="F233" s="22" t="s">
        <v>310</v>
      </c>
      <c r="G233" s="39">
        <v>2096802</v>
      </c>
      <c r="H233" s="16" t="s">
        <v>251</v>
      </c>
      <c r="I233" s="16"/>
      <c r="J233" s="39"/>
      <c r="N233" s="39" t="s">
        <v>310</v>
      </c>
      <c r="O233" s="144">
        <v>2241402</v>
      </c>
      <c r="P233" s="16" t="s">
        <v>358</v>
      </c>
      <c r="Q233" s="39"/>
      <c r="R233" s="34"/>
      <c r="S233" s="34" t="s">
        <v>356</v>
      </c>
      <c r="T233" s="34"/>
      <c r="U233" s="34" t="s">
        <v>94</v>
      </c>
      <c r="V233" s="34" t="s">
        <v>94</v>
      </c>
      <c r="W233" s="34" t="s">
        <v>35</v>
      </c>
      <c r="X233" s="34" t="s">
        <v>36</v>
      </c>
      <c r="Y233" s="34" t="s">
        <v>359</v>
      </c>
    </row>
    <row r="234" spans="2:25">
      <c r="B234" s="16" t="s">
        <v>27</v>
      </c>
      <c r="C234" s="46" t="s">
        <v>28</v>
      </c>
      <c r="D234" s="47">
        <v>44470</v>
      </c>
      <c r="F234" s="22" t="s">
        <v>310</v>
      </c>
      <c r="G234" s="39">
        <v>2097002</v>
      </c>
      <c r="H234" s="16" t="s">
        <v>261</v>
      </c>
      <c r="I234" s="16"/>
      <c r="J234" s="39"/>
      <c r="N234" s="39" t="s">
        <v>310</v>
      </c>
      <c r="O234" s="144">
        <v>2241602</v>
      </c>
      <c r="P234" s="16" t="s">
        <v>360</v>
      </c>
      <c r="Q234" s="39"/>
      <c r="R234" s="34"/>
      <c r="S234" s="34" t="s">
        <v>356</v>
      </c>
      <c r="T234" s="34"/>
      <c r="U234" s="34" t="s">
        <v>94</v>
      </c>
      <c r="V234" s="34" t="s">
        <v>94</v>
      </c>
      <c r="W234" s="34" t="s">
        <v>35</v>
      </c>
      <c r="X234" s="34" t="s">
        <v>36</v>
      </c>
      <c r="Y234" s="34" t="s">
        <v>359</v>
      </c>
    </row>
    <row r="235" spans="2:25">
      <c r="B235" s="16" t="s">
        <v>27</v>
      </c>
      <c r="C235" s="46" t="s">
        <v>28</v>
      </c>
      <c r="D235" s="47">
        <v>44470</v>
      </c>
      <c r="F235" s="22" t="s">
        <v>310</v>
      </c>
      <c r="G235" s="39">
        <v>2095802</v>
      </c>
      <c r="H235" s="16" t="s">
        <v>252</v>
      </c>
      <c r="I235" s="16"/>
      <c r="J235" s="39"/>
      <c r="N235" s="39" t="s">
        <v>310</v>
      </c>
      <c r="O235" s="145">
        <v>2095807</v>
      </c>
      <c r="P235" s="16" t="s">
        <v>252</v>
      </c>
      <c r="Q235" s="39"/>
      <c r="R235" s="34"/>
      <c r="S235" s="34" t="s">
        <v>356</v>
      </c>
      <c r="T235" s="34"/>
      <c r="U235" s="34" t="s">
        <v>94</v>
      </c>
      <c r="V235" s="34" t="s">
        <v>94</v>
      </c>
      <c r="W235" s="34" t="s">
        <v>35</v>
      </c>
      <c r="X235" s="34" t="s">
        <v>36</v>
      </c>
      <c r="Y235" s="34" t="s">
        <v>361</v>
      </c>
    </row>
    <row r="236" spans="2:25">
      <c r="B236" s="16" t="s">
        <v>27</v>
      </c>
      <c r="C236" s="46" t="s">
        <v>28</v>
      </c>
      <c r="D236" s="47">
        <v>44470</v>
      </c>
      <c r="F236" s="22" t="s">
        <v>310</v>
      </c>
      <c r="G236" s="39">
        <v>2096002</v>
      </c>
      <c r="H236" s="16" t="s">
        <v>262</v>
      </c>
      <c r="I236" s="16"/>
      <c r="J236" s="39"/>
      <c r="N236" s="39" t="s">
        <v>310</v>
      </c>
      <c r="O236" s="145">
        <v>2096007</v>
      </c>
      <c r="P236" s="16" t="s">
        <v>262</v>
      </c>
      <c r="Q236" s="39"/>
      <c r="R236" s="34"/>
      <c r="S236" s="34" t="s">
        <v>356</v>
      </c>
      <c r="T236" s="34"/>
      <c r="U236" s="34" t="s">
        <v>94</v>
      </c>
      <c r="V236" s="34" t="s">
        <v>94</v>
      </c>
      <c r="W236" s="34" t="s">
        <v>35</v>
      </c>
      <c r="X236" s="34" t="s">
        <v>36</v>
      </c>
      <c r="Y236" s="34" t="s">
        <v>361</v>
      </c>
    </row>
    <row r="237" spans="2:25">
      <c r="B237" s="16" t="s">
        <v>47</v>
      </c>
      <c r="C237" s="46" t="s">
        <v>28</v>
      </c>
      <c r="D237" s="47">
        <v>44477</v>
      </c>
      <c r="F237" s="46"/>
      <c r="G237" s="39"/>
      <c r="H237" s="16"/>
      <c r="I237" s="16"/>
      <c r="J237" s="39"/>
      <c r="N237" s="39" t="s">
        <v>48</v>
      </c>
      <c r="O237" s="39">
        <v>729512</v>
      </c>
      <c r="P237" s="16" t="s">
        <v>362</v>
      </c>
      <c r="Q237" s="39"/>
      <c r="R237" s="34"/>
      <c r="S237" s="34" t="s">
        <v>267</v>
      </c>
      <c r="T237" s="34"/>
      <c r="U237" s="34" t="s">
        <v>94</v>
      </c>
      <c r="V237" s="34" t="s">
        <v>92</v>
      </c>
      <c r="W237" s="34" t="s">
        <v>35</v>
      </c>
      <c r="X237" s="34" t="s">
        <v>36</v>
      </c>
      <c r="Y237" s="34"/>
    </row>
    <row r="238" spans="2:25">
      <c r="B238" s="16" t="s">
        <v>47</v>
      </c>
      <c r="C238" s="46" t="s">
        <v>28</v>
      </c>
      <c r="D238" s="47">
        <v>44477</v>
      </c>
      <c r="F238" s="46"/>
      <c r="G238" s="39"/>
      <c r="H238" s="16"/>
      <c r="I238" s="16"/>
      <c r="J238" s="39"/>
      <c r="N238" s="39" t="s">
        <v>48</v>
      </c>
      <c r="O238" s="39">
        <v>2297001</v>
      </c>
      <c r="P238" s="16" t="s">
        <v>363</v>
      </c>
      <c r="Q238" s="39"/>
      <c r="R238" s="34"/>
      <c r="S238" s="34" t="s">
        <v>267</v>
      </c>
      <c r="T238" s="34"/>
      <c r="U238" s="34" t="s">
        <v>94</v>
      </c>
      <c r="V238" s="34" t="s">
        <v>92</v>
      </c>
      <c r="W238" s="34" t="s">
        <v>35</v>
      </c>
      <c r="X238" s="34" t="s">
        <v>36</v>
      </c>
      <c r="Y238" s="34"/>
    </row>
    <row r="239" spans="2:25">
      <c r="B239" s="16" t="s">
        <v>74</v>
      </c>
      <c r="C239" s="46" t="s">
        <v>28</v>
      </c>
      <c r="D239" s="47">
        <v>44477</v>
      </c>
      <c r="F239" s="22" t="s">
        <v>310</v>
      </c>
      <c r="G239" s="139">
        <v>2125201</v>
      </c>
      <c r="H239" s="103" t="s">
        <v>250</v>
      </c>
      <c r="I239" s="16"/>
      <c r="J239" s="39"/>
      <c r="N239" s="46"/>
      <c r="O239" s="39"/>
      <c r="P239" s="16"/>
      <c r="Q239" s="39"/>
      <c r="R239" s="34"/>
      <c r="S239" s="34"/>
      <c r="T239" s="34"/>
      <c r="U239" s="34"/>
      <c r="V239" s="34"/>
      <c r="W239" s="34"/>
      <c r="X239" s="34"/>
      <c r="Y239" s="34"/>
    </row>
    <row r="240" spans="2:25">
      <c r="B240" s="16" t="s">
        <v>74</v>
      </c>
      <c r="C240" s="46" t="s">
        <v>28</v>
      </c>
      <c r="D240" s="47">
        <v>44477</v>
      </c>
      <c r="F240" s="39" t="s">
        <v>151</v>
      </c>
      <c r="G240" s="139">
        <v>2112901</v>
      </c>
      <c r="H240" s="103" t="s">
        <v>146</v>
      </c>
      <c r="I240" s="16"/>
      <c r="J240" s="39"/>
      <c r="N240" s="46"/>
      <c r="O240" s="39"/>
      <c r="P240" s="16"/>
      <c r="Q240" s="39"/>
      <c r="R240" s="34"/>
      <c r="S240" s="34"/>
      <c r="T240" s="34"/>
      <c r="U240" s="34"/>
      <c r="V240" s="34"/>
      <c r="W240" s="34"/>
      <c r="X240" s="34"/>
      <c r="Y240" s="34"/>
    </row>
    <row r="241" spans="2:25">
      <c r="B241" s="16" t="s">
        <v>47</v>
      </c>
      <c r="C241" s="123" t="s">
        <v>293</v>
      </c>
      <c r="D241" s="47">
        <v>44491</v>
      </c>
      <c r="F241" s="46"/>
      <c r="G241" s="39"/>
      <c r="H241" s="16"/>
      <c r="I241" s="16"/>
      <c r="J241" s="39"/>
      <c r="N241" s="39" t="s">
        <v>103</v>
      </c>
      <c r="O241" s="39">
        <v>1339207</v>
      </c>
      <c r="P241" s="16" t="s">
        <v>364</v>
      </c>
      <c r="Q241" s="39"/>
      <c r="R241" s="34"/>
      <c r="S241" s="34" t="s">
        <v>231</v>
      </c>
      <c r="T241" s="34"/>
      <c r="U241" s="34" t="s">
        <v>94</v>
      </c>
      <c r="V241" s="34" t="s">
        <v>94</v>
      </c>
      <c r="W241" s="34" t="s">
        <v>35</v>
      </c>
      <c r="X241" s="34" t="s">
        <v>36</v>
      </c>
      <c r="Y241" s="34"/>
    </row>
    <row r="242" spans="2:25">
      <c r="B242" s="16" t="s">
        <v>47</v>
      </c>
      <c r="C242" s="123" t="s">
        <v>293</v>
      </c>
      <c r="D242" s="47">
        <v>44491</v>
      </c>
      <c r="F242" s="46"/>
      <c r="G242" s="39"/>
      <c r="H242" s="16"/>
      <c r="I242" s="16"/>
      <c r="J242" s="39"/>
      <c r="N242" s="39" t="s">
        <v>103</v>
      </c>
      <c r="O242" s="39">
        <v>2050502</v>
      </c>
      <c r="P242" s="16" t="s">
        <v>365</v>
      </c>
      <c r="Q242" s="39"/>
      <c r="R242" s="34"/>
      <c r="S242" s="34" t="s">
        <v>231</v>
      </c>
      <c r="T242" s="34"/>
      <c r="U242" s="34" t="s">
        <v>94</v>
      </c>
      <c r="V242" s="34" t="s">
        <v>94</v>
      </c>
      <c r="W242" s="34" t="s">
        <v>35</v>
      </c>
      <c r="X242" s="34" t="s">
        <v>36</v>
      </c>
      <c r="Y242" s="34"/>
    </row>
    <row r="243" spans="2:25">
      <c r="B243" s="16" t="s">
        <v>47</v>
      </c>
      <c r="C243" s="46" t="s">
        <v>28</v>
      </c>
      <c r="D243" s="47">
        <v>44491</v>
      </c>
      <c r="F243" s="46"/>
      <c r="G243" s="39"/>
      <c r="H243" s="16"/>
      <c r="I243" s="16"/>
      <c r="J243" s="39"/>
      <c r="N243" s="39" t="s">
        <v>198</v>
      </c>
      <c r="O243" s="39">
        <v>2191106</v>
      </c>
      <c r="P243" s="16" t="s">
        <v>366</v>
      </c>
      <c r="Q243" s="39"/>
      <c r="R243" s="34"/>
      <c r="S243" s="34"/>
      <c r="T243" s="34"/>
      <c r="U243" s="34" t="s">
        <v>94</v>
      </c>
      <c r="V243" s="34" t="s">
        <v>94</v>
      </c>
      <c r="W243" s="34" t="s">
        <v>35</v>
      </c>
      <c r="X243" s="34" t="s">
        <v>36</v>
      </c>
      <c r="Y243" s="34" t="s">
        <v>367</v>
      </c>
    </row>
    <row r="244" spans="2:25">
      <c r="B244" s="16" t="s">
        <v>47</v>
      </c>
      <c r="C244" s="46" t="s">
        <v>28</v>
      </c>
      <c r="D244" s="47">
        <v>44519</v>
      </c>
      <c r="F244" s="46"/>
      <c r="G244" s="39"/>
      <c r="H244" s="16"/>
      <c r="I244" s="16"/>
      <c r="J244" s="39"/>
      <c r="N244" s="39" t="s">
        <v>368</v>
      </c>
      <c r="O244" s="39">
        <v>1409006</v>
      </c>
      <c r="P244" s="16" t="s">
        <v>369</v>
      </c>
      <c r="Q244" s="39"/>
      <c r="R244" s="34"/>
      <c r="S244" s="34" t="s">
        <v>370</v>
      </c>
      <c r="T244" s="34"/>
      <c r="U244" s="34" t="s">
        <v>94</v>
      </c>
      <c r="V244" s="34" t="s">
        <v>94</v>
      </c>
      <c r="W244" s="34" t="s">
        <v>35</v>
      </c>
      <c r="X244" s="34" t="s">
        <v>102</v>
      </c>
      <c r="Y244" s="54" t="s">
        <v>371</v>
      </c>
    </row>
    <row r="245" spans="2:25">
      <c r="B245" s="16" t="s">
        <v>47</v>
      </c>
      <c r="C245" s="46" t="s">
        <v>28</v>
      </c>
      <c r="D245" s="47">
        <v>44519</v>
      </c>
      <c r="F245" s="46"/>
      <c r="G245" s="39"/>
      <c r="H245" s="16"/>
      <c r="I245" s="16"/>
      <c r="J245" s="39"/>
      <c r="N245" s="39" t="s">
        <v>48</v>
      </c>
      <c r="O245" s="39">
        <v>16207</v>
      </c>
      <c r="P245" s="16" t="s">
        <v>372</v>
      </c>
      <c r="Q245" s="39"/>
      <c r="R245" s="34"/>
      <c r="S245" s="34" t="s">
        <v>121</v>
      </c>
      <c r="T245" s="34"/>
      <c r="U245" s="34" t="s">
        <v>94</v>
      </c>
      <c r="V245" s="34" t="s">
        <v>94</v>
      </c>
      <c r="W245" s="34" t="s">
        <v>35</v>
      </c>
      <c r="X245" s="34" t="s">
        <v>36</v>
      </c>
      <c r="Y245" s="31"/>
    </row>
    <row r="246" spans="2:25">
      <c r="B246" s="16" t="s">
        <v>47</v>
      </c>
      <c r="C246" s="46" t="s">
        <v>28</v>
      </c>
      <c r="D246" s="47">
        <v>44519</v>
      </c>
      <c r="F246" s="46"/>
      <c r="G246" s="39"/>
      <c r="H246" s="16"/>
      <c r="I246" s="16"/>
      <c r="J246" s="39"/>
      <c r="N246" s="39" t="s">
        <v>48</v>
      </c>
      <c r="O246" s="39">
        <v>493502</v>
      </c>
      <c r="P246" s="16" t="s">
        <v>373</v>
      </c>
      <c r="Q246" s="39"/>
      <c r="R246" s="34"/>
      <c r="S246" s="34" t="s">
        <v>121</v>
      </c>
      <c r="T246" s="34"/>
      <c r="U246" s="34" t="s">
        <v>94</v>
      </c>
      <c r="V246" s="34" t="s">
        <v>94</v>
      </c>
      <c r="W246" s="34" t="s">
        <v>35</v>
      </c>
      <c r="X246" s="34" t="s">
        <v>102</v>
      </c>
      <c r="Y246" s="34"/>
    </row>
    <row r="247" spans="2:25">
      <c r="B247" s="16" t="s">
        <v>47</v>
      </c>
      <c r="C247" s="123" t="s">
        <v>293</v>
      </c>
      <c r="D247" s="47">
        <v>44519</v>
      </c>
      <c r="F247" s="46"/>
      <c r="G247" s="39"/>
      <c r="H247" s="16"/>
      <c r="I247" s="16"/>
      <c r="J247" s="39"/>
      <c r="N247" s="39" t="s">
        <v>112</v>
      </c>
      <c r="O247" s="39">
        <v>1290003</v>
      </c>
      <c r="P247" s="16" t="s">
        <v>374</v>
      </c>
      <c r="Q247" s="39"/>
      <c r="R247" s="34"/>
      <c r="S247" s="34" t="s">
        <v>121</v>
      </c>
      <c r="T247" s="34"/>
      <c r="U247" s="34" t="s">
        <v>94</v>
      </c>
      <c r="V247" s="34" t="s">
        <v>94</v>
      </c>
      <c r="W247" s="34" t="s">
        <v>35</v>
      </c>
      <c r="X247" s="34" t="s">
        <v>102</v>
      </c>
      <c r="Y247" s="34" t="s">
        <v>375</v>
      </c>
    </row>
    <row r="248" spans="2:25">
      <c r="B248" s="16" t="s">
        <v>47</v>
      </c>
      <c r="C248" s="112" t="s">
        <v>28</v>
      </c>
      <c r="D248" s="47">
        <v>44519</v>
      </c>
      <c r="F248" s="46"/>
      <c r="G248" s="39"/>
      <c r="H248" s="16"/>
      <c r="I248" s="16"/>
      <c r="J248" s="39"/>
      <c r="N248" s="39" t="s">
        <v>48</v>
      </c>
      <c r="O248" s="39">
        <v>2322901</v>
      </c>
      <c r="P248" s="16" t="s">
        <v>376</v>
      </c>
      <c r="Q248" s="39"/>
      <c r="R248" s="34"/>
      <c r="S248" s="34" t="s">
        <v>121</v>
      </c>
      <c r="T248" s="34"/>
      <c r="U248" s="34" t="s">
        <v>94</v>
      </c>
      <c r="V248" s="34" t="s">
        <v>94</v>
      </c>
      <c r="W248" s="34" t="s">
        <v>35</v>
      </c>
      <c r="X248" s="34" t="s">
        <v>36</v>
      </c>
      <c r="Y248" s="34"/>
    </row>
    <row r="249" spans="2:25">
      <c r="B249" s="16" t="s">
        <v>47</v>
      </c>
      <c r="C249" s="46" t="s">
        <v>28</v>
      </c>
      <c r="D249" s="47">
        <v>44519</v>
      </c>
      <c r="F249" s="46"/>
      <c r="G249" s="39"/>
      <c r="H249" s="16"/>
      <c r="I249" s="16"/>
      <c r="J249" s="39"/>
      <c r="N249" s="39" t="s">
        <v>48</v>
      </c>
      <c r="O249" s="39">
        <v>2323001</v>
      </c>
      <c r="P249" s="16" t="s">
        <v>377</v>
      </c>
      <c r="Q249" s="39"/>
      <c r="R249" s="34"/>
      <c r="S249" s="34" t="s">
        <v>121</v>
      </c>
      <c r="T249" s="34"/>
      <c r="U249" s="34" t="s">
        <v>94</v>
      </c>
      <c r="V249" s="34" t="s">
        <v>94</v>
      </c>
      <c r="W249" s="34" t="s">
        <v>35</v>
      </c>
      <c r="X249" s="34" t="s">
        <v>36</v>
      </c>
      <c r="Y249" s="34"/>
    </row>
    <row r="250" spans="2:25">
      <c r="B250" s="16" t="s">
        <v>27</v>
      </c>
      <c r="C250" s="46" t="s">
        <v>28</v>
      </c>
      <c r="D250" s="47">
        <v>44519</v>
      </c>
      <c r="F250" s="39" t="s">
        <v>112</v>
      </c>
      <c r="G250" s="39">
        <v>1842906</v>
      </c>
      <c r="H250" s="16" t="s">
        <v>378</v>
      </c>
      <c r="I250" s="34" t="s">
        <v>121</v>
      </c>
      <c r="J250" s="39"/>
      <c r="N250" s="39" t="s">
        <v>112</v>
      </c>
      <c r="O250" s="39">
        <v>17386</v>
      </c>
      <c r="P250" s="16" t="s">
        <v>379</v>
      </c>
      <c r="Q250" s="39"/>
      <c r="R250" s="34"/>
      <c r="S250" s="34" t="s">
        <v>121</v>
      </c>
      <c r="T250" s="34"/>
      <c r="U250" s="34" t="s">
        <v>94</v>
      </c>
      <c r="V250" s="34" t="s">
        <v>94</v>
      </c>
      <c r="W250" s="34" t="s">
        <v>35</v>
      </c>
      <c r="X250" s="34" t="s">
        <v>36</v>
      </c>
      <c r="Y250" s="34" t="s">
        <v>375</v>
      </c>
    </row>
    <row r="251" spans="2:25">
      <c r="B251" s="16" t="s">
        <v>47</v>
      </c>
      <c r="C251" s="46" t="s">
        <v>28</v>
      </c>
      <c r="D251" s="47">
        <v>44533</v>
      </c>
      <c r="F251" s="46"/>
      <c r="G251" s="39"/>
      <c r="H251" s="16"/>
      <c r="I251" s="16"/>
      <c r="J251" s="39"/>
      <c r="N251" s="39" t="s">
        <v>64</v>
      </c>
      <c r="O251" s="39">
        <v>1356612</v>
      </c>
      <c r="P251" s="16" t="s">
        <v>380</v>
      </c>
      <c r="Q251" s="39"/>
      <c r="R251" s="34"/>
      <c r="S251" s="38" t="s">
        <v>370</v>
      </c>
      <c r="T251" s="34"/>
      <c r="U251" s="34" t="s">
        <v>94</v>
      </c>
      <c r="V251" s="34" t="s">
        <v>94</v>
      </c>
      <c r="W251" s="34" t="s">
        <v>35</v>
      </c>
      <c r="X251" s="34" t="s">
        <v>36</v>
      </c>
      <c r="Y251" s="34"/>
    </row>
    <row r="252" spans="2:25">
      <c r="B252" s="16" t="s">
        <v>47</v>
      </c>
      <c r="C252" s="46" t="s">
        <v>28</v>
      </c>
      <c r="D252" s="47">
        <v>44533</v>
      </c>
      <c r="F252" s="46"/>
      <c r="G252" s="39"/>
      <c r="H252" s="16"/>
      <c r="I252" s="16"/>
      <c r="J252" s="39"/>
      <c r="N252" s="22" t="s">
        <v>57</v>
      </c>
      <c r="O252" s="39">
        <v>2166501</v>
      </c>
      <c r="P252" s="16" t="s">
        <v>381</v>
      </c>
      <c r="Q252" s="39"/>
      <c r="R252" s="34"/>
      <c r="S252" s="141" t="s">
        <v>382</v>
      </c>
      <c r="T252" s="34"/>
      <c r="U252" s="34" t="s">
        <v>94</v>
      </c>
      <c r="V252" s="34" t="s">
        <v>94</v>
      </c>
      <c r="W252" s="34" t="s">
        <v>35</v>
      </c>
      <c r="X252" s="34" t="s">
        <v>36</v>
      </c>
      <c r="Y252" s="34"/>
    </row>
    <row r="253" spans="2:25">
      <c r="B253" s="16" t="s">
        <v>47</v>
      </c>
      <c r="C253" s="46" t="s">
        <v>28</v>
      </c>
      <c r="D253" s="47">
        <v>44533</v>
      </c>
      <c r="F253" s="46"/>
      <c r="G253" s="39"/>
      <c r="H253" s="16"/>
      <c r="I253" s="16"/>
      <c r="J253" s="39"/>
      <c r="N253" s="22" t="s">
        <v>57</v>
      </c>
      <c r="O253" s="39">
        <v>1442902</v>
      </c>
      <c r="P253" s="16" t="s">
        <v>383</v>
      </c>
      <c r="Q253" s="39"/>
      <c r="R253" s="34"/>
      <c r="S253" s="34" t="s">
        <v>155</v>
      </c>
      <c r="T253" s="34"/>
      <c r="U253" s="34" t="s">
        <v>94</v>
      </c>
      <c r="V253" s="34" t="s">
        <v>94</v>
      </c>
      <c r="W253" s="34" t="s">
        <v>35</v>
      </c>
      <c r="X253" s="34" t="s">
        <v>36</v>
      </c>
      <c r="Y253" s="34"/>
    </row>
    <row r="254" spans="2:25">
      <c r="B254" s="16" t="s">
        <v>47</v>
      </c>
      <c r="C254" s="46" t="s">
        <v>28</v>
      </c>
      <c r="D254" s="47">
        <v>44533</v>
      </c>
      <c r="F254" s="46"/>
      <c r="G254" s="39"/>
      <c r="H254" s="16"/>
      <c r="I254" s="16"/>
      <c r="J254" s="39"/>
      <c r="N254" s="22" t="s">
        <v>57</v>
      </c>
      <c r="O254" s="39">
        <v>2280501</v>
      </c>
      <c r="P254" s="16" t="s">
        <v>384</v>
      </c>
      <c r="Q254" s="39"/>
      <c r="R254" s="34"/>
      <c r="S254" s="141" t="s">
        <v>382</v>
      </c>
      <c r="T254" s="34"/>
      <c r="U254" s="34" t="s">
        <v>94</v>
      </c>
      <c r="V254" s="34" t="s">
        <v>94</v>
      </c>
      <c r="W254" s="34" t="s">
        <v>35</v>
      </c>
      <c r="X254" s="34" t="s">
        <v>36</v>
      </c>
      <c r="Y254" s="34"/>
    </row>
    <row r="255" spans="2:25">
      <c r="B255" s="16" t="s">
        <v>47</v>
      </c>
      <c r="C255" s="46" t="s">
        <v>28</v>
      </c>
      <c r="D255" s="47">
        <v>44533</v>
      </c>
      <c r="F255" s="46"/>
      <c r="G255" s="39"/>
      <c r="H255" s="16"/>
      <c r="I255" s="16"/>
      <c r="J255" s="39"/>
      <c r="N255" s="22" t="s">
        <v>112</v>
      </c>
      <c r="O255" s="39">
        <v>1163506</v>
      </c>
      <c r="P255" s="16" t="s">
        <v>385</v>
      </c>
      <c r="Q255" s="39"/>
      <c r="R255" s="34"/>
      <c r="S255" s="34" t="s">
        <v>121</v>
      </c>
      <c r="T255" s="34"/>
      <c r="U255" s="34" t="s">
        <v>94</v>
      </c>
      <c r="V255" s="34" t="s">
        <v>94</v>
      </c>
      <c r="W255" s="34" t="s">
        <v>35</v>
      </c>
      <c r="X255" s="34" t="s">
        <v>36</v>
      </c>
      <c r="Y255" s="34"/>
    </row>
    <row r="256" spans="2:25">
      <c r="B256" s="16" t="s">
        <v>47</v>
      </c>
      <c r="C256" s="46" t="s">
        <v>28</v>
      </c>
      <c r="D256" s="47">
        <v>44533</v>
      </c>
      <c r="F256" s="46"/>
      <c r="G256" s="39"/>
      <c r="H256" s="16"/>
      <c r="I256" s="16"/>
      <c r="J256" s="39"/>
      <c r="N256" s="22" t="s">
        <v>112</v>
      </c>
      <c r="O256" s="39">
        <v>1189503</v>
      </c>
      <c r="P256" s="16" t="s">
        <v>386</v>
      </c>
      <c r="Q256" s="39"/>
      <c r="R256" s="34"/>
      <c r="S256" s="34" t="s">
        <v>121</v>
      </c>
      <c r="T256" s="34"/>
      <c r="U256" s="34" t="s">
        <v>94</v>
      </c>
      <c r="V256" s="34" t="s">
        <v>94</v>
      </c>
      <c r="W256" s="34" t="s">
        <v>35</v>
      </c>
      <c r="X256" s="34" t="s">
        <v>36</v>
      </c>
      <c r="Y256" s="34"/>
    </row>
    <row r="257" spans="2:25">
      <c r="B257" s="16" t="s">
        <v>47</v>
      </c>
      <c r="C257" s="46" t="s">
        <v>28</v>
      </c>
      <c r="D257" s="47">
        <v>44540</v>
      </c>
      <c r="F257" s="46"/>
      <c r="G257" s="39"/>
      <c r="H257" s="16"/>
      <c r="I257" s="16"/>
      <c r="J257" s="39"/>
      <c r="N257" s="39" t="s">
        <v>219</v>
      </c>
      <c r="O257" s="39">
        <v>2184702</v>
      </c>
      <c r="P257" s="16" t="s">
        <v>387</v>
      </c>
      <c r="Q257" s="39"/>
      <c r="R257" s="34"/>
      <c r="S257" s="34"/>
      <c r="T257" s="34"/>
      <c r="U257" s="34" t="s">
        <v>94</v>
      </c>
      <c r="V257" s="34" t="s">
        <v>94</v>
      </c>
      <c r="W257" s="34" t="s">
        <v>35</v>
      </c>
      <c r="X257" s="34" t="s">
        <v>36</v>
      </c>
      <c r="Y257" s="34"/>
    </row>
    <row r="258" spans="2:25">
      <c r="B258" s="16" t="s">
        <v>47</v>
      </c>
      <c r="C258" s="46" t="s">
        <v>28</v>
      </c>
      <c r="D258" s="47">
        <v>44540</v>
      </c>
      <c r="F258" s="46"/>
      <c r="G258" s="39"/>
      <c r="H258" s="16"/>
      <c r="I258" s="16"/>
      <c r="J258" s="39"/>
      <c r="N258" s="39" t="s">
        <v>48</v>
      </c>
      <c r="O258" s="39">
        <v>280506</v>
      </c>
      <c r="P258" s="16" t="s">
        <v>388</v>
      </c>
      <c r="Q258" s="39"/>
      <c r="R258" s="34"/>
      <c r="S258" s="34" t="s">
        <v>389</v>
      </c>
      <c r="T258" s="34"/>
      <c r="U258" s="34" t="s">
        <v>94</v>
      </c>
      <c r="V258" s="34" t="s">
        <v>94</v>
      </c>
      <c r="W258" s="34" t="s">
        <v>35</v>
      </c>
      <c r="X258" s="34" t="s">
        <v>36</v>
      </c>
      <c r="Y258" s="34"/>
    </row>
    <row r="259" spans="2:25">
      <c r="B259" s="16" t="s">
        <v>47</v>
      </c>
      <c r="C259" s="46" t="s">
        <v>28</v>
      </c>
      <c r="D259" s="47">
        <v>44540</v>
      </c>
      <c r="F259" s="46"/>
      <c r="G259" s="39"/>
      <c r="H259" s="16"/>
      <c r="I259" s="16"/>
      <c r="J259" s="39"/>
      <c r="N259" s="39" t="s">
        <v>48</v>
      </c>
      <c r="O259" s="39">
        <v>2336701</v>
      </c>
      <c r="P259" s="16" t="s">
        <v>390</v>
      </c>
      <c r="Q259" s="39"/>
      <c r="R259" s="34"/>
      <c r="S259" s="34" t="s">
        <v>389</v>
      </c>
      <c r="T259" s="34"/>
      <c r="U259" s="34" t="s">
        <v>94</v>
      </c>
      <c r="V259" s="34" t="s">
        <v>94</v>
      </c>
      <c r="W259" s="34" t="s">
        <v>35</v>
      </c>
      <c r="X259" s="34" t="s">
        <v>36</v>
      </c>
      <c r="Y259" s="34"/>
    </row>
    <row r="260" spans="2:25">
      <c r="B260" s="16" t="s">
        <v>47</v>
      </c>
      <c r="C260" s="46" t="s">
        <v>28</v>
      </c>
      <c r="D260" s="47">
        <v>44540</v>
      </c>
      <c r="F260" s="46"/>
      <c r="G260" s="39"/>
      <c r="H260" s="16"/>
      <c r="I260" s="16"/>
      <c r="J260" s="39"/>
      <c r="N260" s="39" t="s">
        <v>57</v>
      </c>
      <c r="O260" s="39">
        <v>1590602</v>
      </c>
      <c r="P260" s="16" t="s">
        <v>391</v>
      </c>
      <c r="Q260" s="39"/>
      <c r="R260" s="34"/>
      <c r="S260" s="34" t="s">
        <v>389</v>
      </c>
      <c r="T260" s="34"/>
      <c r="U260" s="34" t="s">
        <v>94</v>
      </c>
      <c r="V260" s="34" t="s">
        <v>94</v>
      </c>
      <c r="W260" s="34" t="s">
        <v>35</v>
      </c>
      <c r="X260" s="34" t="s">
        <v>36</v>
      </c>
      <c r="Y260" s="34"/>
    </row>
    <row r="261" spans="2:25">
      <c r="B261" s="16" t="s">
        <v>47</v>
      </c>
      <c r="C261" s="46" t="s">
        <v>28</v>
      </c>
      <c r="D261" s="47">
        <v>44540</v>
      </c>
      <c r="F261" s="46"/>
      <c r="G261" s="39"/>
      <c r="H261" s="16"/>
      <c r="I261" s="16"/>
      <c r="J261" s="39"/>
      <c r="N261" s="39" t="s">
        <v>198</v>
      </c>
      <c r="O261" s="39">
        <v>2342701</v>
      </c>
      <c r="P261" s="16" t="s">
        <v>392</v>
      </c>
      <c r="Q261" s="39"/>
      <c r="R261" s="34"/>
      <c r="S261" s="34"/>
      <c r="T261" s="34"/>
      <c r="U261" s="34" t="s">
        <v>94</v>
      </c>
      <c r="V261" s="34" t="s">
        <v>94</v>
      </c>
      <c r="W261" s="34" t="s">
        <v>35</v>
      </c>
      <c r="X261" s="34" t="s">
        <v>36</v>
      </c>
      <c r="Y261" s="34"/>
    </row>
    <row r="262" spans="2:25">
      <c r="B262" s="16" t="s">
        <v>47</v>
      </c>
      <c r="C262" s="46" t="s">
        <v>28</v>
      </c>
      <c r="D262" s="47">
        <v>44540</v>
      </c>
      <c r="F262" s="46"/>
      <c r="G262" s="39"/>
      <c r="H262" s="16"/>
      <c r="I262" s="16"/>
      <c r="J262" s="39"/>
      <c r="N262" s="39" t="s">
        <v>57</v>
      </c>
      <c r="O262" s="39">
        <v>1002627</v>
      </c>
      <c r="P262" s="16" t="s">
        <v>393</v>
      </c>
      <c r="Q262" s="39"/>
      <c r="R262" s="34"/>
      <c r="S262" s="34"/>
      <c r="T262" s="34"/>
      <c r="U262" s="34" t="s">
        <v>94</v>
      </c>
      <c r="V262" s="34" t="s">
        <v>94</v>
      </c>
      <c r="W262" s="34" t="s">
        <v>35</v>
      </c>
      <c r="X262" s="34" t="s">
        <v>36</v>
      </c>
      <c r="Y262" s="34"/>
    </row>
    <row r="263" spans="2:25">
      <c r="B263" s="16" t="s">
        <v>47</v>
      </c>
      <c r="C263" s="46" t="s">
        <v>28</v>
      </c>
      <c r="D263" s="47">
        <v>44540</v>
      </c>
      <c r="F263" s="46"/>
      <c r="G263" s="39"/>
      <c r="H263" s="16"/>
      <c r="I263" s="16"/>
      <c r="J263" s="39"/>
      <c r="N263" s="39" t="s">
        <v>48</v>
      </c>
      <c r="O263" s="39">
        <v>1068506</v>
      </c>
      <c r="P263" s="16" t="s">
        <v>394</v>
      </c>
      <c r="Q263" s="39"/>
      <c r="R263" s="34"/>
      <c r="S263" s="34"/>
      <c r="T263" s="34"/>
      <c r="U263" s="34" t="s">
        <v>94</v>
      </c>
      <c r="V263" s="34" t="s">
        <v>94</v>
      </c>
      <c r="W263" s="34" t="s">
        <v>35</v>
      </c>
      <c r="X263" s="34" t="s">
        <v>36</v>
      </c>
      <c r="Y263" s="34"/>
    </row>
    <row r="264" spans="2:25">
      <c r="B264" s="16" t="s">
        <v>47</v>
      </c>
      <c r="C264" s="46" t="s">
        <v>28</v>
      </c>
      <c r="D264" s="47">
        <v>44540</v>
      </c>
      <c r="F264" s="46"/>
      <c r="G264" s="39"/>
      <c r="H264" s="16"/>
      <c r="I264" s="16"/>
      <c r="J264" s="39"/>
      <c r="N264" s="39" t="s">
        <v>57</v>
      </c>
      <c r="O264" s="39">
        <v>1025222</v>
      </c>
      <c r="P264" s="16" t="s">
        <v>395</v>
      </c>
      <c r="Q264" s="39"/>
      <c r="R264" s="34"/>
      <c r="S264" s="34"/>
      <c r="T264" s="34"/>
      <c r="U264" s="34" t="s">
        <v>94</v>
      </c>
      <c r="V264" s="34" t="s">
        <v>94</v>
      </c>
      <c r="W264" s="34" t="s">
        <v>35</v>
      </c>
      <c r="X264" s="34" t="s">
        <v>36</v>
      </c>
      <c r="Y264" s="34"/>
    </row>
    <row r="265" spans="2:25">
      <c r="B265" s="16" t="s">
        <v>47</v>
      </c>
      <c r="C265" s="46" t="s">
        <v>28</v>
      </c>
      <c r="D265" s="47">
        <v>44547</v>
      </c>
      <c r="F265" s="46"/>
      <c r="G265" s="39"/>
      <c r="H265" s="16"/>
      <c r="I265" s="16"/>
      <c r="J265" s="39"/>
      <c r="N265" s="39" t="s">
        <v>285</v>
      </c>
      <c r="O265" s="39">
        <v>2348601</v>
      </c>
      <c r="P265" s="16" t="s">
        <v>396</v>
      </c>
      <c r="Q265" s="39"/>
      <c r="R265" s="34"/>
      <c r="S265" s="34"/>
      <c r="T265" s="34"/>
      <c r="U265" s="34" t="s">
        <v>94</v>
      </c>
      <c r="V265" s="34" t="s">
        <v>94</v>
      </c>
      <c r="W265" s="34" t="s">
        <v>35</v>
      </c>
      <c r="X265" s="34" t="s">
        <v>36</v>
      </c>
      <c r="Y265" s="34"/>
    </row>
    <row r="266" spans="2:25">
      <c r="B266" s="16" t="s">
        <v>47</v>
      </c>
      <c r="C266" s="46" t="s">
        <v>28</v>
      </c>
      <c r="D266" s="47">
        <v>44547</v>
      </c>
      <c r="F266" s="46"/>
      <c r="G266" s="39"/>
      <c r="H266" s="16"/>
      <c r="I266" s="16"/>
      <c r="J266" s="39"/>
      <c r="N266" s="39" t="s">
        <v>329</v>
      </c>
      <c r="O266" s="39">
        <v>2344103</v>
      </c>
      <c r="P266" s="16" t="s">
        <v>397</v>
      </c>
      <c r="Q266" s="39"/>
      <c r="R266" s="34"/>
      <c r="S266" s="34"/>
      <c r="T266" s="34"/>
      <c r="U266" s="34" t="s">
        <v>94</v>
      </c>
      <c r="V266" s="34" t="s">
        <v>94</v>
      </c>
      <c r="W266" s="34" t="s">
        <v>35</v>
      </c>
      <c r="X266" s="34" t="s">
        <v>36</v>
      </c>
      <c r="Y266" s="34"/>
    </row>
    <row r="267" spans="2:25">
      <c r="B267" s="16" t="s">
        <v>47</v>
      </c>
      <c r="C267" s="46" t="s">
        <v>28</v>
      </c>
      <c r="D267" s="47">
        <v>44547</v>
      </c>
      <c r="F267" s="46"/>
      <c r="G267" s="39"/>
      <c r="H267" s="16"/>
      <c r="I267" s="16"/>
      <c r="J267" s="39"/>
      <c r="N267" s="39" t="s">
        <v>329</v>
      </c>
      <c r="O267" s="39">
        <v>2342903</v>
      </c>
      <c r="P267" s="16" t="s">
        <v>398</v>
      </c>
      <c r="Q267" s="39"/>
      <c r="R267" s="34"/>
      <c r="S267" s="34"/>
      <c r="T267" s="34"/>
      <c r="U267" s="34" t="s">
        <v>94</v>
      </c>
      <c r="V267" s="34" t="s">
        <v>94</v>
      </c>
      <c r="W267" s="34" t="s">
        <v>35</v>
      </c>
      <c r="X267" s="34" t="s">
        <v>36</v>
      </c>
      <c r="Y267" s="34"/>
    </row>
    <row r="268" spans="2:25">
      <c r="B268" s="16" t="s">
        <v>47</v>
      </c>
      <c r="C268" s="46" t="s">
        <v>28</v>
      </c>
      <c r="D268" s="47">
        <v>44547</v>
      </c>
      <c r="F268" s="46"/>
      <c r="G268" s="39"/>
      <c r="H268" s="16"/>
      <c r="I268" s="16"/>
      <c r="J268" s="39"/>
      <c r="N268" s="39" t="s">
        <v>329</v>
      </c>
      <c r="O268" s="39">
        <v>2343301</v>
      </c>
      <c r="P268" s="16" t="s">
        <v>399</v>
      </c>
      <c r="Q268" s="39"/>
      <c r="R268" s="34"/>
      <c r="S268" s="34"/>
      <c r="T268" s="34"/>
      <c r="U268" s="34" t="s">
        <v>94</v>
      </c>
      <c r="V268" s="34" t="s">
        <v>94</v>
      </c>
      <c r="W268" s="34" t="s">
        <v>35</v>
      </c>
      <c r="X268" s="34" t="s">
        <v>36</v>
      </c>
      <c r="Y268" s="34"/>
    </row>
    <row r="269" spans="2:25">
      <c r="B269" s="16" t="s">
        <v>74</v>
      </c>
      <c r="C269" s="46" t="s">
        <v>28</v>
      </c>
      <c r="D269" s="47">
        <v>44547</v>
      </c>
      <c r="F269" s="22" t="s">
        <v>151</v>
      </c>
      <c r="G269" s="22">
        <v>1676003</v>
      </c>
      <c r="H269" s="146" t="s">
        <v>351</v>
      </c>
      <c r="I269" s="16"/>
      <c r="J269" s="39"/>
      <c r="N269" s="46"/>
      <c r="O269" s="39"/>
      <c r="P269" s="16"/>
      <c r="Q269" s="39"/>
      <c r="R269" s="34"/>
      <c r="S269" s="34"/>
      <c r="T269" s="34"/>
      <c r="U269" s="34"/>
      <c r="V269" s="34"/>
      <c r="W269" s="34"/>
      <c r="X269" s="34"/>
      <c r="Y269" s="34"/>
    </row>
    <row r="270" spans="2:25">
      <c r="B270" s="16" t="s">
        <v>47</v>
      </c>
      <c r="C270" s="46" t="s">
        <v>28</v>
      </c>
      <c r="D270" s="47">
        <v>44575</v>
      </c>
      <c r="F270" s="22"/>
      <c r="G270" s="22"/>
      <c r="H270" s="146"/>
      <c r="I270" s="16"/>
      <c r="J270" s="39"/>
      <c r="N270" s="39" t="s">
        <v>185</v>
      </c>
      <c r="O270" s="148">
        <v>2351901</v>
      </c>
      <c r="P270" s="16" t="s">
        <v>400</v>
      </c>
      <c r="Q270" s="39"/>
      <c r="R270" s="34"/>
      <c r="S270" s="34"/>
      <c r="T270" s="34"/>
      <c r="U270" s="34" t="s">
        <v>94</v>
      </c>
      <c r="V270" s="34" t="s">
        <v>94</v>
      </c>
      <c r="W270" s="34" t="s">
        <v>35</v>
      </c>
      <c r="X270" s="34" t="s">
        <v>36</v>
      </c>
      <c r="Y270" s="34"/>
    </row>
    <row r="271" spans="2:25">
      <c r="B271" s="16" t="s">
        <v>47</v>
      </c>
      <c r="C271" s="46" t="s">
        <v>28</v>
      </c>
      <c r="D271" s="47">
        <v>44575</v>
      </c>
      <c r="F271" s="22"/>
      <c r="G271" s="22"/>
      <c r="H271" s="146"/>
      <c r="I271" s="16"/>
      <c r="J271" s="39"/>
      <c r="N271" s="39" t="s">
        <v>401</v>
      </c>
      <c r="O271" s="39">
        <v>2355201</v>
      </c>
      <c r="P271" s="16" t="s">
        <v>402</v>
      </c>
      <c r="Q271" s="39"/>
      <c r="R271" s="34"/>
      <c r="S271" s="34"/>
      <c r="T271" s="34"/>
      <c r="U271" s="34" t="s">
        <v>94</v>
      </c>
      <c r="V271" s="34" t="s">
        <v>92</v>
      </c>
      <c r="W271" s="34" t="s">
        <v>35</v>
      </c>
      <c r="X271" s="34" t="s">
        <v>36</v>
      </c>
      <c r="Y271" s="34"/>
    </row>
    <row r="272" spans="2:25">
      <c r="B272" s="16" t="s">
        <v>47</v>
      </c>
      <c r="C272" s="46" t="s">
        <v>28</v>
      </c>
      <c r="D272" s="47">
        <v>44575</v>
      </c>
      <c r="F272" s="46"/>
      <c r="G272" s="39"/>
      <c r="H272" s="16"/>
      <c r="I272" s="16"/>
      <c r="J272" s="39"/>
      <c r="N272" s="39" t="s">
        <v>112</v>
      </c>
      <c r="O272" s="39">
        <v>1025806</v>
      </c>
      <c r="P272" s="16" t="s">
        <v>403</v>
      </c>
      <c r="Q272" s="39"/>
      <c r="R272" s="34"/>
      <c r="S272" s="34" t="s">
        <v>389</v>
      </c>
      <c r="T272" s="34"/>
      <c r="U272" s="34" t="s">
        <v>94</v>
      </c>
      <c r="V272" s="34" t="s">
        <v>94</v>
      </c>
      <c r="W272" s="34" t="s">
        <v>35</v>
      </c>
      <c r="X272" s="34" t="s">
        <v>36</v>
      </c>
      <c r="Y272" s="34"/>
    </row>
    <row r="273" spans="2:25">
      <c r="B273" s="16" t="s">
        <v>27</v>
      </c>
      <c r="C273" s="46" t="s">
        <v>28</v>
      </c>
      <c r="D273" s="47">
        <v>44575</v>
      </c>
      <c r="F273" s="39" t="s">
        <v>48</v>
      </c>
      <c r="G273" s="39">
        <v>1834601</v>
      </c>
      <c r="H273" s="16" t="s">
        <v>404</v>
      </c>
      <c r="I273" s="34" t="s">
        <v>389</v>
      </c>
      <c r="J273" s="39"/>
      <c r="N273" s="39" t="s">
        <v>48</v>
      </c>
      <c r="O273" s="39">
        <v>400405</v>
      </c>
      <c r="P273" s="16" t="s">
        <v>405</v>
      </c>
      <c r="Q273" s="39"/>
      <c r="R273" s="34"/>
      <c r="S273" s="34" t="s">
        <v>389</v>
      </c>
      <c r="T273" s="34"/>
      <c r="U273" s="34" t="s">
        <v>94</v>
      </c>
      <c r="V273" s="34" t="s">
        <v>94</v>
      </c>
      <c r="W273" s="34" t="s">
        <v>35</v>
      </c>
      <c r="X273" s="34" t="s">
        <v>36</v>
      </c>
      <c r="Y273" s="34"/>
    </row>
    <row r="274" spans="2:25">
      <c r="B274" s="16" t="s">
        <v>27</v>
      </c>
      <c r="C274" s="46" t="s">
        <v>28</v>
      </c>
      <c r="D274" s="47">
        <v>44575</v>
      </c>
      <c r="F274" s="39" t="s">
        <v>48</v>
      </c>
      <c r="G274" s="39">
        <v>159604</v>
      </c>
      <c r="H274" s="16" t="s">
        <v>406</v>
      </c>
      <c r="I274" s="34" t="s">
        <v>389</v>
      </c>
      <c r="J274" s="39"/>
      <c r="N274" s="39" t="s">
        <v>48</v>
      </c>
      <c r="O274" s="39">
        <v>592137</v>
      </c>
      <c r="P274" s="16" t="s">
        <v>407</v>
      </c>
      <c r="Q274" s="39"/>
      <c r="R274" s="34"/>
      <c r="S274" s="34" t="s">
        <v>389</v>
      </c>
      <c r="T274" s="34"/>
      <c r="U274" s="34" t="s">
        <v>94</v>
      </c>
      <c r="V274" s="34" t="s">
        <v>94</v>
      </c>
      <c r="W274" s="34" t="s">
        <v>35</v>
      </c>
      <c r="X274" s="34" t="s">
        <v>36</v>
      </c>
      <c r="Y274" s="34"/>
    </row>
    <row r="275" spans="2:25">
      <c r="B275" s="16" t="s">
        <v>27</v>
      </c>
      <c r="C275" s="46" t="s">
        <v>28</v>
      </c>
      <c r="D275" s="47">
        <v>44575</v>
      </c>
      <c r="F275" s="39" t="s">
        <v>48</v>
      </c>
      <c r="G275" s="39">
        <v>1834501</v>
      </c>
      <c r="H275" s="16" t="s">
        <v>408</v>
      </c>
      <c r="I275" s="34" t="s">
        <v>389</v>
      </c>
      <c r="J275" s="39"/>
      <c r="N275" s="39" t="s">
        <v>48</v>
      </c>
      <c r="O275" s="39">
        <v>1785802</v>
      </c>
      <c r="P275" s="16" t="s">
        <v>409</v>
      </c>
      <c r="Q275" s="39"/>
      <c r="R275" s="34"/>
      <c r="S275" s="34" t="s">
        <v>389</v>
      </c>
      <c r="T275" s="34"/>
      <c r="U275" s="34" t="s">
        <v>94</v>
      </c>
      <c r="V275" s="34" t="s">
        <v>94</v>
      </c>
      <c r="W275" s="34" t="s">
        <v>35</v>
      </c>
      <c r="X275" s="34" t="s">
        <v>36</v>
      </c>
      <c r="Y275" s="34"/>
    </row>
    <row r="276" spans="2:25">
      <c r="B276" s="16" t="s">
        <v>27</v>
      </c>
      <c r="C276" s="46" t="s">
        <v>28</v>
      </c>
      <c r="D276" s="47">
        <v>44575</v>
      </c>
      <c r="F276" s="39" t="s">
        <v>112</v>
      </c>
      <c r="G276" s="39">
        <v>1848201</v>
      </c>
      <c r="H276" s="16" t="s">
        <v>410</v>
      </c>
      <c r="I276" s="34" t="s">
        <v>389</v>
      </c>
      <c r="J276" s="39"/>
      <c r="N276" s="39" t="s">
        <v>112</v>
      </c>
      <c r="O276" s="39">
        <v>592236</v>
      </c>
      <c r="P276" s="16" t="s">
        <v>411</v>
      </c>
      <c r="Q276" s="39"/>
      <c r="R276" s="34"/>
      <c r="S276" s="34" t="s">
        <v>389</v>
      </c>
      <c r="T276" s="34"/>
      <c r="U276" s="34" t="s">
        <v>94</v>
      </c>
      <c r="V276" s="34" t="s">
        <v>94</v>
      </c>
      <c r="W276" s="34" t="s">
        <v>35</v>
      </c>
      <c r="X276" s="34" t="s">
        <v>36</v>
      </c>
      <c r="Y276" s="34" t="s">
        <v>412</v>
      </c>
    </row>
    <row r="277" spans="2:25">
      <c r="B277" s="16" t="s">
        <v>27</v>
      </c>
      <c r="C277" s="46" t="s">
        <v>28</v>
      </c>
      <c r="D277" s="47">
        <v>44575</v>
      </c>
      <c r="F277" s="39" t="s">
        <v>86</v>
      </c>
      <c r="G277" s="39">
        <v>359201</v>
      </c>
      <c r="H277" s="16" t="s">
        <v>413</v>
      </c>
      <c r="I277" s="34" t="s">
        <v>389</v>
      </c>
      <c r="J277" s="39"/>
      <c r="N277" s="39" t="s">
        <v>86</v>
      </c>
      <c r="O277" s="39">
        <v>1007502</v>
      </c>
      <c r="P277" s="16" t="s">
        <v>414</v>
      </c>
      <c r="Q277" s="39"/>
      <c r="R277" s="34"/>
      <c r="S277" s="34" t="s">
        <v>389</v>
      </c>
      <c r="T277" s="34"/>
      <c r="U277" s="34" t="s">
        <v>94</v>
      </c>
      <c r="V277" s="34" t="s">
        <v>94</v>
      </c>
      <c r="W277" s="34" t="s">
        <v>35</v>
      </c>
      <c r="X277" s="34" t="s">
        <v>36</v>
      </c>
      <c r="Y277" s="34"/>
    </row>
    <row r="278" spans="2:25">
      <c r="B278" s="16" t="s">
        <v>27</v>
      </c>
      <c r="C278" s="46" t="s">
        <v>28</v>
      </c>
      <c r="D278" s="47">
        <v>44575</v>
      </c>
      <c r="F278" s="39" t="s">
        <v>57</v>
      </c>
      <c r="G278" s="39">
        <v>373101</v>
      </c>
      <c r="H278" s="16" t="s">
        <v>415</v>
      </c>
      <c r="I278" s="34" t="s">
        <v>389</v>
      </c>
      <c r="J278" s="39"/>
      <c r="N278" s="39" t="s">
        <v>57</v>
      </c>
      <c r="O278" s="39">
        <v>592333</v>
      </c>
      <c r="P278" s="16" t="s">
        <v>416</v>
      </c>
      <c r="Q278" s="39"/>
      <c r="R278" s="34"/>
      <c r="S278" s="34" t="s">
        <v>389</v>
      </c>
      <c r="T278" s="34"/>
      <c r="U278" s="34" t="s">
        <v>94</v>
      </c>
      <c r="V278" s="34" t="s">
        <v>94</v>
      </c>
      <c r="W278" s="34" t="s">
        <v>35</v>
      </c>
      <c r="X278" s="34" t="s">
        <v>36</v>
      </c>
      <c r="Y278" s="34"/>
    </row>
    <row r="279" spans="2:25">
      <c r="B279" s="16" t="s">
        <v>27</v>
      </c>
      <c r="C279" s="46" t="s">
        <v>28</v>
      </c>
      <c r="D279" s="47">
        <v>44575</v>
      </c>
      <c r="F279" s="39" t="s">
        <v>57</v>
      </c>
      <c r="G279" s="39">
        <v>372701</v>
      </c>
      <c r="H279" s="16" t="s">
        <v>417</v>
      </c>
      <c r="I279" s="34" t="s">
        <v>389</v>
      </c>
      <c r="J279" s="39"/>
      <c r="N279" s="39" t="s">
        <v>57</v>
      </c>
      <c r="O279" s="39">
        <v>298128</v>
      </c>
      <c r="P279" s="16" t="s">
        <v>418</v>
      </c>
      <c r="Q279" s="39"/>
      <c r="R279" s="34"/>
      <c r="S279" s="34" t="s">
        <v>389</v>
      </c>
      <c r="T279" s="34"/>
      <c r="U279" s="34" t="s">
        <v>94</v>
      </c>
      <c r="V279" s="34" t="s">
        <v>94</v>
      </c>
      <c r="W279" s="34" t="s">
        <v>35</v>
      </c>
      <c r="X279" s="34" t="s">
        <v>36</v>
      </c>
      <c r="Y279" s="34"/>
    </row>
    <row r="280" spans="2:25">
      <c r="B280" s="16" t="s">
        <v>27</v>
      </c>
      <c r="C280" s="46" t="s">
        <v>28</v>
      </c>
      <c r="D280" s="47">
        <v>44575</v>
      </c>
      <c r="F280" s="39" t="s">
        <v>57</v>
      </c>
      <c r="G280" s="39">
        <v>519609</v>
      </c>
      <c r="H280" s="16" t="s">
        <v>419</v>
      </c>
      <c r="I280" s="34" t="s">
        <v>389</v>
      </c>
      <c r="J280" s="39"/>
      <c r="N280" s="39" t="s">
        <v>57</v>
      </c>
      <c r="O280" s="39">
        <v>592058</v>
      </c>
      <c r="P280" s="16" t="s">
        <v>420</v>
      </c>
      <c r="Q280" s="39"/>
      <c r="R280" s="34"/>
      <c r="S280" s="34" t="s">
        <v>389</v>
      </c>
      <c r="T280" s="34"/>
      <c r="U280" s="34" t="s">
        <v>94</v>
      </c>
      <c r="V280" s="34" t="s">
        <v>94</v>
      </c>
      <c r="W280" s="34" t="s">
        <v>35</v>
      </c>
      <c r="X280" s="34" t="s">
        <v>36</v>
      </c>
      <c r="Y280" s="34"/>
    </row>
    <row r="281" spans="2:25">
      <c r="B281" s="16" t="s">
        <v>27</v>
      </c>
      <c r="C281" s="46" t="s">
        <v>28</v>
      </c>
      <c r="D281" s="47">
        <v>44575</v>
      </c>
      <c r="F281" s="39" t="s">
        <v>112</v>
      </c>
      <c r="G281" s="39">
        <v>1843202</v>
      </c>
      <c r="H281" s="16" t="s">
        <v>421</v>
      </c>
      <c r="I281" s="34" t="s">
        <v>121</v>
      </c>
      <c r="J281" s="39"/>
      <c r="N281" s="39" t="s">
        <v>112</v>
      </c>
      <c r="O281" s="39">
        <v>68002</v>
      </c>
      <c r="P281" s="16" t="s">
        <v>422</v>
      </c>
      <c r="Q281" s="39"/>
      <c r="R281" s="34"/>
      <c r="S281" s="34" t="s">
        <v>121</v>
      </c>
      <c r="T281" s="34"/>
      <c r="U281" s="34" t="s">
        <v>94</v>
      </c>
      <c r="V281" s="34" t="s">
        <v>94</v>
      </c>
      <c r="W281" s="34" t="s">
        <v>35</v>
      </c>
      <c r="X281" s="34" t="s">
        <v>36</v>
      </c>
      <c r="Y281" s="34" t="s">
        <v>412</v>
      </c>
    </row>
    <row r="282" spans="2:25">
      <c r="B282" s="16" t="s">
        <v>27</v>
      </c>
      <c r="C282" s="46" t="s">
        <v>28</v>
      </c>
      <c r="D282" s="47">
        <v>44575</v>
      </c>
      <c r="F282" s="39" t="s">
        <v>48</v>
      </c>
      <c r="G282" s="39">
        <v>1289503</v>
      </c>
      <c r="H282" s="16" t="s">
        <v>423</v>
      </c>
      <c r="I282" s="34" t="s">
        <v>389</v>
      </c>
      <c r="J282" s="39"/>
      <c r="N282" s="39" t="s">
        <v>48</v>
      </c>
      <c r="O282" s="39">
        <v>620412</v>
      </c>
      <c r="P282" s="16" t="s">
        <v>424</v>
      </c>
      <c r="Q282" s="39"/>
      <c r="R282" s="34"/>
      <c r="S282" s="34" t="s">
        <v>389</v>
      </c>
      <c r="T282" s="34"/>
      <c r="U282" s="34" t="s">
        <v>94</v>
      </c>
      <c r="V282" s="34" t="s">
        <v>94</v>
      </c>
      <c r="W282" s="34" t="s">
        <v>35</v>
      </c>
      <c r="X282" s="34" t="s">
        <v>36</v>
      </c>
      <c r="Y282" s="34"/>
    </row>
    <row r="283" spans="2:25">
      <c r="B283" s="16" t="s">
        <v>27</v>
      </c>
      <c r="C283" s="46" t="s">
        <v>28</v>
      </c>
      <c r="D283" s="47">
        <v>44575</v>
      </c>
      <c r="F283" s="39" t="s">
        <v>57</v>
      </c>
      <c r="G283" s="39">
        <v>1184804</v>
      </c>
      <c r="H283" s="16" t="s">
        <v>425</v>
      </c>
      <c r="I283" s="34" t="s">
        <v>389</v>
      </c>
      <c r="J283" s="39"/>
      <c r="N283" s="39" t="s">
        <v>57</v>
      </c>
      <c r="O283" s="39">
        <v>270712</v>
      </c>
      <c r="P283" s="16" t="s">
        <v>426</v>
      </c>
      <c r="Q283" s="39"/>
      <c r="R283" s="34"/>
      <c r="S283" s="34" t="s">
        <v>389</v>
      </c>
      <c r="T283" s="34"/>
      <c r="U283" s="34" t="s">
        <v>94</v>
      </c>
      <c r="V283" s="34" t="s">
        <v>94</v>
      </c>
      <c r="W283" s="34" t="s">
        <v>35</v>
      </c>
      <c r="X283" s="34" t="s">
        <v>36</v>
      </c>
      <c r="Y283" s="34"/>
    </row>
    <row r="284" spans="2:25">
      <c r="B284" s="16" t="s">
        <v>27</v>
      </c>
      <c r="C284" s="46" t="s">
        <v>28</v>
      </c>
      <c r="D284" s="47">
        <v>44575</v>
      </c>
      <c r="F284" s="39" t="s">
        <v>57</v>
      </c>
      <c r="G284" s="39">
        <v>514817</v>
      </c>
      <c r="H284" s="16" t="s">
        <v>427</v>
      </c>
      <c r="I284" s="34" t="s">
        <v>389</v>
      </c>
      <c r="J284" s="39"/>
      <c r="N284" s="39" t="s">
        <v>57</v>
      </c>
      <c r="O284" s="39">
        <v>240012</v>
      </c>
      <c r="P284" s="16" t="s">
        <v>428</v>
      </c>
      <c r="Q284" s="39"/>
      <c r="R284" s="34"/>
      <c r="S284" s="34" t="s">
        <v>389</v>
      </c>
      <c r="T284" s="34"/>
      <c r="U284" s="34" t="s">
        <v>94</v>
      </c>
      <c r="V284" s="34" t="s">
        <v>94</v>
      </c>
      <c r="W284" s="34" t="s">
        <v>35</v>
      </c>
      <c r="X284" s="34" t="s">
        <v>36</v>
      </c>
      <c r="Y284" s="34"/>
    </row>
    <row r="285" spans="2:25">
      <c r="B285" s="16" t="s">
        <v>27</v>
      </c>
      <c r="C285" s="46" t="s">
        <v>28</v>
      </c>
      <c r="D285" s="47">
        <v>44575</v>
      </c>
      <c r="F285" s="39" t="s">
        <v>112</v>
      </c>
      <c r="G285" s="39">
        <v>1854701</v>
      </c>
      <c r="H285" s="16" t="s">
        <v>429</v>
      </c>
      <c r="I285" s="34" t="s">
        <v>389</v>
      </c>
      <c r="J285" s="39"/>
      <c r="N285" s="39" t="s">
        <v>112</v>
      </c>
      <c r="O285" s="39">
        <v>620612</v>
      </c>
      <c r="P285" s="16" t="s">
        <v>430</v>
      </c>
      <c r="Q285" s="39"/>
      <c r="R285" s="34"/>
      <c r="S285" s="34" t="s">
        <v>389</v>
      </c>
      <c r="T285" s="34"/>
      <c r="U285" s="34" t="s">
        <v>94</v>
      </c>
      <c r="V285" s="34" t="s">
        <v>94</v>
      </c>
      <c r="W285" s="34" t="s">
        <v>35</v>
      </c>
      <c r="X285" s="34" t="s">
        <v>36</v>
      </c>
      <c r="Y285" s="34" t="s">
        <v>412</v>
      </c>
    </row>
    <row r="286" spans="2:25">
      <c r="B286" s="16" t="s">
        <v>27</v>
      </c>
      <c r="C286" s="46" t="s">
        <v>28</v>
      </c>
      <c r="D286" s="47">
        <v>44575</v>
      </c>
      <c r="F286" s="39" t="s">
        <v>57</v>
      </c>
      <c r="G286" s="39">
        <v>1184909</v>
      </c>
      <c r="H286" s="16" t="s">
        <v>431</v>
      </c>
      <c r="I286" s="34" t="s">
        <v>389</v>
      </c>
      <c r="J286" s="39"/>
      <c r="N286" s="39" t="s">
        <v>57</v>
      </c>
      <c r="O286" s="39">
        <v>611801</v>
      </c>
      <c r="P286" s="16" t="s">
        <v>432</v>
      </c>
      <c r="Q286" s="39"/>
      <c r="R286" s="34"/>
      <c r="S286" s="34" t="s">
        <v>389</v>
      </c>
      <c r="T286" s="34"/>
      <c r="U286" s="34" t="s">
        <v>94</v>
      </c>
      <c r="V286" s="34" t="s">
        <v>94</v>
      </c>
      <c r="W286" s="34" t="s">
        <v>35</v>
      </c>
      <c r="X286" s="34" t="s">
        <v>36</v>
      </c>
      <c r="Y286" s="34"/>
    </row>
    <row r="287" spans="2:25">
      <c r="B287" s="92" t="s">
        <v>74</v>
      </c>
      <c r="C287" s="90" t="s">
        <v>28</v>
      </c>
      <c r="D287" s="161">
        <v>44575</v>
      </c>
      <c r="E287" s="89"/>
      <c r="F287" s="91" t="s">
        <v>338</v>
      </c>
      <c r="G287" s="26">
        <v>2243501</v>
      </c>
      <c r="H287" s="352" t="s">
        <v>292</v>
      </c>
      <c r="I287" s="16"/>
      <c r="J287" s="39"/>
      <c r="N287" s="46"/>
      <c r="O287" s="39"/>
      <c r="P287" s="16"/>
      <c r="Q287" s="39"/>
      <c r="R287" s="34"/>
      <c r="S287" s="34"/>
      <c r="T287" s="34"/>
      <c r="U287" s="34"/>
      <c r="V287" s="34"/>
      <c r="W287" s="34"/>
      <c r="X287" s="34"/>
      <c r="Y287" s="34"/>
    </row>
    <row r="288" spans="2:25">
      <c r="B288" s="16" t="s">
        <v>47</v>
      </c>
      <c r="C288" s="46" t="s">
        <v>28</v>
      </c>
      <c r="D288" s="47">
        <v>44575</v>
      </c>
      <c r="F288" s="46"/>
      <c r="G288" s="39"/>
      <c r="H288" s="16"/>
      <c r="I288" s="16"/>
      <c r="J288" s="39"/>
      <c r="N288" s="39" t="s">
        <v>285</v>
      </c>
      <c r="O288" s="39">
        <v>2355001</v>
      </c>
      <c r="P288" s="16" t="s">
        <v>433</v>
      </c>
      <c r="Q288" s="39"/>
      <c r="R288" s="34"/>
      <c r="S288" s="34"/>
      <c r="T288" s="34"/>
      <c r="U288" s="34" t="s">
        <v>94</v>
      </c>
      <c r="V288" s="34" t="s">
        <v>94</v>
      </c>
      <c r="W288" s="34" t="s">
        <v>35</v>
      </c>
      <c r="X288" s="34" t="s">
        <v>36</v>
      </c>
      <c r="Y288" s="34"/>
    </row>
    <row r="289" spans="2:25">
      <c r="B289" s="16" t="s">
        <v>27</v>
      </c>
      <c r="C289" s="46" t="s">
        <v>28</v>
      </c>
      <c r="D289" s="47">
        <v>44582</v>
      </c>
      <c r="F289" s="39" t="s">
        <v>112</v>
      </c>
      <c r="G289" s="39">
        <v>1848102</v>
      </c>
      <c r="H289" s="16" t="s">
        <v>434</v>
      </c>
      <c r="I289" s="34" t="s">
        <v>121</v>
      </c>
      <c r="J289" s="39"/>
      <c r="N289" s="39" t="s">
        <v>112</v>
      </c>
      <c r="O289" s="39">
        <v>465712</v>
      </c>
      <c r="P289" s="16" t="s">
        <v>435</v>
      </c>
      <c r="Q289" s="39"/>
      <c r="R289" s="34"/>
      <c r="S289" s="34" t="s">
        <v>121</v>
      </c>
      <c r="T289" s="34"/>
      <c r="U289" s="34" t="s">
        <v>94</v>
      </c>
      <c r="V289" s="34" t="s">
        <v>94</v>
      </c>
      <c r="W289" s="34" t="s">
        <v>35</v>
      </c>
      <c r="X289" s="34" t="s">
        <v>36</v>
      </c>
      <c r="Y289" s="34" t="s">
        <v>412</v>
      </c>
    </row>
    <row r="290" spans="2:25">
      <c r="B290" s="16" t="s">
        <v>27</v>
      </c>
      <c r="C290" s="46" t="s">
        <v>28</v>
      </c>
      <c r="D290" s="47">
        <v>44582</v>
      </c>
      <c r="F290" s="39" t="s">
        <v>112</v>
      </c>
      <c r="G290" s="39">
        <v>1843401</v>
      </c>
      <c r="H290" s="16" t="s">
        <v>436</v>
      </c>
      <c r="I290" s="34" t="s">
        <v>121</v>
      </c>
      <c r="J290" s="39"/>
      <c r="N290" s="39" t="s">
        <v>112</v>
      </c>
      <c r="O290" s="39">
        <v>109102</v>
      </c>
      <c r="P290" s="16" t="s">
        <v>437</v>
      </c>
      <c r="Q290" s="39"/>
      <c r="R290" s="34"/>
      <c r="S290" s="34" t="s">
        <v>121</v>
      </c>
      <c r="T290" s="34"/>
      <c r="U290" s="34" t="s">
        <v>94</v>
      </c>
      <c r="V290" s="34" t="s">
        <v>94</v>
      </c>
      <c r="W290" s="34" t="s">
        <v>35</v>
      </c>
      <c r="X290" s="34" t="s">
        <v>36</v>
      </c>
      <c r="Y290" s="34" t="s">
        <v>412</v>
      </c>
    </row>
    <row r="291" spans="2:25">
      <c r="B291" s="16" t="s">
        <v>27</v>
      </c>
      <c r="C291" s="46" t="s">
        <v>28</v>
      </c>
      <c r="D291" s="47">
        <v>44582</v>
      </c>
      <c r="F291" s="39" t="s">
        <v>112</v>
      </c>
      <c r="G291" s="39">
        <v>1843302</v>
      </c>
      <c r="H291" s="16" t="s">
        <v>438</v>
      </c>
      <c r="I291" s="34" t="s">
        <v>121</v>
      </c>
      <c r="J291" s="39"/>
      <c r="N291" s="39" t="s">
        <v>112</v>
      </c>
      <c r="O291" s="39">
        <v>85805</v>
      </c>
      <c r="P291" s="16" t="s">
        <v>439</v>
      </c>
      <c r="Q291" s="39"/>
      <c r="R291" s="34"/>
      <c r="S291" s="34" t="s">
        <v>121</v>
      </c>
      <c r="T291" s="34"/>
      <c r="U291" s="34" t="s">
        <v>94</v>
      </c>
      <c r="V291" s="34" t="s">
        <v>94</v>
      </c>
      <c r="W291" s="34" t="s">
        <v>35</v>
      </c>
      <c r="X291" s="34" t="s">
        <v>36</v>
      </c>
      <c r="Y291" s="34" t="s">
        <v>412</v>
      </c>
    </row>
    <row r="292" spans="2:25">
      <c r="B292" s="16" t="s">
        <v>47</v>
      </c>
      <c r="C292" s="123" t="s">
        <v>293</v>
      </c>
      <c r="D292" s="47">
        <v>44589</v>
      </c>
      <c r="F292" s="46"/>
      <c r="G292" s="39"/>
      <c r="H292" s="16"/>
      <c r="I292" s="16"/>
      <c r="J292" s="39"/>
      <c r="N292" s="39" t="s">
        <v>64</v>
      </c>
      <c r="O292" s="39">
        <v>1682501</v>
      </c>
      <c r="P292" s="16" t="s">
        <v>440</v>
      </c>
      <c r="Q292" s="39"/>
      <c r="R292" s="34"/>
      <c r="S292" s="34" t="s">
        <v>121</v>
      </c>
      <c r="T292" s="34"/>
      <c r="U292" s="34" t="s">
        <v>94</v>
      </c>
      <c r="V292" s="34" t="s">
        <v>94</v>
      </c>
      <c r="W292" s="34" t="s">
        <v>35</v>
      </c>
      <c r="X292" s="34" t="s">
        <v>36</v>
      </c>
      <c r="Y292" s="34"/>
    </row>
    <row r="293" spans="2:25">
      <c r="B293" s="16" t="s">
        <v>47</v>
      </c>
      <c r="C293" s="46" t="s">
        <v>28</v>
      </c>
      <c r="D293" s="47">
        <v>44589</v>
      </c>
      <c r="F293" s="46"/>
      <c r="G293" s="39"/>
      <c r="H293" s="16"/>
      <c r="I293" s="16"/>
      <c r="J293" s="39"/>
      <c r="N293" s="39" t="s">
        <v>64</v>
      </c>
      <c r="O293" s="39">
        <v>2205303</v>
      </c>
      <c r="P293" s="16" t="s">
        <v>441</v>
      </c>
      <c r="Q293" s="39"/>
      <c r="R293" s="34"/>
      <c r="S293" s="34" t="s">
        <v>121</v>
      </c>
      <c r="T293" s="34"/>
      <c r="U293" s="34" t="s">
        <v>94</v>
      </c>
      <c r="V293" s="34" t="s">
        <v>94</v>
      </c>
      <c r="W293" s="34" t="s">
        <v>35</v>
      </c>
      <c r="X293" s="34" t="s">
        <v>36</v>
      </c>
      <c r="Y293" s="34"/>
    </row>
    <row r="294" spans="2:25">
      <c r="B294" s="16" t="s">
        <v>47</v>
      </c>
      <c r="C294" s="46" t="s">
        <v>28</v>
      </c>
      <c r="D294" s="47">
        <v>44596</v>
      </c>
      <c r="F294" s="46"/>
      <c r="G294" s="39"/>
      <c r="H294" s="16"/>
      <c r="I294" s="16"/>
      <c r="J294" s="39"/>
      <c r="N294" s="39" t="s">
        <v>57</v>
      </c>
      <c r="O294" s="39">
        <v>961432</v>
      </c>
      <c r="P294" s="16" t="s">
        <v>442</v>
      </c>
      <c r="Q294" s="39"/>
      <c r="R294" s="34"/>
      <c r="S294" s="34"/>
      <c r="T294" s="34"/>
      <c r="U294" s="34" t="s">
        <v>94</v>
      </c>
      <c r="V294" s="34" t="s">
        <v>94</v>
      </c>
      <c r="W294" s="34" t="s">
        <v>35</v>
      </c>
      <c r="X294" s="34" t="s">
        <v>36</v>
      </c>
      <c r="Y294" s="34"/>
    </row>
    <row r="295" spans="2:25">
      <c r="B295" s="16" t="s">
        <v>74</v>
      </c>
      <c r="C295" s="46" t="s">
        <v>28</v>
      </c>
      <c r="D295" s="47">
        <v>44596</v>
      </c>
      <c r="F295" s="39" t="s">
        <v>48</v>
      </c>
      <c r="G295" s="39">
        <v>421807</v>
      </c>
      <c r="H295" s="16" t="s">
        <v>253</v>
      </c>
      <c r="I295" s="16"/>
      <c r="J295" s="39"/>
      <c r="N295" s="46"/>
      <c r="O295" s="39"/>
      <c r="P295" s="16"/>
      <c r="Q295" s="39"/>
      <c r="R295" s="34"/>
      <c r="S295" s="34"/>
      <c r="T295" s="34"/>
      <c r="U295" s="34"/>
      <c r="V295" s="34"/>
      <c r="W295" s="34"/>
      <c r="X295" s="34"/>
      <c r="Y295" s="34"/>
    </row>
    <row r="296" spans="2:25">
      <c r="B296" s="16" t="s">
        <v>74</v>
      </c>
      <c r="C296" s="46" t="s">
        <v>28</v>
      </c>
      <c r="D296" s="47">
        <v>44596</v>
      </c>
      <c r="F296" s="39" t="s">
        <v>297</v>
      </c>
      <c r="G296" s="39">
        <v>1437702</v>
      </c>
      <c r="H296" s="16" t="s">
        <v>443</v>
      </c>
      <c r="I296" s="16"/>
      <c r="J296" s="39"/>
      <c r="N296" s="46"/>
      <c r="O296" s="39"/>
      <c r="P296" s="16"/>
      <c r="Q296" s="39"/>
      <c r="R296" s="34"/>
      <c r="S296" s="34"/>
      <c r="T296" s="34"/>
      <c r="U296" s="34"/>
      <c r="V296" s="34"/>
      <c r="W296" s="34"/>
      <c r="X296" s="34"/>
      <c r="Y296" s="34"/>
    </row>
    <row r="297" spans="2:25">
      <c r="B297" s="16" t="s">
        <v>47</v>
      </c>
      <c r="C297" s="46" t="s">
        <v>28</v>
      </c>
      <c r="D297" s="47">
        <v>44610</v>
      </c>
      <c r="F297" s="46"/>
      <c r="G297" s="39"/>
      <c r="H297" s="16"/>
      <c r="I297" s="16"/>
      <c r="J297" s="39"/>
      <c r="N297" s="39" t="s">
        <v>103</v>
      </c>
      <c r="O297" s="39">
        <v>2245401</v>
      </c>
      <c r="P297" s="16" t="s">
        <v>444</v>
      </c>
      <c r="Q297" s="39"/>
      <c r="R297" s="34"/>
      <c r="S297" s="34"/>
      <c r="T297" s="34"/>
      <c r="U297" s="34" t="s">
        <v>94</v>
      </c>
      <c r="V297" s="34" t="s">
        <v>94</v>
      </c>
      <c r="W297" s="34" t="s">
        <v>35</v>
      </c>
      <c r="X297" s="34" t="s">
        <v>36</v>
      </c>
      <c r="Y297" s="34"/>
    </row>
    <row r="298" spans="2:25">
      <c r="B298" s="16" t="s">
        <v>47</v>
      </c>
      <c r="C298" s="46" t="s">
        <v>28</v>
      </c>
      <c r="D298" s="47">
        <v>44610</v>
      </c>
      <c r="F298" s="46"/>
      <c r="G298" s="39"/>
      <c r="H298" s="16"/>
      <c r="I298" s="16"/>
      <c r="J298" s="39"/>
      <c r="N298" s="39" t="s">
        <v>103</v>
      </c>
      <c r="O298" s="39">
        <v>2245501</v>
      </c>
      <c r="P298" s="16" t="s">
        <v>445</v>
      </c>
      <c r="Q298" s="39"/>
      <c r="R298" s="34"/>
      <c r="S298" s="34"/>
      <c r="T298" s="34"/>
      <c r="U298" s="34" t="s">
        <v>94</v>
      </c>
      <c r="V298" s="34" t="s">
        <v>94</v>
      </c>
      <c r="W298" s="34" t="s">
        <v>35</v>
      </c>
      <c r="X298" s="34" t="s">
        <v>36</v>
      </c>
      <c r="Y298" s="34"/>
    </row>
    <row r="299" spans="2:25">
      <c r="B299" s="16" t="s">
        <v>27</v>
      </c>
      <c r="C299" s="46" t="s">
        <v>28</v>
      </c>
      <c r="D299" s="47">
        <v>44624</v>
      </c>
      <c r="F299" s="39" t="s">
        <v>310</v>
      </c>
      <c r="G299" s="144">
        <v>2241803</v>
      </c>
      <c r="H299" s="16" t="s">
        <v>313</v>
      </c>
      <c r="I299" s="34" t="s">
        <v>121</v>
      </c>
      <c r="J299" s="39"/>
      <c r="N299" s="39" t="s">
        <v>310</v>
      </c>
      <c r="O299" s="39">
        <v>2242402</v>
      </c>
      <c r="P299" s="16" t="s">
        <v>313</v>
      </c>
      <c r="Q299" s="39"/>
      <c r="R299" s="34"/>
      <c r="S299" s="34" t="s">
        <v>121</v>
      </c>
      <c r="T299" s="34"/>
      <c r="U299" s="34" t="s">
        <v>94</v>
      </c>
      <c r="V299" s="34" t="s">
        <v>94</v>
      </c>
      <c r="W299" s="34" t="s">
        <v>35</v>
      </c>
      <c r="X299" s="34" t="s">
        <v>36</v>
      </c>
      <c r="Y299" s="34" t="s">
        <v>446</v>
      </c>
    </row>
    <row r="300" spans="2:25">
      <c r="B300" s="16" t="s">
        <v>27</v>
      </c>
      <c r="C300" s="46" t="s">
        <v>28</v>
      </c>
      <c r="D300" s="47">
        <v>44624</v>
      </c>
      <c r="F300" s="39" t="s">
        <v>310</v>
      </c>
      <c r="G300" s="144">
        <v>2241703</v>
      </c>
      <c r="H300" s="16" t="s">
        <v>447</v>
      </c>
      <c r="I300" s="34" t="s">
        <v>121</v>
      </c>
      <c r="J300" s="39"/>
      <c r="N300" s="39" t="s">
        <v>310</v>
      </c>
      <c r="O300" s="39">
        <v>2242302</v>
      </c>
      <c r="P300" s="16" t="s">
        <v>447</v>
      </c>
      <c r="Q300" s="39"/>
      <c r="R300" s="34"/>
      <c r="S300" s="34" t="s">
        <v>121</v>
      </c>
      <c r="T300" s="34"/>
      <c r="U300" s="34" t="s">
        <v>94</v>
      </c>
      <c r="V300" s="34" t="s">
        <v>94</v>
      </c>
      <c r="W300" s="34" t="s">
        <v>35</v>
      </c>
      <c r="X300" s="34" t="s">
        <v>36</v>
      </c>
      <c r="Y300" s="34" t="s">
        <v>446</v>
      </c>
    </row>
    <row r="301" spans="2:25">
      <c r="B301" s="16" t="s">
        <v>27</v>
      </c>
      <c r="C301" s="46" t="s">
        <v>28</v>
      </c>
      <c r="D301" s="47">
        <v>44624</v>
      </c>
      <c r="F301" s="39" t="s">
        <v>310</v>
      </c>
      <c r="G301" s="144">
        <v>2187003</v>
      </c>
      <c r="H301" s="16" t="s">
        <v>312</v>
      </c>
      <c r="I301" s="34" t="s">
        <v>121</v>
      </c>
      <c r="J301" s="39"/>
      <c r="N301" s="39" t="s">
        <v>310</v>
      </c>
      <c r="O301" s="39">
        <v>2242803</v>
      </c>
      <c r="P301" s="16" t="s">
        <v>312</v>
      </c>
      <c r="Q301" s="39"/>
      <c r="R301" s="34"/>
      <c r="S301" s="34" t="s">
        <v>121</v>
      </c>
      <c r="T301" s="34"/>
      <c r="U301" s="34" t="s">
        <v>94</v>
      </c>
      <c r="V301" s="34" t="s">
        <v>94</v>
      </c>
      <c r="W301" s="34" t="s">
        <v>35</v>
      </c>
      <c r="X301" s="34" t="s">
        <v>36</v>
      </c>
      <c r="Y301" s="34" t="s">
        <v>446</v>
      </c>
    </row>
    <row r="302" spans="2:25">
      <c r="B302" s="16" t="s">
        <v>27</v>
      </c>
      <c r="C302" s="46" t="s">
        <v>28</v>
      </c>
      <c r="D302" s="47">
        <v>44624</v>
      </c>
      <c r="F302" s="39" t="s">
        <v>310</v>
      </c>
      <c r="G302" s="144">
        <v>2186903</v>
      </c>
      <c r="H302" s="16" t="s">
        <v>311</v>
      </c>
      <c r="I302" s="34" t="s">
        <v>121</v>
      </c>
      <c r="J302" s="39"/>
      <c r="N302" s="39" t="s">
        <v>310</v>
      </c>
      <c r="O302" s="39">
        <v>2242703</v>
      </c>
      <c r="P302" s="16" t="s">
        <v>311</v>
      </c>
      <c r="Q302" s="39"/>
      <c r="R302" s="34"/>
      <c r="S302" s="34" t="s">
        <v>121</v>
      </c>
      <c r="T302" s="34"/>
      <c r="U302" s="34" t="s">
        <v>94</v>
      </c>
      <c r="V302" s="34" t="s">
        <v>94</v>
      </c>
      <c r="W302" s="34" t="s">
        <v>35</v>
      </c>
      <c r="X302" s="34" t="s">
        <v>36</v>
      </c>
      <c r="Y302" s="34" t="s">
        <v>446</v>
      </c>
    </row>
    <row r="303" spans="2:25">
      <c r="B303" s="16" t="s">
        <v>27</v>
      </c>
      <c r="C303" s="46" t="s">
        <v>28</v>
      </c>
      <c r="D303" s="47">
        <v>44624</v>
      </c>
      <c r="F303" s="39" t="s">
        <v>310</v>
      </c>
      <c r="G303" s="144">
        <v>2186803</v>
      </c>
      <c r="H303" s="16" t="s">
        <v>314</v>
      </c>
      <c r="I303" s="34" t="s">
        <v>121</v>
      </c>
      <c r="J303" s="39"/>
      <c r="N303" s="39" t="s">
        <v>310</v>
      </c>
      <c r="O303" s="39">
        <v>2242603</v>
      </c>
      <c r="P303" s="16" t="s">
        <v>314</v>
      </c>
      <c r="Q303" s="39"/>
      <c r="R303" s="34"/>
      <c r="S303" s="34" t="s">
        <v>121</v>
      </c>
      <c r="T303" s="34"/>
      <c r="U303" s="34" t="s">
        <v>94</v>
      </c>
      <c r="V303" s="34" t="s">
        <v>94</v>
      </c>
      <c r="W303" s="34" t="s">
        <v>35</v>
      </c>
      <c r="X303" s="34" t="s">
        <v>36</v>
      </c>
      <c r="Y303" s="34" t="s">
        <v>446</v>
      </c>
    </row>
    <row r="304" spans="2:25">
      <c r="B304" s="16" t="s">
        <v>27</v>
      </c>
      <c r="C304" s="46" t="s">
        <v>28</v>
      </c>
      <c r="D304" s="47">
        <v>44624</v>
      </c>
      <c r="F304" s="39" t="s">
        <v>310</v>
      </c>
      <c r="G304" s="39">
        <v>2187103</v>
      </c>
      <c r="H304" s="16" t="s">
        <v>448</v>
      </c>
      <c r="I304" s="34" t="s">
        <v>121</v>
      </c>
      <c r="J304" s="39"/>
      <c r="N304" s="39" t="s">
        <v>310</v>
      </c>
      <c r="O304" s="39">
        <v>2242503</v>
      </c>
      <c r="P304" s="16" t="s">
        <v>448</v>
      </c>
      <c r="Q304" s="39"/>
      <c r="R304" s="34"/>
      <c r="S304" s="34" t="s">
        <v>121</v>
      </c>
      <c r="T304" s="34"/>
      <c r="U304" s="34" t="s">
        <v>94</v>
      </c>
      <c r="V304" s="34" t="s">
        <v>94</v>
      </c>
      <c r="W304" s="34" t="s">
        <v>35</v>
      </c>
      <c r="X304" s="34" t="s">
        <v>36</v>
      </c>
      <c r="Y304" s="34" t="s">
        <v>446</v>
      </c>
    </row>
    <row r="305" spans="2:25">
      <c r="B305" s="16" t="s">
        <v>47</v>
      </c>
      <c r="C305" s="46" t="s">
        <v>28</v>
      </c>
      <c r="D305" s="47">
        <v>44631</v>
      </c>
      <c r="F305" s="46"/>
      <c r="G305" s="39"/>
      <c r="H305" s="16"/>
      <c r="I305" s="16"/>
      <c r="J305" s="39"/>
      <c r="N305" s="39" t="s">
        <v>449</v>
      </c>
      <c r="O305" s="39">
        <v>2383101</v>
      </c>
      <c r="P305" s="16" t="s">
        <v>450</v>
      </c>
      <c r="Q305" s="39"/>
      <c r="R305" s="34"/>
      <c r="S305" s="34"/>
      <c r="T305" s="34"/>
      <c r="U305" s="34" t="s">
        <v>94</v>
      </c>
      <c r="V305" s="34" t="s">
        <v>94</v>
      </c>
      <c r="W305" s="34" t="s">
        <v>35</v>
      </c>
      <c r="X305" s="34" t="s">
        <v>36</v>
      </c>
      <c r="Y305" s="34"/>
    </row>
    <row r="306" spans="2:25">
      <c r="B306" s="16" t="s">
        <v>27</v>
      </c>
      <c r="C306" s="46" t="s">
        <v>28</v>
      </c>
      <c r="D306" s="47">
        <v>44631</v>
      </c>
      <c r="F306" s="39" t="s">
        <v>64</v>
      </c>
      <c r="G306" s="39">
        <v>1682501</v>
      </c>
      <c r="H306" s="16" t="s">
        <v>440</v>
      </c>
      <c r="I306" s="34" t="s">
        <v>121</v>
      </c>
      <c r="J306" s="39"/>
      <c r="N306" s="39" t="s">
        <v>64</v>
      </c>
      <c r="O306" s="152">
        <v>1950417</v>
      </c>
      <c r="P306" s="16" t="s">
        <v>451</v>
      </c>
      <c r="Q306" s="39"/>
      <c r="R306" s="34"/>
      <c r="S306" s="34" t="s">
        <v>121</v>
      </c>
      <c r="T306" s="34"/>
      <c r="U306" s="34" t="s">
        <v>94</v>
      </c>
      <c r="V306" s="34" t="s">
        <v>94</v>
      </c>
      <c r="W306" s="34" t="s">
        <v>35</v>
      </c>
      <c r="X306" s="34" t="s">
        <v>36</v>
      </c>
      <c r="Y306" s="34" t="s">
        <v>452</v>
      </c>
    </row>
    <row r="307" spans="2:25">
      <c r="B307" s="16" t="s">
        <v>74</v>
      </c>
      <c r="C307" s="46" t="s">
        <v>28</v>
      </c>
      <c r="D307" s="47">
        <v>44631</v>
      </c>
      <c r="F307" s="39" t="s">
        <v>64</v>
      </c>
      <c r="G307" s="39">
        <v>1566605</v>
      </c>
      <c r="H307" s="16" t="s">
        <v>453</v>
      </c>
      <c r="I307" s="16"/>
      <c r="J307" s="39"/>
      <c r="N307" s="46"/>
      <c r="O307" s="39"/>
      <c r="P307" s="16"/>
      <c r="Q307" s="39"/>
      <c r="R307" s="34"/>
      <c r="S307" s="34"/>
      <c r="T307" s="34"/>
      <c r="U307" s="34"/>
      <c r="V307" s="34"/>
      <c r="W307" s="34"/>
      <c r="X307" s="34"/>
      <c r="Y307" s="34"/>
    </row>
    <row r="308" spans="2:25">
      <c r="B308" s="16" t="s">
        <v>74</v>
      </c>
      <c r="C308" s="46" t="s">
        <v>28</v>
      </c>
      <c r="D308" s="47">
        <v>44631</v>
      </c>
      <c r="F308" s="39" t="s">
        <v>64</v>
      </c>
      <c r="G308" s="39">
        <v>1566703</v>
      </c>
      <c r="H308" s="16" t="s">
        <v>454</v>
      </c>
      <c r="I308" s="16"/>
      <c r="J308" s="39"/>
      <c r="N308" s="46"/>
      <c r="O308" s="39"/>
      <c r="P308" s="16"/>
      <c r="Q308" s="39"/>
      <c r="R308" s="34"/>
      <c r="S308" s="34"/>
      <c r="T308" s="34"/>
      <c r="U308" s="34"/>
      <c r="V308" s="34"/>
      <c r="W308" s="34"/>
      <c r="X308" s="34"/>
      <c r="Y308" s="34"/>
    </row>
    <row r="309" spans="2:25">
      <c r="B309" s="16" t="s">
        <v>74</v>
      </c>
      <c r="C309" s="46" t="s">
        <v>28</v>
      </c>
      <c r="D309" s="47">
        <v>44638</v>
      </c>
      <c r="F309" s="39" t="s">
        <v>64</v>
      </c>
      <c r="G309" s="39">
        <v>1827401</v>
      </c>
      <c r="H309" s="16" t="s">
        <v>455</v>
      </c>
      <c r="I309" s="16"/>
      <c r="J309" s="39"/>
      <c r="N309" s="46"/>
      <c r="O309" s="39"/>
      <c r="P309" s="16"/>
      <c r="Q309" s="39"/>
      <c r="R309" s="34"/>
      <c r="S309" s="34"/>
      <c r="T309" s="34"/>
      <c r="U309" s="34"/>
      <c r="V309" s="34"/>
      <c r="W309" s="34"/>
      <c r="X309" s="34"/>
      <c r="Y309" s="34"/>
    </row>
    <row r="310" spans="2:25">
      <c r="B310" s="16" t="s">
        <v>74</v>
      </c>
      <c r="C310" s="46" t="s">
        <v>28</v>
      </c>
      <c r="D310" s="47">
        <v>44638</v>
      </c>
      <c r="F310" s="39" t="s">
        <v>112</v>
      </c>
      <c r="G310" s="39">
        <v>1848102</v>
      </c>
      <c r="H310" s="151" t="s">
        <v>434</v>
      </c>
      <c r="I310" s="16"/>
      <c r="J310" s="39"/>
      <c r="N310" s="46"/>
      <c r="O310" s="39"/>
      <c r="P310" s="16"/>
      <c r="Q310" s="39"/>
      <c r="R310" s="34"/>
      <c r="S310" s="34"/>
      <c r="T310" s="34"/>
      <c r="U310" s="34"/>
      <c r="V310" s="34"/>
      <c r="W310" s="34"/>
      <c r="X310" s="34"/>
      <c r="Y310" s="34"/>
    </row>
    <row r="311" spans="2:25">
      <c r="B311" s="16" t="s">
        <v>74</v>
      </c>
      <c r="C311" s="46" t="s">
        <v>28</v>
      </c>
      <c r="D311" s="47">
        <v>44645</v>
      </c>
      <c r="F311" s="39" t="s">
        <v>112</v>
      </c>
      <c r="G311" s="39">
        <v>1842906</v>
      </c>
      <c r="H311" s="151" t="s">
        <v>378</v>
      </c>
      <c r="I311" s="16"/>
      <c r="J311" s="39"/>
      <c r="N311" s="46"/>
      <c r="O311" s="39"/>
      <c r="P311" s="16"/>
      <c r="Q311" s="39"/>
      <c r="R311" s="34"/>
      <c r="S311" s="34"/>
      <c r="T311" s="34"/>
      <c r="U311" s="34"/>
      <c r="V311" s="34"/>
      <c r="W311" s="34"/>
      <c r="X311" s="34"/>
      <c r="Y311" s="34"/>
    </row>
    <row r="312" spans="2:25">
      <c r="B312" s="16" t="s">
        <v>74</v>
      </c>
      <c r="C312" s="46" t="s">
        <v>28</v>
      </c>
      <c r="D312" s="47">
        <v>44652</v>
      </c>
      <c r="F312" s="39" t="s">
        <v>57</v>
      </c>
      <c r="G312" s="39">
        <v>1184804</v>
      </c>
      <c r="H312" s="151" t="s">
        <v>425</v>
      </c>
      <c r="I312" s="16"/>
      <c r="J312" s="39"/>
      <c r="N312" s="46"/>
      <c r="O312" s="39"/>
      <c r="P312" s="16"/>
      <c r="Q312" s="39"/>
      <c r="R312" s="34"/>
      <c r="S312" s="34"/>
      <c r="T312" s="34"/>
      <c r="U312" s="34"/>
      <c r="V312" s="34"/>
      <c r="W312" s="34"/>
      <c r="X312" s="34"/>
      <c r="Y312" s="34"/>
    </row>
    <row r="313" spans="2:25">
      <c r="B313" s="16" t="s">
        <v>74</v>
      </c>
      <c r="C313" s="46" t="s">
        <v>28</v>
      </c>
      <c r="D313" s="47">
        <v>44652</v>
      </c>
      <c r="F313" s="39" t="s">
        <v>48</v>
      </c>
      <c r="G313" s="39">
        <v>1289503</v>
      </c>
      <c r="H313" s="151" t="s">
        <v>423</v>
      </c>
      <c r="I313" s="16"/>
      <c r="J313" s="39"/>
      <c r="N313" s="46"/>
      <c r="O313" s="39"/>
      <c r="P313" s="16"/>
      <c r="Q313" s="39"/>
      <c r="R313" s="34"/>
      <c r="S313" s="34"/>
      <c r="T313" s="34"/>
      <c r="U313" s="34"/>
      <c r="V313" s="34"/>
      <c r="W313" s="34"/>
      <c r="X313" s="34"/>
      <c r="Y313" s="34"/>
    </row>
    <row r="314" spans="2:25">
      <c r="B314" s="16" t="s">
        <v>74</v>
      </c>
      <c r="C314" s="46" t="s">
        <v>28</v>
      </c>
      <c r="D314" s="47">
        <v>44652</v>
      </c>
      <c r="F314" s="39" t="s">
        <v>64</v>
      </c>
      <c r="G314" s="39">
        <v>1504810</v>
      </c>
      <c r="H314" s="151" t="s">
        <v>456</v>
      </c>
      <c r="I314" s="16"/>
      <c r="J314" s="39"/>
      <c r="N314" s="46"/>
      <c r="O314" s="39"/>
      <c r="P314" s="16"/>
      <c r="Q314" s="39"/>
      <c r="R314" s="34"/>
      <c r="S314" s="34"/>
      <c r="T314" s="34"/>
      <c r="U314" s="34"/>
      <c r="V314" s="34"/>
      <c r="W314" s="34"/>
      <c r="X314" s="34"/>
      <c r="Y314" s="34"/>
    </row>
    <row r="315" spans="2:25">
      <c r="B315" s="16" t="s">
        <v>74</v>
      </c>
      <c r="C315" s="46" t="s">
        <v>28</v>
      </c>
      <c r="D315" s="47">
        <v>44652</v>
      </c>
      <c r="F315" s="39" t="s">
        <v>57</v>
      </c>
      <c r="G315" s="39">
        <v>1184913</v>
      </c>
      <c r="H315" s="151" t="s">
        <v>138</v>
      </c>
      <c r="I315" s="16"/>
      <c r="J315" s="39"/>
      <c r="N315" s="46"/>
      <c r="O315" s="39"/>
      <c r="P315" s="16"/>
      <c r="Q315" s="39"/>
      <c r="R315" s="34"/>
      <c r="S315" s="34"/>
      <c r="T315" s="34"/>
      <c r="U315" s="34"/>
      <c r="V315" s="34"/>
      <c r="W315" s="34"/>
      <c r="X315" s="34"/>
      <c r="Y315" s="34"/>
    </row>
    <row r="316" spans="2:25">
      <c r="B316" s="16" t="s">
        <v>74</v>
      </c>
      <c r="C316" s="46" t="s">
        <v>28</v>
      </c>
      <c r="D316" s="47">
        <v>44652</v>
      </c>
      <c r="F316" s="39" t="s">
        <v>112</v>
      </c>
      <c r="G316" s="39">
        <v>1843202</v>
      </c>
      <c r="H316" s="151" t="s">
        <v>421</v>
      </c>
      <c r="I316" s="16"/>
      <c r="J316" s="39"/>
      <c r="N316" s="46"/>
      <c r="O316" s="39"/>
      <c r="P316" s="16"/>
      <c r="Q316" s="39"/>
      <c r="R316" s="34"/>
      <c r="S316" s="34"/>
      <c r="T316" s="34"/>
      <c r="U316" s="34"/>
      <c r="V316" s="34"/>
      <c r="W316" s="34"/>
      <c r="X316" s="34"/>
      <c r="Y316" s="34"/>
    </row>
    <row r="317" spans="2:25">
      <c r="B317" s="16" t="s">
        <v>27</v>
      </c>
      <c r="C317" s="46" t="s">
        <v>28</v>
      </c>
      <c r="D317" s="47">
        <v>44665</v>
      </c>
      <c r="F317" s="39" t="s">
        <v>103</v>
      </c>
      <c r="G317" s="39" t="s">
        <v>457</v>
      </c>
      <c r="H317" s="16" t="s">
        <v>444</v>
      </c>
      <c r="I317" s="16"/>
      <c r="J317" s="39"/>
      <c r="N317" s="39" t="s">
        <v>103</v>
      </c>
      <c r="O317" s="39">
        <v>2245403</v>
      </c>
      <c r="P317" s="16" t="s">
        <v>458</v>
      </c>
      <c r="Q317" s="39"/>
      <c r="R317" s="34"/>
      <c r="S317" s="34"/>
      <c r="T317" s="34"/>
      <c r="U317" s="34" t="s">
        <v>94</v>
      </c>
      <c r="V317" s="34" t="s">
        <v>94</v>
      </c>
      <c r="W317" s="34" t="s">
        <v>35</v>
      </c>
      <c r="X317" s="34" t="s">
        <v>36</v>
      </c>
      <c r="Y317" s="34" t="s">
        <v>459</v>
      </c>
    </row>
    <row r="318" spans="2:25">
      <c r="B318" s="16" t="s">
        <v>27</v>
      </c>
      <c r="C318" s="46" t="s">
        <v>28</v>
      </c>
      <c r="D318" s="47">
        <v>44665</v>
      </c>
      <c r="F318" s="39" t="s">
        <v>103</v>
      </c>
      <c r="G318" s="39" t="s">
        <v>460</v>
      </c>
      <c r="H318" s="16" t="s">
        <v>445</v>
      </c>
      <c r="I318" s="16"/>
      <c r="J318" s="39"/>
      <c r="N318" s="39" t="s">
        <v>103</v>
      </c>
      <c r="O318" s="39">
        <v>2245503</v>
      </c>
      <c r="P318" s="16" t="s">
        <v>461</v>
      </c>
      <c r="Q318" s="39"/>
      <c r="R318" s="34"/>
      <c r="S318" s="34"/>
      <c r="T318" s="34"/>
      <c r="U318" s="34" t="s">
        <v>94</v>
      </c>
      <c r="V318" s="34" t="s">
        <v>94</v>
      </c>
      <c r="W318" s="34" t="s">
        <v>35</v>
      </c>
      <c r="X318" s="34" t="s">
        <v>36</v>
      </c>
      <c r="Y318" s="34" t="s">
        <v>459</v>
      </c>
    </row>
    <row r="319" spans="2:25">
      <c r="B319" s="16" t="s">
        <v>74</v>
      </c>
      <c r="C319" s="46" t="s">
        <v>28</v>
      </c>
      <c r="D319" s="47">
        <v>44665</v>
      </c>
      <c r="F319" s="22" t="s">
        <v>151</v>
      </c>
      <c r="G319" s="39">
        <v>1746804</v>
      </c>
      <c r="H319" s="16" t="s">
        <v>70</v>
      </c>
      <c r="I319" s="16"/>
      <c r="J319" s="39"/>
      <c r="N319" s="46"/>
      <c r="O319" s="39"/>
      <c r="P319" s="16"/>
      <c r="Q319" s="39"/>
      <c r="R319" s="34"/>
      <c r="S319" s="34"/>
      <c r="T319" s="34"/>
      <c r="U319" s="34"/>
      <c r="V319" s="34"/>
      <c r="W319" s="34"/>
      <c r="X319" s="34"/>
      <c r="Y319" s="34"/>
    </row>
    <row r="320" spans="2:25">
      <c r="B320" s="16" t="s">
        <v>74</v>
      </c>
      <c r="C320" s="46" t="s">
        <v>28</v>
      </c>
      <c r="D320" s="47">
        <v>44665</v>
      </c>
      <c r="F320" s="39" t="s">
        <v>57</v>
      </c>
      <c r="G320" s="39">
        <v>1184909</v>
      </c>
      <c r="H320" s="16" t="s">
        <v>431</v>
      </c>
      <c r="I320" s="16"/>
      <c r="J320" s="39"/>
      <c r="N320" s="46"/>
      <c r="O320" s="39"/>
      <c r="P320" s="16"/>
      <c r="Q320" s="39"/>
      <c r="R320" s="34"/>
      <c r="S320" s="34"/>
      <c r="T320" s="34"/>
      <c r="U320" s="34"/>
      <c r="V320" s="34"/>
      <c r="W320" s="34"/>
      <c r="X320" s="34"/>
      <c r="Y320" s="34"/>
    </row>
    <row r="321" spans="2:25">
      <c r="B321" s="16" t="s">
        <v>74</v>
      </c>
      <c r="C321" s="46" t="s">
        <v>28</v>
      </c>
      <c r="D321" s="47">
        <v>44665</v>
      </c>
      <c r="F321" s="39" t="s">
        <v>112</v>
      </c>
      <c r="G321" s="39">
        <v>1843302</v>
      </c>
      <c r="H321" s="16" t="s">
        <v>438</v>
      </c>
      <c r="I321" s="16"/>
      <c r="J321" s="39"/>
      <c r="N321" s="46"/>
      <c r="O321" s="39"/>
      <c r="P321" s="16"/>
      <c r="Q321" s="39"/>
      <c r="R321" s="34"/>
      <c r="S321" s="34"/>
      <c r="T321" s="34"/>
      <c r="U321" s="34"/>
      <c r="V321" s="34"/>
      <c r="W321" s="34"/>
      <c r="X321" s="34"/>
      <c r="Y321" s="34"/>
    </row>
    <row r="322" spans="2:25">
      <c r="B322" s="16" t="s">
        <v>74</v>
      </c>
      <c r="C322" s="46" t="s">
        <v>28</v>
      </c>
      <c r="D322" s="47">
        <v>44665</v>
      </c>
      <c r="F322" s="39" t="s">
        <v>57</v>
      </c>
      <c r="G322" s="39">
        <v>514817</v>
      </c>
      <c r="H322" s="16" t="s">
        <v>427</v>
      </c>
      <c r="I322" s="16"/>
      <c r="J322" s="39"/>
      <c r="N322" s="46"/>
      <c r="O322" s="39"/>
      <c r="P322" s="16"/>
      <c r="Q322" s="39"/>
      <c r="R322" s="34"/>
      <c r="S322" s="34"/>
      <c r="T322" s="34"/>
      <c r="U322" s="34"/>
      <c r="V322" s="34"/>
      <c r="W322" s="34"/>
      <c r="X322" s="34"/>
      <c r="Y322" s="34"/>
    </row>
    <row r="323" spans="2:25">
      <c r="B323" s="16" t="s">
        <v>74</v>
      </c>
      <c r="C323" s="46" t="s">
        <v>28</v>
      </c>
      <c r="D323" s="47">
        <v>44665</v>
      </c>
      <c r="F323" s="39" t="s">
        <v>48</v>
      </c>
      <c r="G323" s="39">
        <v>1682201</v>
      </c>
      <c r="H323" s="16" t="s">
        <v>135</v>
      </c>
      <c r="I323" s="16"/>
      <c r="J323" s="39"/>
      <c r="N323" s="46"/>
      <c r="O323" s="39"/>
      <c r="P323" s="16"/>
      <c r="Q323" s="39"/>
      <c r="R323" s="34"/>
      <c r="S323" s="34"/>
      <c r="T323" s="34"/>
      <c r="U323" s="34"/>
      <c r="V323" s="34"/>
      <c r="W323" s="34"/>
      <c r="X323" s="34"/>
      <c r="Y323" s="34"/>
    </row>
    <row r="324" spans="2:25">
      <c r="B324" s="16" t="s">
        <v>74</v>
      </c>
      <c r="C324" s="46" t="s">
        <v>28</v>
      </c>
      <c r="D324" s="47">
        <v>44687</v>
      </c>
      <c r="F324" s="39" t="s">
        <v>41</v>
      </c>
      <c r="G324" s="39">
        <v>2165901</v>
      </c>
      <c r="H324" s="16" t="s">
        <v>241</v>
      </c>
      <c r="I324" s="16"/>
      <c r="J324" s="39"/>
      <c r="N324" s="46"/>
      <c r="O324" s="39"/>
      <c r="P324" s="16"/>
      <c r="Q324" s="39"/>
      <c r="R324" s="34"/>
      <c r="S324" s="34"/>
      <c r="T324" s="34"/>
      <c r="U324" s="34"/>
      <c r="V324" s="34"/>
      <c r="W324" s="34"/>
      <c r="X324" s="34"/>
      <c r="Y324" s="34"/>
    </row>
    <row r="325" spans="2:25">
      <c r="B325" s="16" t="s">
        <v>74</v>
      </c>
      <c r="C325" s="46" t="s">
        <v>28</v>
      </c>
      <c r="D325" s="47">
        <v>44694</v>
      </c>
      <c r="F325" s="39" t="s">
        <v>57</v>
      </c>
      <c r="G325" s="39">
        <v>1153506</v>
      </c>
      <c r="H325" s="16" t="s">
        <v>462</v>
      </c>
      <c r="I325" s="16"/>
      <c r="J325" s="39"/>
      <c r="N325" s="46"/>
      <c r="O325" s="39"/>
      <c r="P325" s="16"/>
      <c r="Q325" s="39"/>
      <c r="R325" s="34"/>
      <c r="S325" s="34"/>
      <c r="T325" s="34"/>
      <c r="U325" s="34"/>
      <c r="V325" s="34"/>
      <c r="W325" s="34"/>
      <c r="X325" s="34"/>
      <c r="Y325" s="34"/>
    </row>
    <row r="326" spans="2:25">
      <c r="B326" s="16" t="s">
        <v>74</v>
      </c>
      <c r="C326" s="46" t="s">
        <v>28</v>
      </c>
      <c r="D326" s="47">
        <v>44694</v>
      </c>
      <c r="F326" s="39" t="s">
        <v>310</v>
      </c>
      <c r="G326" s="39">
        <v>2241703</v>
      </c>
      <c r="H326" s="16" t="s">
        <v>447</v>
      </c>
      <c r="I326" s="16"/>
      <c r="J326" s="39"/>
      <c r="N326" s="46"/>
      <c r="O326" s="39"/>
      <c r="P326" s="16"/>
      <c r="Q326" s="39"/>
      <c r="R326" s="34"/>
      <c r="S326" s="34"/>
      <c r="T326" s="34"/>
      <c r="U326" s="34"/>
      <c r="V326" s="34"/>
      <c r="W326" s="34"/>
      <c r="X326" s="34"/>
      <c r="Y326" s="34"/>
    </row>
    <row r="327" spans="2:25">
      <c r="B327" s="16" t="s">
        <v>74</v>
      </c>
      <c r="C327" s="46" t="s">
        <v>28</v>
      </c>
      <c r="D327" s="47">
        <v>44694</v>
      </c>
      <c r="F327" s="39" t="s">
        <v>57</v>
      </c>
      <c r="G327" s="39">
        <v>1960115</v>
      </c>
      <c r="H327" s="16" t="s">
        <v>123</v>
      </c>
      <c r="I327" s="16"/>
      <c r="J327" s="39"/>
      <c r="N327" s="46"/>
      <c r="O327" s="39"/>
      <c r="P327" s="16"/>
      <c r="Q327" s="39"/>
      <c r="R327" s="34"/>
      <c r="S327" s="34"/>
      <c r="T327" s="34"/>
      <c r="U327" s="34"/>
      <c r="V327" s="34"/>
      <c r="W327" s="34"/>
      <c r="X327" s="34"/>
      <c r="Y327" s="34"/>
    </row>
    <row r="328" spans="2:25">
      <c r="B328" s="16" t="s">
        <v>47</v>
      </c>
      <c r="C328" s="46" t="s">
        <v>28</v>
      </c>
      <c r="D328" s="47">
        <v>44736</v>
      </c>
      <c r="F328" s="46"/>
      <c r="G328" s="39"/>
      <c r="H328" s="16"/>
      <c r="I328" s="16"/>
      <c r="J328" s="39"/>
      <c r="N328" s="39" t="s">
        <v>219</v>
      </c>
      <c r="O328" s="39">
        <v>2184703</v>
      </c>
      <c r="P328" s="16" t="s">
        <v>463</v>
      </c>
      <c r="Q328" s="39"/>
      <c r="R328" s="34"/>
      <c r="S328" s="34"/>
      <c r="T328" s="34"/>
      <c r="U328" s="34" t="s">
        <v>94</v>
      </c>
      <c r="V328" s="34" t="s">
        <v>94</v>
      </c>
      <c r="W328" s="34" t="s">
        <v>35</v>
      </c>
      <c r="X328" s="34" t="s">
        <v>36</v>
      </c>
      <c r="Y328" s="34"/>
    </row>
    <row r="329" spans="2:25">
      <c r="B329" s="16" t="s">
        <v>47</v>
      </c>
      <c r="C329" s="46" t="s">
        <v>28</v>
      </c>
      <c r="D329" s="47">
        <v>44743</v>
      </c>
      <c r="F329" s="46"/>
      <c r="G329" s="39"/>
      <c r="H329" s="16"/>
      <c r="I329" s="16"/>
      <c r="J329" s="39"/>
      <c r="N329" s="39" t="s">
        <v>338</v>
      </c>
      <c r="O329" s="39">
        <v>2422801</v>
      </c>
      <c r="P329" s="16" t="s">
        <v>464</v>
      </c>
      <c r="Q329" s="39"/>
      <c r="R329" s="34"/>
      <c r="S329" s="34"/>
      <c r="T329" s="34"/>
      <c r="U329" s="34" t="s">
        <v>94</v>
      </c>
      <c r="V329" s="34" t="s">
        <v>94</v>
      </c>
      <c r="W329" s="34" t="s">
        <v>35</v>
      </c>
      <c r="X329" s="34" t="s">
        <v>36</v>
      </c>
      <c r="Y329" s="34"/>
    </row>
    <row r="330" spans="2:25">
      <c r="B330" s="16" t="s">
        <v>74</v>
      </c>
      <c r="C330" s="80" t="s">
        <v>28</v>
      </c>
      <c r="D330" s="47">
        <v>44757</v>
      </c>
      <c r="F330" s="39" t="s">
        <v>216</v>
      </c>
      <c r="G330" s="39">
        <v>2258801</v>
      </c>
      <c r="H330" s="16" t="s">
        <v>320</v>
      </c>
      <c r="I330" s="16"/>
      <c r="J330" s="39"/>
      <c r="N330" s="46"/>
      <c r="O330" s="39"/>
      <c r="P330" s="16"/>
      <c r="Q330" s="39"/>
      <c r="R330" s="34"/>
      <c r="S330" s="34"/>
      <c r="T330" s="34"/>
      <c r="U330" s="34"/>
      <c r="V330" s="34"/>
      <c r="W330" s="34"/>
      <c r="X330" s="34"/>
      <c r="Y330" s="34"/>
    </row>
    <row r="331" spans="2:25">
      <c r="B331" s="16" t="s">
        <v>74</v>
      </c>
      <c r="C331" s="80" t="s">
        <v>28</v>
      </c>
      <c r="D331" s="47">
        <v>44757</v>
      </c>
      <c r="F331" s="39" t="s">
        <v>86</v>
      </c>
      <c r="G331" s="39">
        <v>2258901</v>
      </c>
      <c r="H331" s="16" t="s">
        <v>465</v>
      </c>
      <c r="I331" s="16"/>
      <c r="J331" s="39"/>
      <c r="N331" s="46"/>
      <c r="O331" s="39"/>
      <c r="P331" s="16"/>
      <c r="Q331" s="39"/>
      <c r="R331" s="34"/>
      <c r="S331" s="34"/>
      <c r="T331" s="34"/>
      <c r="U331" s="34"/>
      <c r="V331" s="34"/>
      <c r="W331" s="34"/>
      <c r="X331" s="34"/>
      <c r="Y331" s="34"/>
    </row>
    <row r="332" spans="2:25">
      <c r="B332" s="16" t="s">
        <v>74</v>
      </c>
      <c r="C332" s="46" t="s">
        <v>28</v>
      </c>
      <c r="D332" s="47">
        <v>44757</v>
      </c>
      <c r="F332" s="39" t="s">
        <v>112</v>
      </c>
      <c r="G332" s="39">
        <v>2259001</v>
      </c>
      <c r="H332" s="16" t="s">
        <v>322</v>
      </c>
      <c r="I332" s="16"/>
      <c r="J332" s="39"/>
      <c r="N332" s="46"/>
      <c r="O332" s="39"/>
      <c r="P332" s="16"/>
      <c r="Q332" s="39"/>
      <c r="R332" s="34"/>
      <c r="S332" s="34"/>
      <c r="T332" s="34"/>
      <c r="U332" s="34"/>
      <c r="V332" s="34"/>
      <c r="W332" s="34"/>
      <c r="X332" s="34"/>
      <c r="Y332" s="34"/>
    </row>
    <row r="333" spans="2:25">
      <c r="B333" s="16" t="s">
        <v>47</v>
      </c>
      <c r="C333" s="46" t="s">
        <v>28</v>
      </c>
      <c r="D333" s="57">
        <v>44771</v>
      </c>
      <c r="F333" s="46"/>
      <c r="G333" s="39"/>
      <c r="H333" s="16"/>
      <c r="I333" s="16"/>
      <c r="J333" s="39"/>
      <c r="N333" s="39" t="s">
        <v>329</v>
      </c>
      <c r="O333" s="39">
        <v>2431401</v>
      </c>
      <c r="P333" s="16" t="s">
        <v>466</v>
      </c>
      <c r="Q333" s="39"/>
      <c r="R333" s="34"/>
      <c r="S333" s="34"/>
      <c r="T333" s="34"/>
      <c r="U333" s="34" t="s">
        <v>94</v>
      </c>
      <c r="V333" s="34" t="s">
        <v>94</v>
      </c>
      <c r="W333" s="34" t="s">
        <v>35</v>
      </c>
      <c r="X333" s="34" t="s">
        <v>36</v>
      </c>
      <c r="Y333" s="153" t="s">
        <v>467</v>
      </c>
    </row>
    <row r="334" spans="2:25">
      <c r="B334" s="16" t="s">
        <v>47</v>
      </c>
      <c r="C334" s="46" t="s">
        <v>28</v>
      </c>
      <c r="D334" s="47">
        <v>44827</v>
      </c>
      <c r="F334" s="46"/>
      <c r="G334" s="39"/>
      <c r="H334" s="16"/>
      <c r="I334" s="16"/>
      <c r="J334" s="39"/>
      <c r="N334" s="39" t="s">
        <v>203</v>
      </c>
      <c r="O334" s="39">
        <v>2439501</v>
      </c>
      <c r="P334" s="16" t="s">
        <v>468</v>
      </c>
      <c r="Q334" s="39"/>
      <c r="R334" s="34"/>
      <c r="S334" s="34"/>
      <c r="T334" s="34"/>
      <c r="U334" s="34" t="s">
        <v>94</v>
      </c>
      <c r="V334" s="34" t="s">
        <v>94</v>
      </c>
      <c r="W334" s="34" t="s">
        <v>35</v>
      </c>
      <c r="X334" s="34" t="s">
        <v>36</v>
      </c>
      <c r="Y334" s="153" t="s">
        <v>469</v>
      </c>
    </row>
    <row r="335" spans="2:25">
      <c r="B335" s="16" t="s">
        <v>27</v>
      </c>
      <c r="C335" s="46" t="s">
        <v>28</v>
      </c>
      <c r="D335" s="47">
        <v>44834</v>
      </c>
      <c r="F335" s="39" t="s">
        <v>151</v>
      </c>
      <c r="G335" s="39">
        <v>1676433</v>
      </c>
      <c r="H335" s="16" t="s">
        <v>348</v>
      </c>
      <c r="I335" s="34" t="s">
        <v>470</v>
      </c>
      <c r="J335" s="39"/>
      <c r="N335" s="39" t="s">
        <v>151</v>
      </c>
      <c r="O335" s="39">
        <v>1676442</v>
      </c>
      <c r="P335" s="16" t="s">
        <v>471</v>
      </c>
      <c r="Q335" s="39"/>
      <c r="R335" s="34"/>
      <c r="S335" s="34" t="s">
        <v>470</v>
      </c>
      <c r="T335" s="34"/>
      <c r="U335" s="34" t="s">
        <v>94</v>
      </c>
      <c r="V335" s="34" t="s">
        <v>94</v>
      </c>
      <c r="W335" s="34" t="s">
        <v>35</v>
      </c>
      <c r="X335" s="34" t="s">
        <v>36</v>
      </c>
      <c r="Y335" s="153" t="s">
        <v>472</v>
      </c>
    </row>
    <row r="336" spans="2:25">
      <c r="B336" s="16" t="s">
        <v>27</v>
      </c>
      <c r="C336" s="46" t="s">
        <v>28</v>
      </c>
      <c r="D336" s="47">
        <v>44834</v>
      </c>
      <c r="F336" s="39" t="s">
        <v>151</v>
      </c>
      <c r="G336" s="39">
        <v>1676527</v>
      </c>
      <c r="H336" s="16" t="s">
        <v>350</v>
      </c>
      <c r="I336" s="34" t="s">
        <v>473</v>
      </c>
      <c r="J336" s="39"/>
      <c r="N336" s="39" t="s">
        <v>151</v>
      </c>
      <c r="O336" s="39">
        <v>1676536</v>
      </c>
      <c r="P336" s="16" t="s">
        <v>474</v>
      </c>
      <c r="Q336" s="39"/>
      <c r="R336" s="34"/>
      <c r="S336" s="34" t="s">
        <v>473</v>
      </c>
      <c r="T336" s="34"/>
      <c r="U336" s="34" t="s">
        <v>94</v>
      </c>
      <c r="V336" s="34" t="s">
        <v>94</v>
      </c>
      <c r="W336" s="34" t="s">
        <v>35</v>
      </c>
      <c r="X336" s="34" t="s">
        <v>36</v>
      </c>
      <c r="Y336" s="153" t="s">
        <v>475</v>
      </c>
    </row>
    <row r="337" spans="2:25">
      <c r="B337" s="16" t="s">
        <v>27</v>
      </c>
      <c r="C337" s="46" t="s">
        <v>28</v>
      </c>
      <c r="D337" s="47">
        <v>44834</v>
      </c>
      <c r="F337" s="39" t="s">
        <v>151</v>
      </c>
      <c r="G337" s="39">
        <v>1986701</v>
      </c>
      <c r="H337" s="16" t="s">
        <v>476</v>
      </c>
      <c r="I337" s="34" t="s">
        <v>477</v>
      </c>
      <c r="J337" s="39"/>
      <c r="N337" s="39" t="s">
        <v>151</v>
      </c>
      <c r="O337" s="39">
        <v>1986714</v>
      </c>
      <c r="P337" s="16" t="s">
        <v>478</v>
      </c>
      <c r="Q337" s="39"/>
      <c r="R337" s="34"/>
      <c r="S337" s="34" t="s">
        <v>477</v>
      </c>
      <c r="T337" s="34"/>
      <c r="U337" s="34" t="s">
        <v>94</v>
      </c>
      <c r="V337" s="34" t="s">
        <v>94</v>
      </c>
      <c r="W337" s="34" t="s">
        <v>35</v>
      </c>
      <c r="X337" s="34" t="s">
        <v>36</v>
      </c>
      <c r="Y337" s="153" t="s">
        <v>479</v>
      </c>
    </row>
    <row r="338" spans="2:25">
      <c r="B338" s="16" t="s">
        <v>74</v>
      </c>
      <c r="C338" s="46" t="s">
        <v>28</v>
      </c>
      <c r="D338" s="47">
        <v>44841</v>
      </c>
      <c r="F338" s="39" t="s">
        <v>151</v>
      </c>
      <c r="G338" s="39">
        <v>1676527</v>
      </c>
      <c r="H338" s="16" t="s">
        <v>350</v>
      </c>
      <c r="I338" s="16"/>
      <c r="J338" s="39"/>
      <c r="N338" s="39"/>
      <c r="O338" s="39"/>
      <c r="P338" s="16"/>
      <c r="Q338" s="39"/>
      <c r="R338" s="34"/>
      <c r="S338" s="34"/>
      <c r="T338" s="34"/>
      <c r="U338" s="34"/>
      <c r="V338" s="34"/>
      <c r="W338" s="34"/>
      <c r="X338" s="34"/>
      <c r="Y338" s="34"/>
    </row>
    <row r="339" spans="2:25">
      <c r="B339" s="16" t="s">
        <v>47</v>
      </c>
      <c r="C339" s="46" t="s">
        <v>28</v>
      </c>
      <c r="D339" s="47">
        <v>44855</v>
      </c>
      <c r="F339" s="46"/>
      <c r="G339" s="39"/>
      <c r="H339" s="16"/>
      <c r="I339" s="16"/>
      <c r="J339" s="39"/>
      <c r="N339" s="39" t="s">
        <v>64</v>
      </c>
      <c r="O339" s="39">
        <v>2431704</v>
      </c>
      <c r="P339" s="16" t="s">
        <v>480</v>
      </c>
      <c r="Q339" s="39"/>
      <c r="R339" s="34"/>
      <c r="S339" s="111" t="s">
        <v>121</v>
      </c>
      <c r="T339" s="34"/>
      <c r="U339" s="34" t="s">
        <v>94</v>
      </c>
      <c r="V339" s="34" t="s">
        <v>94</v>
      </c>
      <c r="W339" s="34" t="s">
        <v>35</v>
      </c>
      <c r="X339" s="34" t="s">
        <v>36</v>
      </c>
      <c r="Y339" s="153" t="s">
        <v>481</v>
      </c>
    </row>
    <row r="340" spans="2:25">
      <c r="B340" s="16" t="s">
        <v>47</v>
      </c>
      <c r="C340" s="46" t="s">
        <v>28</v>
      </c>
      <c r="D340" s="47">
        <v>44855</v>
      </c>
      <c r="F340" s="46"/>
      <c r="G340" s="39"/>
      <c r="H340" s="16"/>
      <c r="I340" s="16"/>
      <c r="J340" s="39"/>
      <c r="N340" s="22" t="s">
        <v>103</v>
      </c>
      <c r="O340" s="22">
        <v>2444101</v>
      </c>
      <c r="P340" s="21" t="s">
        <v>482</v>
      </c>
      <c r="Q340" s="22"/>
      <c r="R340" s="54"/>
      <c r="S340" s="121" t="s">
        <v>231</v>
      </c>
      <c r="T340" s="54"/>
      <c r="U340" s="54" t="s">
        <v>94</v>
      </c>
      <c r="V340" s="34" t="s">
        <v>94</v>
      </c>
      <c r="W340" s="54" t="s">
        <v>35</v>
      </c>
      <c r="X340" s="34" t="s">
        <v>36</v>
      </c>
      <c r="Y340" s="154" t="s">
        <v>483</v>
      </c>
    </row>
    <row r="341" spans="2:25">
      <c r="B341" s="16" t="s">
        <v>47</v>
      </c>
      <c r="C341" s="46" t="s">
        <v>28</v>
      </c>
      <c r="D341" s="47">
        <v>44855</v>
      </c>
      <c r="F341" s="46"/>
      <c r="G341" s="39"/>
      <c r="H341" s="16"/>
      <c r="I341" s="16"/>
      <c r="J341" s="39"/>
      <c r="N341" s="22" t="s">
        <v>103</v>
      </c>
      <c r="O341" s="22">
        <v>524808</v>
      </c>
      <c r="P341" s="21" t="s">
        <v>484</v>
      </c>
      <c r="Q341" s="22"/>
      <c r="R341" s="54"/>
      <c r="S341" s="121" t="s">
        <v>231</v>
      </c>
      <c r="T341" s="54"/>
      <c r="U341" s="54" t="s">
        <v>94</v>
      </c>
      <c r="V341" s="34" t="s">
        <v>94</v>
      </c>
      <c r="W341" s="54" t="s">
        <v>35</v>
      </c>
      <c r="X341" s="34" t="s">
        <v>36</v>
      </c>
      <c r="Y341" s="154" t="s">
        <v>485</v>
      </c>
    </row>
    <row r="342" spans="2:25">
      <c r="B342" s="16" t="s">
        <v>47</v>
      </c>
      <c r="C342" s="46" t="s">
        <v>28</v>
      </c>
      <c r="D342" s="47">
        <v>44855</v>
      </c>
      <c r="F342" s="46"/>
      <c r="G342" s="39"/>
      <c r="H342" s="16"/>
      <c r="I342" s="16"/>
      <c r="J342" s="39"/>
      <c r="N342" s="22" t="s">
        <v>103</v>
      </c>
      <c r="O342" s="22">
        <v>142506</v>
      </c>
      <c r="P342" s="21" t="s">
        <v>486</v>
      </c>
      <c r="Q342" s="22"/>
      <c r="R342" s="54"/>
      <c r="S342" s="121" t="s">
        <v>231</v>
      </c>
      <c r="T342" s="54"/>
      <c r="U342" s="54" t="s">
        <v>94</v>
      </c>
      <c r="V342" s="34" t="s">
        <v>94</v>
      </c>
      <c r="W342" s="54" t="s">
        <v>35</v>
      </c>
      <c r="X342" s="34" t="s">
        <v>36</v>
      </c>
      <c r="Y342" s="154" t="s">
        <v>487</v>
      </c>
    </row>
    <row r="343" spans="2:25">
      <c r="B343" s="16" t="s">
        <v>47</v>
      </c>
      <c r="C343" s="46" t="s">
        <v>28</v>
      </c>
      <c r="D343" s="47">
        <v>44855</v>
      </c>
      <c r="F343" s="46"/>
      <c r="G343" s="39"/>
      <c r="H343" s="16"/>
      <c r="I343" s="16"/>
      <c r="J343" s="39"/>
      <c r="N343" s="22" t="s">
        <v>103</v>
      </c>
      <c r="O343" s="22">
        <v>698406</v>
      </c>
      <c r="P343" s="21" t="s">
        <v>488</v>
      </c>
      <c r="Q343" s="22"/>
      <c r="R343" s="54"/>
      <c r="S343" s="121" t="s">
        <v>231</v>
      </c>
      <c r="T343" s="54"/>
      <c r="U343" s="54" t="s">
        <v>94</v>
      </c>
      <c r="V343" s="34" t="s">
        <v>94</v>
      </c>
      <c r="W343" s="54" t="s">
        <v>35</v>
      </c>
      <c r="X343" s="34" t="s">
        <v>36</v>
      </c>
      <c r="Y343" s="154" t="s">
        <v>489</v>
      </c>
    </row>
    <row r="344" spans="2:25">
      <c r="B344" s="16" t="s">
        <v>74</v>
      </c>
      <c r="C344" s="46" t="s">
        <v>28</v>
      </c>
      <c r="D344" s="47">
        <v>44855</v>
      </c>
      <c r="F344" s="39" t="s">
        <v>151</v>
      </c>
      <c r="G344" s="39">
        <v>1986701</v>
      </c>
      <c r="H344" s="16" t="s">
        <v>476</v>
      </c>
      <c r="I344" s="16"/>
      <c r="J344" s="39"/>
      <c r="N344" s="39"/>
      <c r="O344" s="39"/>
      <c r="P344" s="16"/>
      <c r="Q344" s="39"/>
      <c r="R344" s="34"/>
      <c r="S344" s="34"/>
      <c r="T344" s="34"/>
      <c r="U344" s="34"/>
      <c r="V344" s="34"/>
      <c r="W344" s="34"/>
      <c r="X344" s="34"/>
      <c r="Y344" s="34"/>
    </row>
    <row r="345" spans="2:25">
      <c r="B345" s="16" t="s">
        <v>74</v>
      </c>
      <c r="C345" s="46" t="s">
        <v>28</v>
      </c>
      <c r="D345" s="47">
        <v>44855</v>
      </c>
      <c r="F345" s="39" t="s">
        <v>151</v>
      </c>
      <c r="G345" s="39">
        <v>1676433</v>
      </c>
      <c r="H345" s="16" t="s">
        <v>348</v>
      </c>
      <c r="I345" s="16"/>
      <c r="J345" s="39"/>
      <c r="N345" s="46"/>
      <c r="O345" s="39"/>
      <c r="P345" s="16"/>
      <c r="Q345" s="39"/>
      <c r="R345" s="34"/>
      <c r="S345" s="34"/>
      <c r="T345" s="34"/>
      <c r="U345" s="34"/>
      <c r="V345" s="34"/>
      <c r="W345" s="34"/>
      <c r="X345" s="34"/>
      <c r="Y345" s="34"/>
    </row>
    <row r="346" spans="2:25">
      <c r="B346" s="16" t="s">
        <v>47</v>
      </c>
      <c r="C346" s="46" t="s">
        <v>28</v>
      </c>
      <c r="D346" s="47">
        <v>44862</v>
      </c>
      <c r="F346" s="46"/>
      <c r="G346" s="39"/>
      <c r="H346" s="16"/>
      <c r="I346" s="16"/>
      <c r="J346" s="39"/>
      <c r="N346" s="39" t="s">
        <v>64</v>
      </c>
      <c r="O346" s="39">
        <v>2403801</v>
      </c>
      <c r="P346" s="16" t="s">
        <v>490</v>
      </c>
      <c r="Q346" s="39"/>
      <c r="R346" s="34"/>
      <c r="S346" s="111" t="s">
        <v>121</v>
      </c>
      <c r="T346" s="34"/>
      <c r="U346" s="34" t="s">
        <v>94</v>
      </c>
      <c r="V346" s="34" t="s">
        <v>94</v>
      </c>
      <c r="W346" s="34" t="s">
        <v>35</v>
      </c>
      <c r="X346" s="34" t="s">
        <v>36</v>
      </c>
      <c r="Y346" s="153" t="s">
        <v>491</v>
      </c>
    </row>
    <row r="347" spans="2:25">
      <c r="B347" s="16" t="s">
        <v>47</v>
      </c>
      <c r="C347" s="46" t="s">
        <v>28</v>
      </c>
      <c r="D347" s="47">
        <v>44869</v>
      </c>
      <c r="F347" s="46"/>
      <c r="G347" s="39"/>
      <c r="H347" s="16"/>
      <c r="I347" s="16"/>
      <c r="J347" s="39"/>
      <c r="N347" s="22" t="s">
        <v>492</v>
      </c>
      <c r="O347" s="22">
        <v>989108</v>
      </c>
      <c r="P347" s="21" t="s">
        <v>493</v>
      </c>
      <c r="Q347" s="22"/>
      <c r="R347" s="54"/>
      <c r="S347" s="121" t="s">
        <v>231</v>
      </c>
      <c r="T347" s="54"/>
      <c r="U347" s="54" t="s">
        <v>94</v>
      </c>
      <c r="V347" s="54" t="s">
        <v>94</v>
      </c>
      <c r="W347" s="54" t="s">
        <v>35</v>
      </c>
      <c r="X347" s="54" t="s">
        <v>36</v>
      </c>
      <c r="Y347" s="154" t="s">
        <v>494</v>
      </c>
    </row>
    <row r="348" spans="2:25">
      <c r="B348" s="16" t="s">
        <v>47</v>
      </c>
      <c r="C348" s="46" t="s">
        <v>28</v>
      </c>
      <c r="D348" s="47">
        <v>44869</v>
      </c>
      <c r="F348" s="46"/>
      <c r="G348" s="39"/>
      <c r="H348" s="16"/>
      <c r="I348" s="16"/>
      <c r="J348" s="39"/>
      <c r="N348" s="22" t="s">
        <v>103</v>
      </c>
      <c r="O348" s="22">
        <v>2244604</v>
      </c>
      <c r="P348" s="21" t="s">
        <v>495</v>
      </c>
      <c r="Q348" s="22"/>
      <c r="R348" s="54"/>
      <c r="S348" s="54" t="s">
        <v>76</v>
      </c>
      <c r="T348" s="54"/>
      <c r="U348" s="54" t="s">
        <v>94</v>
      </c>
      <c r="V348" s="54" t="s">
        <v>94</v>
      </c>
      <c r="W348" s="54" t="s">
        <v>35</v>
      </c>
      <c r="X348" s="54" t="s">
        <v>36</v>
      </c>
      <c r="Y348" s="154" t="s">
        <v>496</v>
      </c>
    </row>
    <row r="349" spans="2:25">
      <c r="B349" s="16" t="s">
        <v>47</v>
      </c>
      <c r="C349" s="46" t="s">
        <v>28</v>
      </c>
      <c r="D349" s="47">
        <v>44869</v>
      </c>
      <c r="F349" s="46"/>
      <c r="G349" s="39"/>
      <c r="H349" s="16"/>
      <c r="I349" s="16"/>
      <c r="J349" s="39"/>
      <c r="N349" s="22" t="s">
        <v>103</v>
      </c>
      <c r="O349" s="22">
        <v>2245505</v>
      </c>
      <c r="P349" s="21" t="s">
        <v>497</v>
      </c>
      <c r="Q349" s="22"/>
      <c r="R349" s="54"/>
      <c r="S349" s="54" t="s">
        <v>76</v>
      </c>
      <c r="T349" s="54"/>
      <c r="U349" s="54" t="s">
        <v>94</v>
      </c>
      <c r="V349" s="54" t="s">
        <v>94</v>
      </c>
      <c r="W349" s="54" t="s">
        <v>35</v>
      </c>
      <c r="X349" s="54" t="s">
        <v>36</v>
      </c>
      <c r="Y349" s="154" t="s">
        <v>498</v>
      </c>
    </row>
    <row r="350" spans="2:25">
      <c r="B350" s="16" t="s">
        <v>47</v>
      </c>
      <c r="C350" s="46" t="s">
        <v>28</v>
      </c>
      <c r="D350" s="47">
        <v>44869</v>
      </c>
      <c r="F350" s="46"/>
      <c r="G350" s="39"/>
      <c r="H350" s="16"/>
      <c r="I350" s="16"/>
      <c r="J350" s="39"/>
      <c r="N350" s="22" t="s">
        <v>103</v>
      </c>
      <c r="O350" s="22">
        <v>2449801</v>
      </c>
      <c r="P350" s="21" t="s">
        <v>499</v>
      </c>
      <c r="Q350" s="22"/>
      <c r="R350" s="54"/>
      <c r="S350" s="54" t="s">
        <v>76</v>
      </c>
      <c r="T350" s="54"/>
      <c r="U350" s="54" t="s">
        <v>94</v>
      </c>
      <c r="V350" s="54" t="s">
        <v>94</v>
      </c>
      <c r="W350" s="54" t="s">
        <v>35</v>
      </c>
      <c r="X350" s="54" t="s">
        <v>36</v>
      </c>
      <c r="Y350" s="154" t="s">
        <v>500</v>
      </c>
    </row>
    <row r="351" spans="2:25">
      <c r="B351" s="16" t="s">
        <v>27</v>
      </c>
      <c r="C351" s="46" t="s">
        <v>28</v>
      </c>
      <c r="D351" s="47">
        <v>44876</v>
      </c>
      <c r="F351" s="39" t="s">
        <v>57</v>
      </c>
      <c r="G351" s="39">
        <v>961432</v>
      </c>
      <c r="H351" s="16" t="s">
        <v>442</v>
      </c>
      <c r="I351" s="16"/>
      <c r="J351" s="39"/>
      <c r="N351" s="39" t="s">
        <v>57</v>
      </c>
      <c r="O351" s="39">
        <v>961412</v>
      </c>
      <c r="P351" s="16" t="s">
        <v>501</v>
      </c>
      <c r="Q351" s="39"/>
      <c r="R351" s="34"/>
      <c r="S351" s="34" t="s">
        <v>502</v>
      </c>
      <c r="T351" s="34"/>
      <c r="U351" s="34" t="s">
        <v>94</v>
      </c>
      <c r="V351" s="34" t="s">
        <v>94</v>
      </c>
      <c r="W351" s="34" t="s">
        <v>35</v>
      </c>
      <c r="X351" s="34" t="s">
        <v>36</v>
      </c>
      <c r="Y351" s="153" t="s">
        <v>503</v>
      </c>
    </row>
    <row r="352" spans="2:25">
      <c r="B352" s="16" t="s">
        <v>27</v>
      </c>
      <c r="C352" s="46" t="s">
        <v>28</v>
      </c>
      <c r="D352" s="47">
        <v>44876</v>
      </c>
      <c r="F352" s="39" t="s">
        <v>57</v>
      </c>
      <c r="G352" s="39">
        <v>592058</v>
      </c>
      <c r="H352" s="16" t="s">
        <v>420</v>
      </c>
      <c r="I352" s="16"/>
      <c r="J352" s="39"/>
      <c r="N352" s="39" t="s">
        <v>57</v>
      </c>
      <c r="O352" s="39">
        <v>592085</v>
      </c>
      <c r="P352" s="16" t="s">
        <v>504</v>
      </c>
      <c r="Q352" s="39"/>
      <c r="R352" s="34"/>
      <c r="S352" s="34" t="s">
        <v>505</v>
      </c>
      <c r="T352" s="34"/>
      <c r="U352" s="34" t="s">
        <v>94</v>
      </c>
      <c r="V352" s="34" t="s">
        <v>94</v>
      </c>
      <c r="W352" s="34" t="s">
        <v>35</v>
      </c>
      <c r="X352" s="34" t="s">
        <v>36</v>
      </c>
      <c r="Y352" s="153" t="s">
        <v>506</v>
      </c>
    </row>
    <row r="353" spans="2:25">
      <c r="B353" s="16" t="s">
        <v>27</v>
      </c>
      <c r="C353" s="46" t="s">
        <v>28</v>
      </c>
      <c r="D353" s="47">
        <v>44876</v>
      </c>
      <c r="F353" s="39" t="s">
        <v>57</v>
      </c>
      <c r="G353" s="39">
        <v>592333</v>
      </c>
      <c r="H353" s="16" t="s">
        <v>416</v>
      </c>
      <c r="I353" s="16"/>
      <c r="J353" s="39"/>
      <c r="N353" s="39" t="s">
        <v>57</v>
      </c>
      <c r="O353" s="39">
        <v>592339</v>
      </c>
      <c r="P353" s="16" t="s">
        <v>507</v>
      </c>
      <c r="Q353" s="39"/>
      <c r="R353" s="34"/>
      <c r="S353" s="34" t="s">
        <v>505</v>
      </c>
      <c r="T353" s="34"/>
      <c r="U353" s="34" t="s">
        <v>94</v>
      </c>
      <c r="V353" s="34" t="s">
        <v>94</v>
      </c>
      <c r="W353" s="34" t="s">
        <v>35</v>
      </c>
      <c r="X353" s="34" t="s">
        <v>36</v>
      </c>
      <c r="Y353" s="153" t="s">
        <v>508</v>
      </c>
    </row>
    <row r="354" spans="2:25">
      <c r="B354" s="16" t="s">
        <v>27</v>
      </c>
      <c r="C354" s="46" t="s">
        <v>28</v>
      </c>
      <c r="D354" s="47">
        <v>44876</v>
      </c>
      <c r="F354" s="39" t="s">
        <v>57</v>
      </c>
      <c r="G354" s="39">
        <v>298128</v>
      </c>
      <c r="H354" s="16" t="s">
        <v>418</v>
      </c>
      <c r="I354" s="16"/>
      <c r="J354" s="39"/>
      <c r="N354" s="39" t="s">
        <v>57</v>
      </c>
      <c r="O354" s="39">
        <v>298160</v>
      </c>
      <c r="P354" s="16" t="s">
        <v>509</v>
      </c>
      <c r="Q354" s="39"/>
      <c r="R354" s="34"/>
      <c r="S354" s="34" t="s">
        <v>505</v>
      </c>
      <c r="T354" s="34"/>
      <c r="U354" s="34" t="s">
        <v>94</v>
      </c>
      <c r="V354" s="34" t="s">
        <v>94</v>
      </c>
      <c r="W354" s="34" t="s">
        <v>35</v>
      </c>
      <c r="X354" s="34" t="s">
        <v>36</v>
      </c>
      <c r="Y354" s="153" t="s">
        <v>510</v>
      </c>
    </row>
    <row r="355" spans="2:25">
      <c r="B355" s="16" t="s">
        <v>27</v>
      </c>
      <c r="C355" s="46" t="s">
        <v>28</v>
      </c>
      <c r="D355" s="47">
        <v>44876</v>
      </c>
      <c r="F355" s="39" t="s">
        <v>48</v>
      </c>
      <c r="G355" s="39">
        <v>592137</v>
      </c>
      <c r="H355" s="16" t="s">
        <v>407</v>
      </c>
      <c r="I355" s="16"/>
      <c r="J355" s="39"/>
      <c r="N355" s="39" t="s">
        <v>48</v>
      </c>
      <c r="O355" s="39">
        <v>592170</v>
      </c>
      <c r="P355" s="16" t="s">
        <v>511</v>
      </c>
      <c r="Q355" s="39"/>
      <c r="R355" s="34"/>
      <c r="S355" s="34" t="s">
        <v>505</v>
      </c>
      <c r="T355" s="34"/>
      <c r="U355" s="34" t="s">
        <v>94</v>
      </c>
      <c r="V355" s="34" t="s">
        <v>94</v>
      </c>
      <c r="W355" s="34" t="s">
        <v>35</v>
      </c>
      <c r="X355" s="34" t="s">
        <v>36</v>
      </c>
      <c r="Y355" s="153" t="s">
        <v>512</v>
      </c>
    </row>
    <row r="356" spans="2:25">
      <c r="B356" s="16" t="s">
        <v>27</v>
      </c>
      <c r="C356" s="46" t="s">
        <v>28</v>
      </c>
      <c r="D356" s="47">
        <v>44876</v>
      </c>
      <c r="F356" s="39" t="s">
        <v>112</v>
      </c>
      <c r="G356" s="39">
        <v>592236</v>
      </c>
      <c r="H356" s="16" t="s">
        <v>411</v>
      </c>
      <c r="I356" s="16"/>
      <c r="J356" s="39"/>
      <c r="N356" s="39" t="s">
        <v>112</v>
      </c>
      <c r="O356" s="39">
        <v>592255</v>
      </c>
      <c r="P356" s="16" t="s">
        <v>513</v>
      </c>
      <c r="Q356" s="39"/>
      <c r="R356" s="34"/>
      <c r="S356" s="34" t="s">
        <v>505</v>
      </c>
      <c r="T356" s="34"/>
      <c r="U356" s="34" t="s">
        <v>94</v>
      </c>
      <c r="V356" s="34" t="s">
        <v>94</v>
      </c>
      <c r="W356" s="34" t="s">
        <v>35</v>
      </c>
      <c r="X356" s="34" t="s">
        <v>36</v>
      </c>
      <c r="Y356" s="153" t="s">
        <v>514</v>
      </c>
    </row>
    <row r="357" spans="2:25">
      <c r="B357" s="16" t="s">
        <v>27</v>
      </c>
      <c r="C357" s="46" t="s">
        <v>28</v>
      </c>
      <c r="D357" s="47">
        <v>44876</v>
      </c>
      <c r="F357" s="39" t="s">
        <v>48</v>
      </c>
      <c r="G357" s="39">
        <v>400405</v>
      </c>
      <c r="H357" s="16" t="s">
        <v>405</v>
      </c>
      <c r="I357" s="16"/>
      <c r="J357" s="39"/>
      <c r="N357" s="39" t="s">
        <v>48</v>
      </c>
      <c r="O357" s="39">
        <v>1785805</v>
      </c>
      <c r="P357" s="16" t="s">
        <v>515</v>
      </c>
      <c r="Q357" s="39"/>
      <c r="R357" s="34"/>
      <c r="S357" s="34" t="s">
        <v>505</v>
      </c>
      <c r="T357" s="34"/>
      <c r="U357" s="34" t="s">
        <v>94</v>
      </c>
      <c r="V357" s="34" t="s">
        <v>94</v>
      </c>
      <c r="W357" s="34" t="s">
        <v>35</v>
      </c>
      <c r="X357" s="34" t="s">
        <v>36</v>
      </c>
      <c r="Y357" s="153" t="s">
        <v>516</v>
      </c>
    </row>
    <row r="358" spans="2:25">
      <c r="B358" s="16" t="s">
        <v>27</v>
      </c>
      <c r="C358" s="46" t="s">
        <v>28</v>
      </c>
      <c r="D358" s="47">
        <v>44876</v>
      </c>
      <c r="F358" s="39" t="s">
        <v>112</v>
      </c>
      <c r="G358" s="39">
        <v>1025806</v>
      </c>
      <c r="H358" s="16" t="s">
        <v>403</v>
      </c>
      <c r="I358" s="16"/>
      <c r="J358" s="39"/>
      <c r="N358" s="39" t="s">
        <v>112</v>
      </c>
      <c r="O358" s="39">
        <v>1025809</v>
      </c>
      <c r="P358" s="16" t="s">
        <v>517</v>
      </c>
      <c r="Q358" s="39"/>
      <c r="R358" s="34"/>
      <c r="S358" s="34" t="s">
        <v>505</v>
      </c>
      <c r="T358" s="34"/>
      <c r="U358" s="34" t="s">
        <v>94</v>
      </c>
      <c r="V358" s="34" t="s">
        <v>94</v>
      </c>
      <c r="W358" s="34" t="s">
        <v>35</v>
      </c>
      <c r="X358" s="34" t="s">
        <v>36</v>
      </c>
      <c r="Y358" s="153" t="s">
        <v>518</v>
      </c>
    </row>
    <row r="359" spans="2:25">
      <c r="B359" s="16" t="s">
        <v>27</v>
      </c>
      <c r="C359" s="46" t="s">
        <v>28</v>
      </c>
      <c r="D359" s="47">
        <v>44876</v>
      </c>
      <c r="F359" s="39" t="s">
        <v>86</v>
      </c>
      <c r="G359" s="39">
        <v>1007502</v>
      </c>
      <c r="H359" s="16" t="s">
        <v>414</v>
      </c>
      <c r="I359" s="16"/>
      <c r="J359" s="39"/>
      <c r="N359" s="39" t="s">
        <v>86</v>
      </c>
      <c r="O359" s="39">
        <v>1007504</v>
      </c>
      <c r="P359" s="16" t="s">
        <v>519</v>
      </c>
      <c r="Q359" s="39"/>
      <c r="R359" s="34"/>
      <c r="S359" s="34" t="s">
        <v>505</v>
      </c>
      <c r="T359" s="34"/>
      <c r="U359" s="34" t="s">
        <v>94</v>
      </c>
      <c r="V359" s="34" t="s">
        <v>94</v>
      </c>
      <c r="W359" s="34" t="s">
        <v>35</v>
      </c>
      <c r="X359" s="34" t="s">
        <v>36</v>
      </c>
      <c r="Y359" s="153" t="s">
        <v>520</v>
      </c>
    </row>
    <row r="360" spans="2:25">
      <c r="B360" s="16" t="s">
        <v>27</v>
      </c>
      <c r="C360" s="46" t="s">
        <v>28</v>
      </c>
      <c r="D360" s="47">
        <v>44876</v>
      </c>
      <c r="F360" s="39" t="s">
        <v>48</v>
      </c>
      <c r="G360" s="39">
        <v>280506</v>
      </c>
      <c r="H360" s="16" t="s">
        <v>388</v>
      </c>
      <c r="I360" s="16"/>
      <c r="J360" s="39"/>
      <c r="N360" s="39" t="s">
        <v>48</v>
      </c>
      <c r="O360" s="39">
        <v>280507</v>
      </c>
      <c r="P360" s="16" t="s">
        <v>521</v>
      </c>
      <c r="Q360" s="39"/>
      <c r="R360" s="34"/>
      <c r="S360" s="34" t="s">
        <v>505</v>
      </c>
      <c r="T360" s="34"/>
      <c r="U360" s="34" t="s">
        <v>94</v>
      </c>
      <c r="V360" s="34" t="s">
        <v>94</v>
      </c>
      <c r="W360" s="34" t="s">
        <v>35</v>
      </c>
      <c r="X360" s="34" t="s">
        <v>36</v>
      </c>
      <c r="Y360" s="153" t="s">
        <v>522</v>
      </c>
    </row>
    <row r="361" spans="2:25">
      <c r="B361" s="16" t="s">
        <v>27</v>
      </c>
      <c r="C361" s="46" t="s">
        <v>28</v>
      </c>
      <c r="D361" s="47">
        <v>44876</v>
      </c>
      <c r="F361" s="39" t="s">
        <v>48</v>
      </c>
      <c r="G361" s="39">
        <v>400405</v>
      </c>
      <c r="H361" s="16" t="s">
        <v>405</v>
      </c>
      <c r="I361" s="16"/>
      <c r="J361" s="39"/>
      <c r="N361" s="39" t="s">
        <v>48</v>
      </c>
      <c r="O361" s="39">
        <v>400410</v>
      </c>
      <c r="P361" s="16" t="s">
        <v>523</v>
      </c>
      <c r="Q361" s="39"/>
      <c r="R361" s="34"/>
      <c r="S361" s="34" t="s">
        <v>505</v>
      </c>
      <c r="T361" s="34"/>
      <c r="U361" s="34" t="s">
        <v>94</v>
      </c>
      <c r="V361" s="34" t="s">
        <v>94</v>
      </c>
      <c r="W361" s="34" t="s">
        <v>35</v>
      </c>
      <c r="X361" s="34" t="s">
        <v>36</v>
      </c>
      <c r="Y361" s="153" t="s">
        <v>524</v>
      </c>
    </row>
    <row r="362" spans="2:25">
      <c r="B362" s="16" t="s">
        <v>74</v>
      </c>
      <c r="C362" s="46" t="s">
        <v>28</v>
      </c>
      <c r="D362" s="47">
        <v>44883</v>
      </c>
      <c r="F362" s="39" t="s">
        <v>71</v>
      </c>
      <c r="G362" s="39">
        <v>1876209</v>
      </c>
      <c r="H362" s="16" t="s">
        <v>93</v>
      </c>
      <c r="I362" s="16"/>
      <c r="J362" s="39"/>
      <c r="N362" s="46"/>
      <c r="O362" s="39"/>
      <c r="P362" s="16"/>
      <c r="Q362" s="39"/>
      <c r="R362" s="34"/>
      <c r="S362" s="34"/>
      <c r="T362" s="34"/>
      <c r="U362" s="34"/>
      <c r="V362" s="34"/>
      <c r="W362" s="34"/>
      <c r="X362" s="34"/>
      <c r="Y362" s="34"/>
    </row>
    <row r="363" spans="2:25">
      <c r="B363" s="16" t="s">
        <v>47</v>
      </c>
      <c r="C363" s="46" t="s">
        <v>28</v>
      </c>
      <c r="D363" s="47">
        <v>44890</v>
      </c>
      <c r="F363" s="46"/>
      <c r="G363" s="39"/>
      <c r="H363" s="16"/>
      <c r="I363" s="16"/>
      <c r="J363" s="39"/>
      <c r="N363" s="39" t="s">
        <v>48</v>
      </c>
      <c r="O363" s="39">
        <v>2286902</v>
      </c>
      <c r="P363" s="16" t="s">
        <v>525</v>
      </c>
      <c r="Q363" s="39"/>
      <c r="R363" s="34"/>
      <c r="S363" s="34" t="s">
        <v>505</v>
      </c>
      <c r="T363" s="34"/>
      <c r="U363" s="34" t="s">
        <v>94</v>
      </c>
      <c r="V363" s="54" t="s">
        <v>94</v>
      </c>
      <c r="W363" s="34" t="s">
        <v>35</v>
      </c>
      <c r="X363" s="54" t="s">
        <v>36</v>
      </c>
      <c r="Y363" s="153" t="s">
        <v>526</v>
      </c>
    </row>
    <row r="364" spans="2:25">
      <c r="B364" s="16" t="s">
        <v>47</v>
      </c>
      <c r="C364" s="46" t="s">
        <v>28</v>
      </c>
      <c r="D364" s="47">
        <v>44890</v>
      </c>
      <c r="F364" s="46"/>
      <c r="G364" s="39"/>
      <c r="H364" s="16"/>
      <c r="I364" s="16"/>
      <c r="J364" s="39"/>
      <c r="N364" s="39" t="s">
        <v>48</v>
      </c>
      <c r="O364" s="39">
        <v>1718102</v>
      </c>
      <c r="P364" s="16" t="s">
        <v>527</v>
      </c>
      <c r="Q364" s="39"/>
      <c r="R364" s="34"/>
      <c r="S364" s="34" t="s">
        <v>121</v>
      </c>
      <c r="T364" s="34"/>
      <c r="U364" s="34" t="s">
        <v>94</v>
      </c>
      <c r="V364" s="54" t="s">
        <v>94</v>
      </c>
      <c r="W364" s="34" t="s">
        <v>35</v>
      </c>
      <c r="X364" s="54" t="s">
        <v>36</v>
      </c>
      <c r="Y364" s="153" t="s">
        <v>528</v>
      </c>
    </row>
    <row r="365" spans="2:25">
      <c r="B365" s="16" t="s">
        <v>47</v>
      </c>
      <c r="C365" s="46" t="s">
        <v>28</v>
      </c>
      <c r="D365" s="47">
        <v>44890</v>
      </c>
      <c r="F365" s="46"/>
      <c r="G365" s="39"/>
      <c r="H365" s="16"/>
      <c r="I365" s="16"/>
      <c r="J365" s="39"/>
      <c r="N365" s="39" t="s">
        <v>57</v>
      </c>
      <c r="O365" s="39">
        <v>2062203</v>
      </c>
      <c r="P365" s="16" t="s">
        <v>529</v>
      </c>
      <c r="Q365" s="39"/>
      <c r="R365" s="34"/>
      <c r="S365" s="34" t="s">
        <v>121</v>
      </c>
      <c r="T365" s="34"/>
      <c r="U365" s="34" t="s">
        <v>94</v>
      </c>
      <c r="V365" s="54" t="s">
        <v>94</v>
      </c>
      <c r="W365" s="34" t="s">
        <v>35</v>
      </c>
      <c r="X365" s="54" t="s">
        <v>36</v>
      </c>
      <c r="Y365" s="153" t="s">
        <v>530</v>
      </c>
    </row>
    <row r="366" spans="2:25">
      <c r="B366" s="16" t="s">
        <v>27</v>
      </c>
      <c r="C366" s="80" t="s">
        <v>28</v>
      </c>
      <c r="D366" s="47">
        <v>44890</v>
      </c>
      <c r="F366" s="39" t="s">
        <v>57</v>
      </c>
      <c r="G366" s="39">
        <v>1682301</v>
      </c>
      <c r="H366" s="16" t="s">
        <v>531</v>
      </c>
      <c r="I366" s="16"/>
      <c r="J366" s="39"/>
      <c r="N366" s="39" t="s">
        <v>57</v>
      </c>
      <c r="O366" s="39">
        <v>1775218</v>
      </c>
      <c r="P366" s="16" t="s">
        <v>532</v>
      </c>
      <c r="Q366" s="39"/>
      <c r="R366" s="34"/>
      <c r="S366" s="34" t="s">
        <v>121</v>
      </c>
      <c r="T366" s="34"/>
      <c r="U366" s="34" t="s">
        <v>94</v>
      </c>
      <c r="V366" s="98" t="s">
        <v>94</v>
      </c>
      <c r="W366" s="38" t="s">
        <v>35</v>
      </c>
      <c r="X366" s="98" t="s">
        <v>36</v>
      </c>
      <c r="Y366" s="153" t="s">
        <v>533</v>
      </c>
    </row>
    <row r="367" spans="2:25">
      <c r="B367" s="16" t="s">
        <v>27</v>
      </c>
      <c r="C367" s="46" t="s">
        <v>28</v>
      </c>
      <c r="D367" s="47">
        <v>44890</v>
      </c>
      <c r="F367" s="39" t="s">
        <v>57</v>
      </c>
      <c r="G367" s="39">
        <v>447202</v>
      </c>
      <c r="H367" s="77" t="s">
        <v>534</v>
      </c>
      <c r="I367" s="16"/>
      <c r="J367" s="39"/>
      <c r="N367" s="39" t="s">
        <v>57</v>
      </c>
      <c r="O367" s="39">
        <v>485505</v>
      </c>
      <c r="P367" s="16" t="s">
        <v>535</v>
      </c>
      <c r="Q367" s="39"/>
      <c r="R367" s="34"/>
      <c r="S367" s="34" t="s">
        <v>121</v>
      </c>
      <c r="T367" s="34"/>
      <c r="U367" s="34" t="s">
        <v>94</v>
      </c>
      <c r="V367" s="54" t="s">
        <v>94</v>
      </c>
      <c r="W367" s="34" t="s">
        <v>35</v>
      </c>
      <c r="X367" s="54" t="s">
        <v>36</v>
      </c>
      <c r="Y367" s="153" t="s">
        <v>536</v>
      </c>
    </row>
    <row r="368" spans="2:25">
      <c r="B368" s="16" t="s">
        <v>74</v>
      </c>
      <c r="C368" s="46" t="s">
        <v>28</v>
      </c>
      <c r="D368" s="47">
        <v>44890</v>
      </c>
      <c r="F368" s="39" t="s">
        <v>71</v>
      </c>
      <c r="G368" s="39">
        <v>1876208</v>
      </c>
      <c r="H368" s="16" t="s">
        <v>537</v>
      </c>
      <c r="I368" s="16"/>
      <c r="J368" s="39"/>
      <c r="N368" s="46"/>
      <c r="O368" s="39"/>
      <c r="P368" s="16"/>
      <c r="Q368" s="39"/>
      <c r="R368" s="34"/>
      <c r="S368" s="34"/>
      <c r="T368" s="34"/>
      <c r="U368" s="34"/>
      <c r="V368" s="34"/>
      <c r="W368" s="34"/>
      <c r="X368" s="34"/>
      <c r="Y368" s="34"/>
    </row>
    <row r="369" spans="2:25">
      <c r="B369" s="16" t="s">
        <v>74</v>
      </c>
      <c r="C369" s="46" t="s">
        <v>28</v>
      </c>
      <c r="D369" s="47">
        <v>44890</v>
      </c>
      <c r="F369" s="39" t="s">
        <v>71</v>
      </c>
      <c r="G369" s="39">
        <v>2007403</v>
      </c>
      <c r="H369" s="16" t="s">
        <v>538</v>
      </c>
      <c r="I369" s="16"/>
      <c r="J369" s="39"/>
      <c r="N369" s="46"/>
      <c r="O369" s="39"/>
      <c r="P369" s="16"/>
      <c r="Q369" s="39"/>
      <c r="R369" s="34"/>
      <c r="S369" s="34"/>
      <c r="T369" s="34"/>
      <c r="U369" s="34"/>
      <c r="V369" s="34"/>
      <c r="W369" s="34"/>
      <c r="X369" s="34"/>
      <c r="Y369" s="34"/>
    </row>
    <row r="370" spans="2:25">
      <c r="B370" s="16" t="s">
        <v>74</v>
      </c>
      <c r="C370" s="46" t="s">
        <v>28</v>
      </c>
      <c r="D370" s="47">
        <v>44890</v>
      </c>
      <c r="F370" s="39" t="s">
        <v>71</v>
      </c>
      <c r="G370" s="39">
        <v>2007503</v>
      </c>
      <c r="H370" s="16" t="s">
        <v>539</v>
      </c>
      <c r="I370" s="16"/>
      <c r="J370" s="39"/>
      <c r="N370" s="46"/>
      <c r="O370" s="39"/>
      <c r="P370" s="16"/>
      <c r="Q370" s="39"/>
      <c r="R370" s="34"/>
      <c r="S370" s="34"/>
      <c r="T370" s="34"/>
      <c r="U370" s="34"/>
      <c r="V370" s="34"/>
      <c r="W370" s="34"/>
      <c r="X370" s="34"/>
      <c r="Y370" s="34"/>
    </row>
    <row r="371" spans="2:25">
      <c r="B371" s="16" t="s">
        <v>47</v>
      </c>
      <c r="C371" s="46" t="s">
        <v>28</v>
      </c>
      <c r="D371" s="47">
        <v>44897</v>
      </c>
      <c r="F371" s="46"/>
      <c r="G371" s="39"/>
      <c r="H371" s="16"/>
      <c r="I371" s="16"/>
      <c r="J371" s="39"/>
      <c r="N371" s="39" t="s">
        <v>57</v>
      </c>
      <c r="O371" s="39">
        <v>1319004</v>
      </c>
      <c r="P371" s="16" t="s">
        <v>540</v>
      </c>
      <c r="Q371" s="39"/>
      <c r="R371" s="34"/>
      <c r="S371" s="34" t="s">
        <v>76</v>
      </c>
      <c r="T371" s="34"/>
      <c r="U371" s="34" t="s">
        <v>94</v>
      </c>
      <c r="V371" s="54" t="s">
        <v>94</v>
      </c>
      <c r="W371" s="34" t="s">
        <v>35</v>
      </c>
      <c r="X371" s="54" t="s">
        <v>36</v>
      </c>
      <c r="Y371" s="153" t="s">
        <v>541</v>
      </c>
    </row>
    <row r="372" spans="2:25">
      <c r="B372" s="16" t="s">
        <v>47</v>
      </c>
      <c r="C372" s="46" t="s">
        <v>28</v>
      </c>
      <c r="D372" s="47">
        <v>44897</v>
      </c>
      <c r="F372" s="46"/>
      <c r="G372" s="39"/>
      <c r="H372" s="16"/>
      <c r="I372" s="16"/>
      <c r="J372" s="39"/>
      <c r="N372" s="39" t="s">
        <v>57</v>
      </c>
      <c r="O372" s="39">
        <v>2435301</v>
      </c>
      <c r="P372" s="16" t="s">
        <v>542</v>
      </c>
      <c r="Q372" s="39"/>
      <c r="R372" s="34"/>
      <c r="S372" s="34" t="s">
        <v>76</v>
      </c>
      <c r="T372" s="34"/>
      <c r="U372" s="34" t="s">
        <v>94</v>
      </c>
      <c r="V372" s="54" t="s">
        <v>94</v>
      </c>
      <c r="W372" s="34" t="s">
        <v>35</v>
      </c>
      <c r="X372" s="54" t="s">
        <v>36</v>
      </c>
      <c r="Y372" s="153" t="s">
        <v>543</v>
      </c>
    </row>
    <row r="373" spans="2:25">
      <c r="B373" s="16" t="s">
        <v>47</v>
      </c>
      <c r="C373" s="46" t="s">
        <v>28</v>
      </c>
      <c r="D373" s="47">
        <v>44897</v>
      </c>
      <c r="F373" s="46"/>
      <c r="G373" s="39"/>
      <c r="H373" s="16"/>
      <c r="I373" s="16"/>
      <c r="J373" s="39"/>
      <c r="N373" s="39" t="s">
        <v>48</v>
      </c>
      <c r="O373" s="39">
        <v>1027105</v>
      </c>
      <c r="P373" s="16" t="s">
        <v>544</v>
      </c>
      <c r="Q373" s="39"/>
      <c r="R373" s="34"/>
      <c r="S373" s="34" t="s">
        <v>545</v>
      </c>
      <c r="T373" s="34"/>
      <c r="U373" s="34" t="s">
        <v>94</v>
      </c>
      <c r="V373" s="54" t="s">
        <v>94</v>
      </c>
      <c r="W373" s="34" t="s">
        <v>35</v>
      </c>
      <c r="X373" s="54" t="s">
        <v>36</v>
      </c>
      <c r="Y373" s="153" t="s">
        <v>546</v>
      </c>
    </row>
    <row r="374" spans="2:25">
      <c r="B374" s="16" t="s">
        <v>47</v>
      </c>
      <c r="C374" s="46" t="s">
        <v>28</v>
      </c>
      <c r="D374" s="47">
        <v>44897</v>
      </c>
      <c r="F374" s="46"/>
      <c r="G374" s="39"/>
      <c r="H374" s="16"/>
      <c r="I374" s="16"/>
      <c r="J374" s="39"/>
      <c r="N374" s="39" t="s">
        <v>112</v>
      </c>
      <c r="O374" s="39">
        <v>1025604</v>
      </c>
      <c r="P374" s="16" t="s">
        <v>547</v>
      </c>
      <c r="Q374" s="39"/>
      <c r="R374" s="34"/>
      <c r="S374" s="34" t="s">
        <v>545</v>
      </c>
      <c r="T374" s="34"/>
      <c r="U374" s="34" t="s">
        <v>94</v>
      </c>
      <c r="V374" s="54" t="s">
        <v>94</v>
      </c>
      <c r="W374" s="34" t="s">
        <v>35</v>
      </c>
      <c r="X374" s="54" t="s">
        <v>36</v>
      </c>
      <c r="Y374" s="153" t="s">
        <v>548</v>
      </c>
    </row>
    <row r="375" spans="2:25">
      <c r="B375" s="16" t="s">
        <v>47</v>
      </c>
      <c r="C375" s="46" t="s">
        <v>28</v>
      </c>
      <c r="D375" s="47">
        <v>44897</v>
      </c>
      <c r="F375" s="46"/>
      <c r="G375" s="39"/>
      <c r="H375" s="16"/>
      <c r="I375" s="16"/>
      <c r="J375" s="39"/>
      <c r="N375" s="39" t="s">
        <v>48</v>
      </c>
      <c r="O375" s="39">
        <v>2439001</v>
      </c>
      <c r="P375" s="16" t="s">
        <v>549</v>
      </c>
      <c r="Q375" s="39"/>
      <c r="R375" s="34"/>
      <c r="S375" s="34" t="s">
        <v>545</v>
      </c>
      <c r="T375" s="34"/>
      <c r="U375" s="34" t="s">
        <v>94</v>
      </c>
      <c r="V375" s="54" t="s">
        <v>94</v>
      </c>
      <c r="W375" s="34" t="s">
        <v>35</v>
      </c>
      <c r="X375" s="54" t="s">
        <v>36</v>
      </c>
      <c r="Y375" s="153" t="s">
        <v>550</v>
      </c>
    </row>
    <row r="376" spans="2:25">
      <c r="B376" s="16" t="s">
        <v>47</v>
      </c>
      <c r="C376" s="46" t="s">
        <v>28</v>
      </c>
      <c r="D376" s="47">
        <v>44897</v>
      </c>
      <c r="F376" s="46"/>
      <c r="G376" s="39"/>
      <c r="H376" s="16"/>
      <c r="I376" s="16"/>
      <c r="J376" s="39"/>
      <c r="N376" s="39" t="s">
        <v>112</v>
      </c>
      <c r="O376" s="39">
        <v>2438901</v>
      </c>
      <c r="P376" s="16" t="s">
        <v>551</v>
      </c>
      <c r="Q376" s="39"/>
      <c r="R376" s="34"/>
      <c r="S376" s="34" t="s">
        <v>545</v>
      </c>
      <c r="T376" s="34"/>
      <c r="U376" s="34" t="s">
        <v>94</v>
      </c>
      <c r="V376" s="54" t="s">
        <v>94</v>
      </c>
      <c r="W376" s="34" t="s">
        <v>35</v>
      </c>
      <c r="X376" s="54" t="s">
        <v>36</v>
      </c>
      <c r="Y376" s="153" t="s">
        <v>552</v>
      </c>
    </row>
    <row r="377" spans="2:25">
      <c r="B377" s="16" t="s">
        <v>47</v>
      </c>
      <c r="C377" s="46" t="s">
        <v>28</v>
      </c>
      <c r="D377" s="47">
        <v>44897</v>
      </c>
      <c r="F377" s="46"/>
      <c r="G377" s="39"/>
      <c r="H377" s="16"/>
      <c r="I377" s="16"/>
      <c r="J377" s="39"/>
      <c r="N377" s="39" t="s">
        <v>57</v>
      </c>
      <c r="O377" s="39">
        <v>2438801</v>
      </c>
      <c r="P377" s="16" t="s">
        <v>553</v>
      </c>
      <c r="Q377" s="39"/>
      <c r="R377" s="34"/>
      <c r="S377" s="34" t="s">
        <v>545</v>
      </c>
      <c r="T377" s="34"/>
      <c r="U377" s="34" t="s">
        <v>94</v>
      </c>
      <c r="V377" s="54" t="s">
        <v>94</v>
      </c>
      <c r="W377" s="34" t="s">
        <v>35</v>
      </c>
      <c r="X377" s="54" t="s">
        <v>36</v>
      </c>
      <c r="Y377" s="153" t="s">
        <v>554</v>
      </c>
    </row>
    <row r="378" spans="2:25">
      <c r="B378" s="16" t="s">
        <v>47</v>
      </c>
      <c r="C378" s="46" t="s">
        <v>28</v>
      </c>
      <c r="D378" s="47">
        <v>44897</v>
      </c>
      <c r="F378" s="46"/>
      <c r="G378" s="39"/>
      <c r="H378" s="16"/>
      <c r="I378" s="16"/>
      <c r="J378" s="39"/>
      <c r="N378" s="39" t="s">
        <v>57</v>
      </c>
      <c r="O378" s="39">
        <v>2279301</v>
      </c>
      <c r="P378" s="16" t="s">
        <v>555</v>
      </c>
      <c r="Q378" s="39"/>
      <c r="R378" s="34"/>
      <c r="S378" s="34" t="s">
        <v>545</v>
      </c>
      <c r="T378" s="34"/>
      <c r="U378" s="34" t="s">
        <v>94</v>
      </c>
      <c r="V378" s="54" t="s">
        <v>94</v>
      </c>
      <c r="W378" s="34" t="s">
        <v>35</v>
      </c>
      <c r="X378" s="54" t="s">
        <v>36</v>
      </c>
      <c r="Y378" s="153" t="s">
        <v>556</v>
      </c>
    </row>
    <row r="379" spans="2:25">
      <c r="B379" s="16" t="s">
        <v>74</v>
      </c>
      <c r="C379" s="46" t="s">
        <v>28</v>
      </c>
      <c r="D379" s="47">
        <v>44897</v>
      </c>
      <c r="F379" s="39" t="s">
        <v>151</v>
      </c>
      <c r="G379" s="39">
        <v>1986601</v>
      </c>
      <c r="H379" s="16" t="s">
        <v>557</v>
      </c>
      <c r="I379" s="16"/>
      <c r="J379" s="39"/>
      <c r="N379" s="46"/>
      <c r="O379" s="39"/>
      <c r="P379" s="16"/>
      <c r="Q379" s="39"/>
      <c r="R379" s="34"/>
      <c r="S379" s="34"/>
      <c r="T379" s="34"/>
      <c r="U379" s="34"/>
      <c r="V379" s="34"/>
      <c r="W379" s="34"/>
      <c r="X379" s="34"/>
      <c r="Y379" s="34"/>
    </row>
    <row r="380" spans="2:25">
      <c r="B380" s="16" t="s">
        <v>47</v>
      </c>
      <c r="C380" s="46" t="s">
        <v>28</v>
      </c>
      <c r="D380" s="47">
        <v>44911</v>
      </c>
      <c r="F380" s="46"/>
      <c r="G380" s="39"/>
      <c r="H380" s="16"/>
      <c r="I380" s="16"/>
      <c r="J380" s="39"/>
      <c r="N380" s="39" t="s">
        <v>368</v>
      </c>
      <c r="O380" s="39">
        <v>1838403</v>
      </c>
      <c r="P380" s="16" t="s">
        <v>558</v>
      </c>
      <c r="Q380" s="39"/>
      <c r="R380" s="34"/>
      <c r="S380" s="34" t="s">
        <v>559</v>
      </c>
      <c r="T380" s="34"/>
      <c r="U380" s="34" t="s">
        <v>94</v>
      </c>
      <c r="V380" s="54" t="s">
        <v>94</v>
      </c>
      <c r="W380" s="34" t="s">
        <v>35</v>
      </c>
      <c r="X380" s="54" t="s">
        <v>36</v>
      </c>
      <c r="Y380" s="153" t="s">
        <v>560</v>
      </c>
    </row>
    <row r="381" spans="2:25">
      <c r="B381" s="16" t="s">
        <v>47</v>
      </c>
      <c r="C381" s="46" t="s">
        <v>28</v>
      </c>
      <c r="D381" s="47">
        <v>44911</v>
      </c>
      <c r="F381" s="46"/>
      <c r="G381" s="39"/>
      <c r="H381" s="16"/>
      <c r="I381" s="16"/>
      <c r="J381" s="39"/>
      <c r="N381" s="39" t="s">
        <v>368</v>
      </c>
      <c r="O381" s="39">
        <v>2166603</v>
      </c>
      <c r="P381" s="16" t="s">
        <v>561</v>
      </c>
      <c r="Q381" s="39"/>
      <c r="R381" s="34"/>
      <c r="S381" s="34" t="s">
        <v>559</v>
      </c>
      <c r="T381" s="34"/>
      <c r="U381" s="34" t="s">
        <v>94</v>
      </c>
      <c r="V381" s="54" t="s">
        <v>94</v>
      </c>
      <c r="W381" s="34" t="s">
        <v>35</v>
      </c>
      <c r="X381" s="54" t="s">
        <v>36</v>
      </c>
      <c r="Y381" s="153" t="s">
        <v>562</v>
      </c>
    </row>
    <row r="382" spans="2:25">
      <c r="B382" s="16" t="s">
        <v>47</v>
      </c>
      <c r="C382" s="46" t="s">
        <v>28</v>
      </c>
      <c r="D382" s="47">
        <v>44911</v>
      </c>
      <c r="F382" s="46"/>
      <c r="G382" s="39"/>
      <c r="H382" s="16"/>
      <c r="I382" s="16"/>
      <c r="J382" s="39"/>
      <c r="N382" s="39" t="s">
        <v>368</v>
      </c>
      <c r="O382" s="39">
        <v>1827203</v>
      </c>
      <c r="P382" s="16" t="s">
        <v>563</v>
      </c>
      <c r="Q382" s="39"/>
      <c r="R382" s="34"/>
      <c r="S382" s="34" t="s">
        <v>121</v>
      </c>
      <c r="T382" s="34"/>
      <c r="U382" s="34" t="s">
        <v>94</v>
      </c>
      <c r="V382" s="54" t="s">
        <v>94</v>
      </c>
      <c r="W382" s="34" t="s">
        <v>35</v>
      </c>
      <c r="X382" s="54" t="s">
        <v>36</v>
      </c>
      <c r="Y382" s="153" t="s">
        <v>564</v>
      </c>
    </row>
    <row r="383" spans="2:25">
      <c r="B383" s="16" t="s">
        <v>47</v>
      </c>
      <c r="C383" s="46" t="s">
        <v>28</v>
      </c>
      <c r="D383" s="47">
        <v>44911</v>
      </c>
      <c r="F383" s="46"/>
      <c r="G383" s="39"/>
      <c r="H383" s="16"/>
      <c r="I383" s="16"/>
      <c r="J383" s="39"/>
      <c r="N383" s="39" t="s">
        <v>368</v>
      </c>
      <c r="O383" s="39">
        <v>1827103</v>
      </c>
      <c r="P383" s="16" t="s">
        <v>565</v>
      </c>
      <c r="Q383" s="39"/>
      <c r="R383" s="34"/>
      <c r="S383" s="34" t="s">
        <v>121</v>
      </c>
      <c r="T383" s="34"/>
      <c r="U383" s="34" t="s">
        <v>94</v>
      </c>
      <c r="V383" s="54" t="s">
        <v>94</v>
      </c>
      <c r="W383" s="34" t="s">
        <v>35</v>
      </c>
      <c r="X383" s="54" t="s">
        <v>36</v>
      </c>
      <c r="Y383" s="153" t="s">
        <v>566</v>
      </c>
    </row>
    <row r="384" spans="2:25">
      <c r="B384" s="16" t="s">
        <v>47</v>
      </c>
      <c r="C384" s="46" t="s">
        <v>28</v>
      </c>
      <c r="D384" s="47">
        <v>44911</v>
      </c>
      <c r="F384" s="46"/>
      <c r="G384" s="39"/>
      <c r="H384" s="16"/>
      <c r="I384" s="16"/>
      <c r="J384" s="39"/>
      <c r="N384" s="39" t="s">
        <v>57</v>
      </c>
      <c r="O384" s="39">
        <v>1312313</v>
      </c>
      <c r="P384" s="16" t="s">
        <v>567</v>
      </c>
      <c r="Q384" s="39"/>
      <c r="R384" s="34"/>
      <c r="S384" s="34" t="s">
        <v>121</v>
      </c>
      <c r="T384" s="34"/>
      <c r="U384" s="34" t="s">
        <v>94</v>
      </c>
      <c r="V384" s="34" t="s">
        <v>94</v>
      </c>
      <c r="W384" s="34" t="s">
        <v>35</v>
      </c>
      <c r="X384" s="54" t="s">
        <v>36</v>
      </c>
      <c r="Y384" s="153" t="s">
        <v>568</v>
      </c>
    </row>
    <row r="385" spans="2:25">
      <c r="B385" s="16" t="s">
        <v>47</v>
      </c>
      <c r="C385" s="46" t="s">
        <v>28</v>
      </c>
      <c r="D385" s="47">
        <v>44911</v>
      </c>
      <c r="F385" s="46"/>
      <c r="G385" s="39"/>
      <c r="H385" s="16"/>
      <c r="I385" s="16"/>
      <c r="J385" s="39"/>
      <c r="N385" s="39" t="s">
        <v>198</v>
      </c>
      <c r="O385" s="39">
        <v>2196006</v>
      </c>
      <c r="P385" s="16" t="s">
        <v>569</v>
      </c>
      <c r="Q385" s="39"/>
      <c r="R385" s="34"/>
      <c r="S385" s="34"/>
      <c r="T385" s="34"/>
      <c r="U385" s="34" t="s">
        <v>94</v>
      </c>
      <c r="V385" s="34" t="s">
        <v>94</v>
      </c>
      <c r="W385" s="34" t="s">
        <v>35</v>
      </c>
      <c r="X385" s="34" t="s">
        <v>36</v>
      </c>
      <c r="Y385" s="153" t="s">
        <v>570</v>
      </c>
    </row>
    <row r="386" spans="2:25">
      <c r="B386" s="16" t="s">
        <v>47</v>
      </c>
      <c r="C386" s="46" t="s">
        <v>28</v>
      </c>
      <c r="D386" s="47">
        <v>44911</v>
      </c>
      <c r="F386" s="46"/>
      <c r="G386" s="39"/>
      <c r="H386" s="16"/>
      <c r="I386" s="16"/>
      <c r="J386" s="39"/>
      <c r="N386" s="39" t="s">
        <v>198</v>
      </c>
      <c r="O386" s="39">
        <v>2196106</v>
      </c>
      <c r="P386" s="16" t="s">
        <v>571</v>
      </c>
      <c r="Q386" s="39"/>
      <c r="R386" s="34"/>
      <c r="S386" s="34"/>
      <c r="T386" s="34"/>
      <c r="U386" s="34" t="s">
        <v>94</v>
      </c>
      <c r="V386" s="34" t="s">
        <v>94</v>
      </c>
      <c r="W386" s="34" t="s">
        <v>35</v>
      </c>
      <c r="X386" s="34" t="s">
        <v>36</v>
      </c>
      <c r="Y386" s="153" t="s">
        <v>572</v>
      </c>
    </row>
    <row r="387" spans="2:25">
      <c r="B387" s="16" t="s">
        <v>47</v>
      </c>
      <c r="C387" s="46" t="s">
        <v>28</v>
      </c>
      <c r="D387" s="47">
        <v>44918</v>
      </c>
      <c r="F387" s="46"/>
      <c r="G387" s="39"/>
      <c r="H387" s="16"/>
      <c r="I387" s="16"/>
      <c r="J387" s="39"/>
      <c r="N387" s="39" t="s">
        <v>57</v>
      </c>
      <c r="O387" s="39">
        <v>1633603</v>
      </c>
      <c r="P387" s="16" t="s">
        <v>573</v>
      </c>
      <c r="Q387" s="39"/>
      <c r="R387" s="34"/>
      <c r="S387" s="34"/>
      <c r="T387" s="34"/>
      <c r="U387" s="34" t="s">
        <v>94</v>
      </c>
      <c r="V387" s="54" t="s">
        <v>94</v>
      </c>
      <c r="W387" s="34" t="s">
        <v>35</v>
      </c>
      <c r="X387" s="54" t="s">
        <v>36</v>
      </c>
      <c r="Y387" s="34" t="s">
        <v>574</v>
      </c>
    </row>
    <row r="388" spans="2:25">
      <c r="B388" s="16" t="s">
        <v>47</v>
      </c>
      <c r="C388" s="46" t="s">
        <v>28</v>
      </c>
      <c r="D388" s="47">
        <v>44918</v>
      </c>
      <c r="F388" s="46"/>
      <c r="G388" s="39"/>
      <c r="H388" s="16"/>
      <c r="I388" s="16"/>
      <c r="J388" s="39"/>
      <c r="N388" s="39" t="s">
        <v>57</v>
      </c>
      <c r="O388" s="39">
        <v>1889103</v>
      </c>
      <c r="P388" s="16" t="s">
        <v>575</v>
      </c>
      <c r="Q388" s="39"/>
      <c r="R388" s="34"/>
      <c r="S388" s="34"/>
      <c r="T388" s="34"/>
      <c r="U388" s="34" t="s">
        <v>94</v>
      </c>
      <c r="V388" s="54" t="s">
        <v>94</v>
      </c>
      <c r="W388" s="34" t="s">
        <v>35</v>
      </c>
      <c r="X388" s="54" t="s">
        <v>36</v>
      </c>
      <c r="Y388" s="34" t="s">
        <v>574</v>
      </c>
    </row>
    <row r="389" spans="2:25">
      <c r="B389" s="16" t="s">
        <v>47</v>
      </c>
      <c r="C389" s="46" t="s">
        <v>28</v>
      </c>
      <c r="D389" s="47">
        <v>44918</v>
      </c>
      <c r="F389" s="46"/>
      <c r="G389" s="39"/>
      <c r="H389" s="16"/>
      <c r="I389" s="16"/>
      <c r="J389" s="39"/>
      <c r="N389" s="39" t="s">
        <v>103</v>
      </c>
      <c r="O389" s="39">
        <v>270906</v>
      </c>
      <c r="P389" s="16" t="s">
        <v>576</v>
      </c>
      <c r="Q389" s="39"/>
      <c r="R389" s="34"/>
      <c r="S389" s="34" t="s">
        <v>121</v>
      </c>
      <c r="T389" s="34"/>
      <c r="U389" s="34" t="s">
        <v>94</v>
      </c>
      <c r="V389" s="54" t="s">
        <v>94</v>
      </c>
      <c r="W389" s="34" t="s">
        <v>35</v>
      </c>
      <c r="X389" s="54" t="s">
        <v>36</v>
      </c>
      <c r="Y389" s="153" t="s">
        <v>577</v>
      </c>
    </row>
    <row r="390" spans="2:25">
      <c r="B390" s="16" t="s">
        <v>47</v>
      </c>
      <c r="C390" s="46" t="s">
        <v>28</v>
      </c>
      <c r="D390" s="47">
        <v>44918</v>
      </c>
      <c r="F390" s="46"/>
      <c r="G390" s="39"/>
      <c r="H390" s="16"/>
      <c r="I390" s="16"/>
      <c r="J390" s="39"/>
      <c r="N390" s="39" t="s">
        <v>103</v>
      </c>
      <c r="O390" s="39">
        <v>1374904</v>
      </c>
      <c r="P390" s="16" t="s">
        <v>578</v>
      </c>
      <c r="Q390" s="39"/>
      <c r="R390" s="34"/>
      <c r="S390" s="34" t="s">
        <v>121</v>
      </c>
      <c r="T390" s="34"/>
      <c r="U390" s="34" t="s">
        <v>94</v>
      </c>
      <c r="V390" s="54" t="s">
        <v>94</v>
      </c>
      <c r="W390" s="34" t="s">
        <v>35</v>
      </c>
      <c r="X390" s="54" t="s">
        <v>36</v>
      </c>
      <c r="Y390" s="153" t="s">
        <v>579</v>
      </c>
    </row>
    <row r="391" spans="2:25">
      <c r="B391" s="16" t="s">
        <v>74</v>
      </c>
      <c r="C391" s="80" t="s">
        <v>28</v>
      </c>
      <c r="D391" s="47">
        <v>44918</v>
      </c>
      <c r="F391" s="39" t="s">
        <v>57</v>
      </c>
      <c r="G391" s="39">
        <v>961432</v>
      </c>
      <c r="H391" s="16" t="s">
        <v>442</v>
      </c>
      <c r="I391" s="16"/>
      <c r="J391" s="39"/>
      <c r="N391" s="46"/>
      <c r="O391" s="39"/>
      <c r="P391" s="16"/>
      <c r="Q391" s="39"/>
      <c r="R391" s="34"/>
      <c r="S391" s="34"/>
      <c r="T391" s="34"/>
      <c r="U391" s="34"/>
      <c r="V391" s="34"/>
      <c r="W391" s="34"/>
      <c r="X391" s="34"/>
      <c r="Y391" s="34"/>
    </row>
    <row r="392" spans="2:25">
      <c r="B392" s="16" t="s">
        <v>74</v>
      </c>
      <c r="C392" s="80" t="s">
        <v>28</v>
      </c>
      <c r="D392" s="47">
        <v>44931</v>
      </c>
      <c r="F392" s="39" t="s">
        <v>151</v>
      </c>
      <c r="G392" s="39">
        <v>2274601</v>
      </c>
      <c r="H392" s="16" t="s">
        <v>327</v>
      </c>
      <c r="I392" s="16"/>
      <c r="J392" s="39"/>
      <c r="N392" s="46"/>
      <c r="O392" s="39"/>
      <c r="P392" s="16"/>
      <c r="Q392" s="39"/>
      <c r="R392" s="34"/>
      <c r="S392" s="34"/>
      <c r="T392" s="34"/>
      <c r="U392" s="34"/>
      <c r="V392" s="34"/>
      <c r="W392" s="34"/>
      <c r="X392" s="34"/>
      <c r="Y392" s="34"/>
    </row>
    <row r="393" spans="2:25">
      <c r="B393" s="16" t="s">
        <v>74</v>
      </c>
      <c r="C393" s="46" t="s">
        <v>28</v>
      </c>
      <c r="D393" s="47">
        <v>44931</v>
      </c>
      <c r="F393" s="39" t="s">
        <v>151</v>
      </c>
      <c r="G393" s="39">
        <v>1675322</v>
      </c>
      <c r="H393" s="16" t="s">
        <v>580</v>
      </c>
      <c r="I393" s="16"/>
      <c r="J393" s="39"/>
      <c r="N393" s="46"/>
      <c r="O393" s="39"/>
      <c r="P393" s="16"/>
      <c r="Q393" s="39"/>
      <c r="R393" s="34"/>
      <c r="S393" s="34"/>
      <c r="T393" s="34"/>
      <c r="U393" s="34"/>
      <c r="V393" s="34"/>
      <c r="W393" s="34"/>
      <c r="X393" s="34"/>
      <c r="Y393" s="34"/>
    </row>
    <row r="394" spans="2:25">
      <c r="B394" s="16" t="s">
        <v>74</v>
      </c>
      <c r="C394" s="46" t="s">
        <v>28</v>
      </c>
      <c r="D394" s="47">
        <v>44931</v>
      </c>
      <c r="F394" s="39" t="s">
        <v>151</v>
      </c>
      <c r="G394" s="39">
        <v>1675227</v>
      </c>
      <c r="H394" s="16" t="s">
        <v>343</v>
      </c>
      <c r="I394" s="16"/>
      <c r="J394" s="39"/>
      <c r="N394" s="46"/>
      <c r="O394" s="39"/>
      <c r="P394" s="16"/>
      <c r="Q394" s="39"/>
      <c r="R394" s="34"/>
      <c r="S394" s="34"/>
      <c r="T394" s="34"/>
      <c r="U394" s="34"/>
      <c r="V394" s="34"/>
      <c r="W394" s="34"/>
      <c r="X394" s="34"/>
      <c r="Y394" s="34"/>
    </row>
    <row r="395" spans="2:25">
      <c r="B395" s="16" t="s">
        <v>74</v>
      </c>
      <c r="C395" s="46" t="s">
        <v>28</v>
      </c>
      <c r="D395" s="47">
        <v>44931</v>
      </c>
      <c r="F395" s="39" t="s">
        <v>226</v>
      </c>
      <c r="G395" s="39">
        <v>2203803</v>
      </c>
      <c r="H395" s="16" t="s">
        <v>581</v>
      </c>
      <c r="I395" s="16"/>
      <c r="J395" s="39"/>
      <c r="N395" s="46"/>
      <c r="O395" s="39"/>
      <c r="P395" s="16"/>
      <c r="Q395" s="39"/>
      <c r="R395" s="34"/>
      <c r="S395" s="34"/>
      <c r="T395" s="34"/>
      <c r="U395" s="34"/>
      <c r="V395" s="34"/>
      <c r="W395" s="34"/>
      <c r="X395" s="34"/>
      <c r="Y395" s="34"/>
    </row>
    <row r="396" spans="2:25">
      <c r="B396" s="16" t="s">
        <v>74</v>
      </c>
      <c r="C396" s="46" t="s">
        <v>28</v>
      </c>
      <c r="D396" s="47">
        <v>44931</v>
      </c>
      <c r="F396" s="39" t="s">
        <v>226</v>
      </c>
      <c r="G396" s="39">
        <v>2203903</v>
      </c>
      <c r="H396" s="16" t="s">
        <v>228</v>
      </c>
      <c r="I396" s="140"/>
      <c r="J396" s="128"/>
      <c r="N396" s="46"/>
      <c r="O396" s="39"/>
      <c r="P396" s="16"/>
      <c r="Q396" s="39"/>
      <c r="R396" s="34"/>
      <c r="S396" s="34"/>
      <c r="T396" s="34"/>
      <c r="U396" s="34"/>
      <c r="V396" s="34"/>
      <c r="W396" s="34"/>
      <c r="X396" s="34"/>
      <c r="Y396" s="34"/>
    </row>
    <row r="397" spans="2:25">
      <c r="B397" s="16" t="s">
        <v>74</v>
      </c>
      <c r="C397" s="46" t="s">
        <v>28</v>
      </c>
      <c r="D397" s="47">
        <v>44931</v>
      </c>
      <c r="F397" s="39" t="s">
        <v>226</v>
      </c>
      <c r="G397" s="39">
        <v>2204003</v>
      </c>
      <c r="H397" s="16" t="s">
        <v>582</v>
      </c>
      <c r="I397" s="16"/>
      <c r="J397" s="39"/>
      <c r="N397" s="46"/>
      <c r="O397" s="39"/>
      <c r="P397" s="16"/>
      <c r="Q397" s="39"/>
      <c r="R397" s="34"/>
      <c r="S397" s="34"/>
      <c r="T397" s="34"/>
      <c r="U397" s="34"/>
      <c r="V397" s="34"/>
      <c r="W397" s="34"/>
      <c r="X397" s="34"/>
      <c r="Y397" s="34"/>
    </row>
    <row r="398" spans="2:25">
      <c r="B398" s="16" t="s">
        <v>74</v>
      </c>
      <c r="C398" s="46" t="s">
        <v>28</v>
      </c>
      <c r="D398" s="81">
        <v>44953</v>
      </c>
      <c r="E398" s="107"/>
      <c r="F398" s="82" t="s">
        <v>198</v>
      </c>
      <c r="G398" s="82">
        <v>2072502</v>
      </c>
      <c r="H398" s="78" t="s">
        <v>201</v>
      </c>
      <c r="I398" s="16"/>
      <c r="J398" s="39"/>
      <c r="N398" s="46"/>
      <c r="O398" s="39"/>
      <c r="P398" s="16"/>
      <c r="Q398" s="39"/>
      <c r="R398" s="34"/>
      <c r="S398" s="34"/>
      <c r="T398" s="34"/>
      <c r="U398" s="34"/>
      <c r="V398" s="34"/>
      <c r="W398" s="34"/>
      <c r="X398" s="34"/>
      <c r="Y398" s="34"/>
    </row>
    <row r="399" spans="2:25">
      <c r="B399" s="16" t="s">
        <v>74</v>
      </c>
      <c r="C399" s="46" t="s">
        <v>28</v>
      </c>
      <c r="D399" s="47">
        <v>44960</v>
      </c>
      <c r="F399" s="39" t="s">
        <v>182</v>
      </c>
      <c r="G399" s="82">
        <v>524806</v>
      </c>
      <c r="H399" s="78" t="s">
        <v>256</v>
      </c>
      <c r="I399" s="16"/>
      <c r="J399" s="39"/>
      <c r="N399" s="46"/>
      <c r="O399" s="39"/>
      <c r="P399" s="16"/>
      <c r="Q399" s="39"/>
      <c r="R399" s="34"/>
      <c r="S399" s="34"/>
      <c r="T399" s="34"/>
      <c r="U399" s="34"/>
      <c r="V399" s="34"/>
      <c r="W399" s="34"/>
      <c r="X399" s="34"/>
      <c r="Y399" s="34"/>
    </row>
    <row r="400" spans="2:25">
      <c r="B400" s="16" t="s">
        <v>47</v>
      </c>
      <c r="C400" s="46" t="s">
        <v>28</v>
      </c>
      <c r="D400" s="47">
        <v>44967</v>
      </c>
      <c r="F400" s="46"/>
      <c r="G400" s="39"/>
      <c r="H400" s="16"/>
      <c r="I400" s="16"/>
      <c r="J400" s="39"/>
      <c r="N400" s="39" t="s">
        <v>57</v>
      </c>
      <c r="O400" s="39">
        <v>1001009</v>
      </c>
      <c r="P400" s="16" t="s">
        <v>583</v>
      </c>
      <c r="Q400" s="39"/>
      <c r="R400" s="34"/>
      <c r="S400" s="34" t="s">
        <v>545</v>
      </c>
      <c r="T400" s="34"/>
      <c r="U400" s="34" t="s">
        <v>94</v>
      </c>
      <c r="V400" s="54" t="s">
        <v>94</v>
      </c>
      <c r="W400" s="34" t="s">
        <v>35</v>
      </c>
      <c r="X400" s="54" t="s">
        <v>36</v>
      </c>
      <c r="Y400" s="153" t="s">
        <v>584</v>
      </c>
    </row>
    <row r="401" spans="2:25">
      <c r="B401" s="16" t="s">
        <v>74</v>
      </c>
      <c r="C401" s="46" t="s">
        <v>28</v>
      </c>
      <c r="D401" s="47">
        <v>44967</v>
      </c>
      <c r="F401" s="39" t="s">
        <v>182</v>
      </c>
      <c r="G401" s="39">
        <v>698405</v>
      </c>
      <c r="H401" s="16" t="s">
        <v>259</v>
      </c>
      <c r="I401" s="16"/>
      <c r="J401" s="39"/>
      <c r="N401" s="46"/>
      <c r="O401" s="39"/>
      <c r="P401" s="16"/>
      <c r="Q401" s="39"/>
      <c r="R401" s="34"/>
      <c r="S401" s="34"/>
      <c r="T401" s="34"/>
      <c r="U401" s="34"/>
      <c r="V401" s="34"/>
      <c r="W401" s="34"/>
      <c r="X401" s="34"/>
      <c r="Y401" s="34"/>
    </row>
    <row r="402" spans="2:25">
      <c r="B402" s="16" t="s">
        <v>47</v>
      </c>
      <c r="C402" s="46" t="s">
        <v>28</v>
      </c>
      <c r="D402" s="47">
        <v>44974</v>
      </c>
      <c r="F402" s="46"/>
      <c r="G402" s="39"/>
      <c r="H402" s="16"/>
      <c r="I402" s="16"/>
      <c r="J402" s="39"/>
      <c r="N402" s="39" t="s">
        <v>64</v>
      </c>
      <c r="O402" s="39">
        <v>2310006</v>
      </c>
      <c r="P402" s="16" t="s">
        <v>585</v>
      </c>
      <c r="Q402" s="39"/>
      <c r="R402" s="34"/>
      <c r="S402" s="34" t="s">
        <v>586</v>
      </c>
      <c r="T402" s="34"/>
      <c r="U402" s="34" t="s">
        <v>94</v>
      </c>
      <c r="V402" s="54" t="s">
        <v>94</v>
      </c>
      <c r="W402" s="34" t="s">
        <v>35</v>
      </c>
      <c r="X402" s="34" t="s">
        <v>36</v>
      </c>
      <c r="Y402" s="153" t="s">
        <v>587</v>
      </c>
    </row>
    <row r="403" spans="2:25">
      <c r="B403" s="16" t="s">
        <v>74</v>
      </c>
      <c r="C403" s="46" t="s">
        <v>28</v>
      </c>
      <c r="D403" s="47">
        <v>45002</v>
      </c>
      <c r="F403" s="39" t="s">
        <v>48</v>
      </c>
      <c r="G403" s="39">
        <v>2322901</v>
      </c>
      <c r="H403" s="16" t="s">
        <v>376</v>
      </c>
      <c r="I403" s="16"/>
      <c r="J403" s="39"/>
      <c r="N403" s="46"/>
      <c r="O403" s="39"/>
      <c r="P403" s="16"/>
      <c r="Q403" s="39"/>
      <c r="R403" s="34"/>
      <c r="S403" s="34"/>
      <c r="T403" s="34"/>
      <c r="U403" s="34"/>
      <c r="V403" s="34"/>
      <c r="W403" s="34"/>
      <c r="X403" s="34"/>
      <c r="Y403" s="34"/>
    </row>
    <row r="404" spans="2:25">
      <c r="B404" s="16" t="s">
        <v>47</v>
      </c>
      <c r="C404" s="46" t="s">
        <v>28</v>
      </c>
      <c r="D404" s="47">
        <v>45009</v>
      </c>
      <c r="F404" s="46"/>
      <c r="G404" s="39"/>
      <c r="H404" s="16"/>
      <c r="I404" s="16"/>
      <c r="J404" s="39"/>
      <c r="N404" s="39" t="s">
        <v>48</v>
      </c>
      <c r="O404" s="39">
        <v>2286903</v>
      </c>
      <c r="P404" s="16" t="s">
        <v>588</v>
      </c>
      <c r="Q404" s="39"/>
      <c r="R404" s="34"/>
      <c r="S404" s="34" t="s">
        <v>121</v>
      </c>
      <c r="T404" s="34"/>
      <c r="U404" s="34" t="s">
        <v>94</v>
      </c>
      <c r="V404" s="54" t="s">
        <v>94</v>
      </c>
      <c r="W404" s="34" t="s">
        <v>35</v>
      </c>
      <c r="X404" s="34" t="s">
        <v>36</v>
      </c>
      <c r="Y404" s="153" t="s">
        <v>526</v>
      </c>
    </row>
    <row r="405" spans="2:25">
      <c r="B405" s="16" t="s">
        <v>74</v>
      </c>
      <c r="C405" s="46" t="s">
        <v>28</v>
      </c>
      <c r="D405" s="47">
        <v>45022</v>
      </c>
      <c r="F405" s="39" t="s">
        <v>41</v>
      </c>
      <c r="G405" s="39">
        <v>1409004</v>
      </c>
      <c r="H405" s="16" t="s">
        <v>237</v>
      </c>
      <c r="I405" s="16"/>
      <c r="J405" s="39"/>
      <c r="N405" s="46"/>
      <c r="O405" s="39"/>
      <c r="P405" s="16"/>
      <c r="Q405" s="39"/>
      <c r="R405" s="34"/>
      <c r="S405" s="34"/>
      <c r="T405" s="34"/>
      <c r="U405" s="34"/>
      <c r="V405" s="34"/>
      <c r="W405" s="34"/>
      <c r="X405" s="34"/>
      <c r="Y405" s="34"/>
    </row>
    <row r="406" spans="2:25">
      <c r="B406" s="16" t="s">
        <v>74</v>
      </c>
      <c r="C406" s="80" t="s">
        <v>28</v>
      </c>
      <c r="D406" s="47">
        <v>45022</v>
      </c>
      <c r="F406" s="39" t="s">
        <v>297</v>
      </c>
      <c r="G406" s="39">
        <v>1452105</v>
      </c>
      <c r="H406" s="16" t="s">
        <v>589</v>
      </c>
      <c r="I406" s="16"/>
      <c r="J406" s="39"/>
      <c r="N406" s="46"/>
      <c r="O406" s="39"/>
      <c r="P406" s="16"/>
      <c r="Q406" s="39"/>
      <c r="R406" s="34"/>
      <c r="S406" s="34"/>
      <c r="T406" s="34"/>
      <c r="U406" s="34"/>
      <c r="V406" s="34"/>
      <c r="W406" s="34"/>
      <c r="X406" s="34"/>
      <c r="Y406" s="34"/>
    </row>
    <row r="407" spans="2:25">
      <c r="B407" s="16" t="s">
        <v>27</v>
      </c>
      <c r="C407" s="46" t="s">
        <v>28</v>
      </c>
      <c r="D407" s="47">
        <v>45044</v>
      </c>
      <c r="F407" s="39" t="s">
        <v>310</v>
      </c>
      <c r="G407" s="39">
        <v>2242603</v>
      </c>
      <c r="H407" s="16" t="s">
        <v>314</v>
      </c>
      <c r="I407" s="16"/>
      <c r="J407" s="39"/>
      <c r="N407" s="39" t="s">
        <v>310</v>
      </c>
      <c r="O407" s="39">
        <v>2242606</v>
      </c>
      <c r="P407" s="16" t="s">
        <v>590</v>
      </c>
      <c r="Q407" s="39"/>
      <c r="R407" s="34"/>
      <c r="S407" s="156">
        <v>45108</v>
      </c>
      <c r="T407" s="34"/>
      <c r="U407" s="34" t="s">
        <v>94</v>
      </c>
      <c r="V407" s="54" t="s">
        <v>94</v>
      </c>
      <c r="W407" s="34" t="s">
        <v>35</v>
      </c>
      <c r="X407" s="34" t="s">
        <v>36</v>
      </c>
      <c r="Y407" s="153" t="s">
        <v>591</v>
      </c>
    </row>
    <row r="408" spans="2:25">
      <c r="B408" s="16" t="s">
        <v>27</v>
      </c>
      <c r="C408" s="46" t="s">
        <v>28</v>
      </c>
      <c r="D408" s="47">
        <v>45044</v>
      </c>
      <c r="F408" s="39" t="s">
        <v>310</v>
      </c>
      <c r="G408" s="39">
        <v>2242803</v>
      </c>
      <c r="H408" s="16" t="s">
        <v>312</v>
      </c>
      <c r="I408" s="16"/>
      <c r="J408" s="39"/>
      <c r="N408" s="39" t="s">
        <v>310</v>
      </c>
      <c r="O408" s="39">
        <v>2242806</v>
      </c>
      <c r="P408" s="16" t="s">
        <v>592</v>
      </c>
      <c r="Q408" s="39"/>
      <c r="R408" s="34"/>
      <c r="S408" s="156">
        <v>45108</v>
      </c>
      <c r="T408" s="34"/>
      <c r="U408" s="34" t="s">
        <v>94</v>
      </c>
      <c r="V408" s="54" t="s">
        <v>94</v>
      </c>
      <c r="W408" s="34" t="s">
        <v>35</v>
      </c>
      <c r="X408" s="34" t="s">
        <v>36</v>
      </c>
      <c r="Y408" s="153" t="s">
        <v>593</v>
      </c>
    </row>
    <row r="409" spans="2:25">
      <c r="B409" s="16" t="s">
        <v>27</v>
      </c>
      <c r="C409" s="46" t="s">
        <v>28</v>
      </c>
      <c r="D409" s="47">
        <v>45044</v>
      </c>
      <c r="F409" s="39" t="s">
        <v>310</v>
      </c>
      <c r="G409" s="39">
        <v>2242703</v>
      </c>
      <c r="H409" s="16" t="s">
        <v>311</v>
      </c>
      <c r="I409" s="16"/>
      <c r="J409" s="39"/>
      <c r="N409" s="39" t="s">
        <v>310</v>
      </c>
      <c r="O409" s="39">
        <v>2242706</v>
      </c>
      <c r="P409" s="16" t="s">
        <v>594</v>
      </c>
      <c r="Q409" s="39"/>
      <c r="R409" s="34"/>
      <c r="S409" s="156">
        <v>45108</v>
      </c>
      <c r="T409" s="34"/>
      <c r="U409" s="34" t="s">
        <v>94</v>
      </c>
      <c r="V409" s="54" t="s">
        <v>94</v>
      </c>
      <c r="W409" s="34" t="s">
        <v>35</v>
      </c>
      <c r="X409" s="34" t="s">
        <v>36</v>
      </c>
      <c r="Y409" s="153" t="s">
        <v>595</v>
      </c>
    </row>
    <row r="410" spans="2:25">
      <c r="B410" s="16" t="s">
        <v>27</v>
      </c>
      <c r="C410" s="46" t="s">
        <v>28</v>
      </c>
      <c r="D410" s="47">
        <v>45044</v>
      </c>
      <c r="F410" s="39" t="s">
        <v>310</v>
      </c>
      <c r="G410" s="39">
        <v>2242402</v>
      </c>
      <c r="H410" s="16" t="s">
        <v>313</v>
      </c>
      <c r="I410" s="16"/>
      <c r="J410" s="39"/>
      <c r="N410" s="39" t="s">
        <v>310</v>
      </c>
      <c r="O410" s="39">
        <v>2242405</v>
      </c>
      <c r="P410" s="16" t="s">
        <v>596</v>
      </c>
      <c r="Q410" s="39"/>
      <c r="R410" s="34"/>
      <c r="S410" s="156">
        <v>45108</v>
      </c>
      <c r="T410" s="34"/>
      <c r="U410" s="34" t="s">
        <v>94</v>
      </c>
      <c r="V410" s="54" t="s">
        <v>94</v>
      </c>
      <c r="W410" s="34" t="s">
        <v>35</v>
      </c>
      <c r="X410" s="34" t="s">
        <v>36</v>
      </c>
      <c r="Y410" s="153" t="s">
        <v>597</v>
      </c>
    </row>
    <row r="411" spans="2:25">
      <c r="B411" s="16" t="s">
        <v>27</v>
      </c>
      <c r="C411" s="46" t="s">
        <v>28</v>
      </c>
      <c r="D411" s="47">
        <v>45044</v>
      </c>
      <c r="F411" s="39" t="s">
        <v>310</v>
      </c>
      <c r="G411" s="39">
        <v>2242302</v>
      </c>
      <c r="H411" s="16" t="s">
        <v>447</v>
      </c>
      <c r="I411" s="16"/>
      <c r="J411" s="39"/>
      <c r="N411" s="39" t="s">
        <v>310</v>
      </c>
      <c r="O411" s="39">
        <v>2242305</v>
      </c>
      <c r="P411" s="16" t="s">
        <v>598</v>
      </c>
      <c r="Q411" s="39"/>
      <c r="R411" s="34"/>
      <c r="S411" s="156">
        <v>45108</v>
      </c>
      <c r="T411" s="34"/>
      <c r="U411" s="34" t="s">
        <v>94</v>
      </c>
      <c r="V411" s="54" t="s">
        <v>94</v>
      </c>
      <c r="W411" s="34" t="s">
        <v>35</v>
      </c>
      <c r="X411" s="34" t="s">
        <v>36</v>
      </c>
      <c r="Y411" s="153" t="s">
        <v>599</v>
      </c>
    </row>
    <row r="412" spans="2:25">
      <c r="B412" s="16" t="s">
        <v>74</v>
      </c>
      <c r="C412" s="46" t="s">
        <v>28</v>
      </c>
      <c r="D412" s="47">
        <v>45051</v>
      </c>
      <c r="F412" s="39" t="s">
        <v>103</v>
      </c>
      <c r="G412" s="39">
        <v>1498402</v>
      </c>
      <c r="H412" s="16" t="s">
        <v>600</v>
      </c>
      <c r="I412" s="16"/>
      <c r="J412" s="39"/>
      <c r="N412" s="46"/>
      <c r="O412" s="39"/>
      <c r="P412" s="16"/>
      <c r="Q412" s="39"/>
      <c r="R412" s="34"/>
      <c r="S412" s="34"/>
      <c r="T412" s="34"/>
      <c r="U412" s="34"/>
      <c r="V412" s="34"/>
      <c r="W412" s="34"/>
      <c r="X412" s="34"/>
      <c r="Y412" s="34"/>
    </row>
    <row r="413" spans="2:25">
      <c r="B413" s="16" t="s">
        <v>27</v>
      </c>
      <c r="C413" s="46" t="s">
        <v>28</v>
      </c>
      <c r="D413" s="47">
        <v>45058</v>
      </c>
      <c r="F413" s="39" t="s">
        <v>310</v>
      </c>
      <c r="G413" s="39">
        <v>2095807</v>
      </c>
      <c r="H413" s="16" t="s">
        <v>252</v>
      </c>
      <c r="I413" s="16"/>
      <c r="J413" s="39"/>
      <c r="N413" s="39" t="s">
        <v>310</v>
      </c>
      <c r="O413" s="39">
        <v>2095811</v>
      </c>
      <c r="P413" s="16" t="s">
        <v>601</v>
      </c>
      <c r="Q413" s="39"/>
      <c r="R413" s="34"/>
      <c r="S413" s="156">
        <v>45139</v>
      </c>
      <c r="T413" s="34"/>
      <c r="U413" s="34" t="s">
        <v>94</v>
      </c>
      <c r="V413" s="54" t="s">
        <v>94</v>
      </c>
      <c r="W413" s="34" t="s">
        <v>35</v>
      </c>
      <c r="X413" s="34" t="s">
        <v>36</v>
      </c>
      <c r="Y413" s="153" t="s">
        <v>602</v>
      </c>
    </row>
    <row r="414" spans="2:25">
      <c r="B414" s="16" t="s">
        <v>27</v>
      </c>
      <c r="C414" s="46" t="s">
        <v>28</v>
      </c>
      <c r="D414" s="47">
        <v>45058</v>
      </c>
      <c r="F414" s="39" t="s">
        <v>310</v>
      </c>
      <c r="G414" s="39">
        <v>2096007</v>
      </c>
      <c r="H414" s="16" t="s">
        <v>262</v>
      </c>
      <c r="I414" s="16"/>
      <c r="J414" s="39"/>
      <c r="N414" s="39" t="s">
        <v>310</v>
      </c>
      <c r="O414" s="39">
        <v>2096011</v>
      </c>
      <c r="P414" s="16" t="s">
        <v>603</v>
      </c>
      <c r="Q414" s="39"/>
      <c r="R414" s="34"/>
      <c r="S414" s="156">
        <v>45139</v>
      </c>
      <c r="T414" s="34"/>
      <c r="U414" s="34" t="s">
        <v>94</v>
      </c>
      <c r="V414" s="54" t="s">
        <v>94</v>
      </c>
      <c r="W414" s="34" t="s">
        <v>35</v>
      </c>
      <c r="X414" s="34" t="s">
        <v>36</v>
      </c>
      <c r="Y414" s="153" t="s">
        <v>604</v>
      </c>
    </row>
    <row r="415" spans="2:25">
      <c r="B415" s="16" t="s">
        <v>74</v>
      </c>
      <c r="C415" s="46" t="s">
        <v>28</v>
      </c>
      <c r="D415" s="47">
        <v>45058</v>
      </c>
      <c r="F415" s="39" t="s">
        <v>103</v>
      </c>
      <c r="G415" s="39">
        <v>2245403</v>
      </c>
      <c r="H415" s="16" t="s">
        <v>458</v>
      </c>
      <c r="I415" s="16"/>
      <c r="J415" s="39"/>
      <c r="N415" s="46"/>
      <c r="O415" s="39"/>
      <c r="P415" s="16"/>
      <c r="Q415" s="39"/>
      <c r="R415" s="34"/>
      <c r="S415" s="34"/>
      <c r="T415" s="34"/>
      <c r="U415" s="34"/>
      <c r="V415" s="34"/>
      <c r="W415" s="34"/>
      <c r="X415" s="34"/>
      <c r="Y415" s="34"/>
    </row>
    <row r="416" spans="2:25">
      <c r="B416" s="16" t="s">
        <v>74</v>
      </c>
      <c r="C416" s="46" t="s">
        <v>28</v>
      </c>
      <c r="D416" s="47">
        <v>45058</v>
      </c>
      <c r="F416" s="39" t="s">
        <v>103</v>
      </c>
      <c r="G416" s="39">
        <v>2245503</v>
      </c>
      <c r="H416" s="16" t="s">
        <v>461</v>
      </c>
      <c r="I416" s="16"/>
      <c r="J416" s="39"/>
      <c r="N416" s="46"/>
      <c r="O416" s="39"/>
      <c r="P416" s="16"/>
      <c r="Q416" s="39"/>
      <c r="R416" s="34"/>
      <c r="S416" s="34"/>
      <c r="T416" s="34"/>
      <c r="U416" s="34"/>
      <c r="V416" s="34"/>
      <c r="W416" s="34"/>
      <c r="X416" s="34"/>
      <c r="Y416" s="34"/>
    </row>
    <row r="417" spans="2:25">
      <c r="B417" s="16" t="s">
        <v>74</v>
      </c>
      <c r="C417" s="46" t="s">
        <v>28</v>
      </c>
      <c r="D417" s="47">
        <v>45058</v>
      </c>
      <c r="F417" s="39" t="s">
        <v>103</v>
      </c>
      <c r="G417" s="39">
        <v>478442</v>
      </c>
      <c r="H417" s="16" t="s">
        <v>605</v>
      </c>
      <c r="I417" s="16"/>
      <c r="J417" s="39"/>
      <c r="N417" s="46"/>
      <c r="O417" s="39"/>
      <c r="P417" s="16"/>
      <c r="Q417" s="39"/>
      <c r="R417" s="34"/>
      <c r="S417" s="34"/>
      <c r="T417" s="34"/>
      <c r="U417" s="34"/>
      <c r="V417" s="34"/>
      <c r="W417" s="34"/>
      <c r="X417" s="34"/>
      <c r="Y417" s="34"/>
    </row>
    <row r="418" spans="2:25">
      <c r="B418" s="16" t="s">
        <v>74</v>
      </c>
      <c r="C418" s="46" t="s">
        <v>28</v>
      </c>
      <c r="D418" s="47">
        <v>45058</v>
      </c>
      <c r="F418" s="39" t="s">
        <v>57</v>
      </c>
      <c r="G418" s="39">
        <v>447202</v>
      </c>
      <c r="H418" s="16" t="s">
        <v>534</v>
      </c>
      <c r="I418" s="16"/>
      <c r="J418" s="39"/>
      <c r="N418" s="46"/>
      <c r="O418" s="39"/>
      <c r="P418" s="16"/>
      <c r="Q418" s="39"/>
      <c r="R418" s="34"/>
      <c r="S418" s="34"/>
      <c r="T418" s="34"/>
      <c r="U418" s="34"/>
      <c r="V418" s="34"/>
      <c r="W418" s="34"/>
      <c r="X418" s="34"/>
      <c r="Y418" s="34"/>
    </row>
    <row r="419" spans="2:25">
      <c r="B419" s="16" t="s">
        <v>47</v>
      </c>
      <c r="C419" s="46" t="s">
        <v>606</v>
      </c>
      <c r="D419" s="47">
        <v>45100</v>
      </c>
      <c r="F419" s="46"/>
      <c r="G419" s="39"/>
      <c r="H419" s="16"/>
      <c r="I419" s="16"/>
      <c r="J419" s="39"/>
      <c r="N419" s="91" t="s">
        <v>329</v>
      </c>
      <c r="O419" s="91">
        <v>2511001</v>
      </c>
      <c r="P419" s="92" t="s">
        <v>607</v>
      </c>
      <c r="Q419" s="39"/>
      <c r="R419" s="34"/>
      <c r="S419" s="34"/>
      <c r="T419" s="34"/>
      <c r="U419" s="162" t="s">
        <v>92</v>
      </c>
      <c r="V419" s="162" t="s">
        <v>92</v>
      </c>
      <c r="W419" s="162" t="s">
        <v>35</v>
      </c>
      <c r="X419" s="162" t="s">
        <v>102</v>
      </c>
      <c r="Y419" s="153" t="s">
        <v>608</v>
      </c>
    </row>
    <row r="420" spans="2:25">
      <c r="B420" s="16" t="s">
        <v>74</v>
      </c>
      <c r="C420" s="46" t="s">
        <v>28</v>
      </c>
      <c r="D420" s="47">
        <v>45114</v>
      </c>
      <c r="F420" s="39" t="s">
        <v>112</v>
      </c>
      <c r="G420" s="39">
        <v>109102</v>
      </c>
      <c r="H420" s="16" t="s">
        <v>437</v>
      </c>
      <c r="I420" s="16"/>
      <c r="J420" s="39"/>
      <c r="N420" s="46"/>
      <c r="O420" s="39"/>
      <c r="P420" s="16"/>
      <c r="Q420" s="39"/>
      <c r="R420" s="34"/>
      <c r="S420" s="34"/>
      <c r="T420" s="34"/>
      <c r="U420" s="34"/>
      <c r="V420" s="34"/>
      <c r="W420" s="34"/>
      <c r="X420" s="34"/>
      <c r="Y420" s="34"/>
    </row>
    <row r="421" spans="2:25">
      <c r="B421" s="16" t="s">
        <v>74</v>
      </c>
      <c r="C421" s="80" t="s">
        <v>28</v>
      </c>
      <c r="D421" s="47">
        <v>45114</v>
      </c>
      <c r="F421" s="39" t="s">
        <v>48</v>
      </c>
      <c r="G421" s="39">
        <v>109002</v>
      </c>
      <c r="H421" s="16" t="s">
        <v>609</v>
      </c>
      <c r="I421" s="16"/>
      <c r="J421" s="39"/>
      <c r="N421" s="46"/>
      <c r="O421" s="39"/>
      <c r="P421" s="16"/>
      <c r="Q421" s="39"/>
      <c r="R421" s="34"/>
      <c r="S421" s="34"/>
      <c r="T421" s="34"/>
      <c r="U421" s="34"/>
      <c r="V421" s="34"/>
      <c r="W421" s="34"/>
      <c r="X421" s="34"/>
      <c r="Y421" s="34"/>
    </row>
    <row r="422" spans="2:25">
      <c r="B422" s="16" t="s">
        <v>74</v>
      </c>
      <c r="C422" s="46" t="s">
        <v>28</v>
      </c>
      <c r="D422" s="47">
        <v>45114</v>
      </c>
      <c r="F422" s="39" t="s">
        <v>57</v>
      </c>
      <c r="G422" s="39">
        <v>108102</v>
      </c>
      <c r="H422" s="16" t="s">
        <v>610</v>
      </c>
      <c r="I422" s="16"/>
      <c r="J422" s="39"/>
      <c r="N422" s="46"/>
      <c r="O422" s="39"/>
      <c r="P422" s="16"/>
      <c r="Q422" s="39"/>
      <c r="R422" s="34"/>
      <c r="S422" s="34"/>
      <c r="T422" s="34"/>
      <c r="U422" s="34"/>
      <c r="V422" s="34"/>
      <c r="W422" s="34"/>
      <c r="X422" s="34"/>
      <c r="Y422" s="34"/>
    </row>
    <row r="423" spans="2:25">
      <c r="B423" s="16" t="s">
        <v>74</v>
      </c>
      <c r="C423" s="46" t="s">
        <v>28</v>
      </c>
      <c r="D423" s="47">
        <v>45121</v>
      </c>
      <c r="F423" s="39" t="s">
        <v>103</v>
      </c>
      <c r="G423" s="39">
        <v>142504</v>
      </c>
      <c r="H423" s="16" t="s">
        <v>258</v>
      </c>
      <c r="I423" s="16"/>
      <c r="J423" s="39"/>
      <c r="N423" s="46"/>
      <c r="O423" s="39"/>
      <c r="P423" s="16"/>
      <c r="Q423" s="39"/>
      <c r="R423" s="34"/>
      <c r="S423" s="34"/>
      <c r="T423" s="34"/>
      <c r="U423" s="34"/>
      <c r="V423" s="34"/>
      <c r="W423" s="34"/>
      <c r="X423" s="34"/>
      <c r="Y423" s="34"/>
    </row>
    <row r="424" spans="2:25">
      <c r="B424" s="16" t="s">
        <v>47</v>
      </c>
      <c r="C424" s="46" t="s">
        <v>28</v>
      </c>
      <c r="D424" s="47">
        <v>45135</v>
      </c>
      <c r="F424" s="46"/>
      <c r="G424" s="39"/>
      <c r="H424" s="16"/>
      <c r="I424" s="16"/>
      <c r="J424" s="39"/>
      <c r="N424" s="39" t="s">
        <v>338</v>
      </c>
      <c r="O424" s="39">
        <v>2226703</v>
      </c>
      <c r="P424" s="16" t="s">
        <v>611</v>
      </c>
      <c r="Q424" s="39"/>
      <c r="R424" s="34"/>
      <c r="S424" s="34"/>
      <c r="T424" s="34"/>
      <c r="U424" s="34" t="s">
        <v>94</v>
      </c>
      <c r="V424" s="54" t="s">
        <v>94</v>
      </c>
      <c r="W424" s="34" t="s">
        <v>35</v>
      </c>
      <c r="X424" s="34" t="s">
        <v>36</v>
      </c>
      <c r="Y424" s="153" t="s">
        <v>612</v>
      </c>
    </row>
    <row r="425" spans="2:25">
      <c r="B425" s="16" t="s">
        <v>74</v>
      </c>
      <c r="C425" s="46" t="s">
        <v>28</v>
      </c>
      <c r="D425" s="47">
        <v>45135</v>
      </c>
      <c r="F425" s="39" t="s">
        <v>57</v>
      </c>
      <c r="G425" s="39">
        <v>1442902</v>
      </c>
      <c r="H425" s="16" t="s">
        <v>383</v>
      </c>
      <c r="I425" s="16"/>
      <c r="J425" s="39"/>
      <c r="N425" s="46"/>
      <c r="O425" s="39"/>
      <c r="P425" s="16"/>
      <c r="Q425" s="39"/>
      <c r="R425" s="34"/>
      <c r="S425" s="34"/>
      <c r="T425" s="34"/>
      <c r="U425" s="34"/>
      <c r="V425" s="34"/>
      <c r="W425" s="34"/>
      <c r="X425" s="34"/>
      <c r="Y425" s="34"/>
    </row>
    <row r="426" spans="2:25">
      <c r="B426" s="16" t="s">
        <v>74</v>
      </c>
      <c r="C426" s="80" t="s">
        <v>28</v>
      </c>
      <c r="D426" s="81">
        <v>45169</v>
      </c>
      <c r="E426" s="107"/>
      <c r="F426" s="82" t="s">
        <v>112</v>
      </c>
      <c r="G426" s="122">
        <v>1025806</v>
      </c>
      <c r="H426" s="78" t="s">
        <v>403</v>
      </c>
      <c r="I426" s="16"/>
      <c r="J426" s="39"/>
      <c r="N426" s="46"/>
      <c r="O426" s="39"/>
      <c r="P426" s="16"/>
      <c r="Q426" s="39"/>
      <c r="R426" s="34"/>
      <c r="S426" s="34"/>
      <c r="T426" s="34"/>
      <c r="U426" s="34"/>
      <c r="V426" s="34"/>
      <c r="W426" s="34"/>
      <c r="X426" s="34"/>
      <c r="Y426" s="34"/>
    </row>
    <row r="427" spans="2:25">
      <c r="B427" s="16" t="s">
        <v>74</v>
      </c>
      <c r="C427" s="80" t="s">
        <v>28</v>
      </c>
      <c r="D427" s="81">
        <v>45169</v>
      </c>
      <c r="E427" s="107"/>
      <c r="F427" s="82" t="s">
        <v>112</v>
      </c>
      <c r="G427" s="122">
        <v>592236</v>
      </c>
      <c r="H427" s="78" t="s">
        <v>411</v>
      </c>
      <c r="I427" s="16"/>
      <c r="J427" s="39"/>
      <c r="N427" s="46"/>
      <c r="O427" s="39"/>
      <c r="P427" s="16"/>
      <c r="Q427" s="39"/>
      <c r="R427" s="34"/>
      <c r="S427" s="34"/>
      <c r="T427" s="34"/>
      <c r="U427" s="34"/>
      <c r="V427" s="34"/>
      <c r="W427" s="34"/>
      <c r="X427" s="34"/>
      <c r="Y427" s="34"/>
    </row>
    <row r="428" spans="2:25">
      <c r="B428" s="16" t="s">
        <v>47</v>
      </c>
      <c r="C428" s="80" t="s">
        <v>28</v>
      </c>
      <c r="D428" s="81">
        <v>45177</v>
      </c>
      <c r="E428" s="107"/>
      <c r="F428" s="82"/>
      <c r="G428" s="122"/>
      <c r="H428" s="78"/>
      <c r="I428" s="16"/>
      <c r="J428" s="39"/>
      <c r="N428" s="39" t="s">
        <v>198</v>
      </c>
      <c r="O428" s="39">
        <v>2191107</v>
      </c>
      <c r="P428" s="16" t="s">
        <v>613</v>
      </c>
      <c r="Q428" s="39"/>
      <c r="R428" s="34"/>
      <c r="S428" s="34"/>
      <c r="T428" s="34"/>
      <c r="U428" s="34" t="s">
        <v>94</v>
      </c>
      <c r="V428" s="54" t="s">
        <v>94</v>
      </c>
      <c r="W428" s="34" t="s">
        <v>35</v>
      </c>
      <c r="X428" s="34" t="s">
        <v>36</v>
      </c>
      <c r="Y428" s="153" t="s">
        <v>614</v>
      </c>
    </row>
    <row r="429" spans="2:25">
      <c r="B429" s="16" t="s">
        <v>74</v>
      </c>
      <c r="C429" s="80" t="s">
        <v>28</v>
      </c>
      <c r="D429" s="81">
        <v>45177</v>
      </c>
      <c r="E429" s="107"/>
      <c r="F429" s="82" t="s">
        <v>48</v>
      </c>
      <c r="G429" s="122">
        <v>280506</v>
      </c>
      <c r="H429" s="78" t="s">
        <v>388</v>
      </c>
      <c r="I429" s="16"/>
      <c r="J429" s="39"/>
      <c r="N429" s="46"/>
      <c r="O429" s="39"/>
      <c r="P429" s="16"/>
      <c r="Q429" s="39"/>
      <c r="R429" s="34"/>
      <c r="S429" s="34"/>
      <c r="T429" s="34"/>
      <c r="U429" s="34"/>
      <c r="V429" s="34"/>
      <c r="W429" s="34"/>
      <c r="X429" s="34"/>
      <c r="Y429" s="34"/>
    </row>
    <row r="430" spans="2:25">
      <c r="B430" s="16" t="s">
        <v>74</v>
      </c>
      <c r="C430" s="80" t="s">
        <v>28</v>
      </c>
      <c r="D430" s="81">
        <v>45184</v>
      </c>
      <c r="E430" s="107"/>
      <c r="F430" s="82" t="s">
        <v>48</v>
      </c>
      <c r="G430" s="122">
        <v>400405</v>
      </c>
      <c r="H430" s="78" t="s">
        <v>405</v>
      </c>
      <c r="I430" s="16"/>
      <c r="J430" s="39"/>
      <c r="N430" s="46"/>
      <c r="O430" s="39"/>
      <c r="P430" s="16"/>
      <c r="Q430" s="39"/>
      <c r="R430" s="34"/>
      <c r="S430" s="34"/>
      <c r="T430" s="34"/>
      <c r="U430" s="34"/>
      <c r="V430" s="34"/>
      <c r="W430" s="34"/>
      <c r="X430" s="34"/>
      <c r="Y430" s="34"/>
    </row>
    <row r="431" spans="2:25">
      <c r="B431" s="16" t="s">
        <v>74</v>
      </c>
      <c r="C431" s="80" t="s">
        <v>28</v>
      </c>
      <c r="D431" s="81">
        <v>45191</v>
      </c>
      <c r="E431" s="107"/>
      <c r="F431" s="82" t="s">
        <v>41</v>
      </c>
      <c r="G431" s="82">
        <v>2184501</v>
      </c>
      <c r="H431" s="78" t="s">
        <v>239</v>
      </c>
      <c r="I431" s="16"/>
      <c r="J431" s="39"/>
      <c r="N431" s="46"/>
      <c r="O431" s="39"/>
      <c r="P431" s="16"/>
      <c r="Q431" s="39"/>
      <c r="R431" s="34"/>
      <c r="S431" s="34"/>
      <c r="T431" s="34"/>
      <c r="U431" s="34"/>
      <c r="V431" s="34"/>
      <c r="W431" s="34"/>
      <c r="X431" s="34"/>
      <c r="Y431" s="34"/>
    </row>
    <row r="432" spans="2:25">
      <c r="B432" s="16" t="s">
        <v>74</v>
      </c>
      <c r="C432" s="80" t="s">
        <v>28</v>
      </c>
      <c r="D432" s="81">
        <v>45198</v>
      </c>
      <c r="E432" s="107"/>
      <c r="F432" s="82" t="s">
        <v>310</v>
      </c>
      <c r="G432" s="82">
        <v>2095807</v>
      </c>
      <c r="H432" s="78" t="s">
        <v>252</v>
      </c>
      <c r="I432" s="16"/>
      <c r="J432" s="39"/>
      <c r="N432" s="46"/>
      <c r="O432" s="39"/>
      <c r="P432" s="16"/>
      <c r="Q432" s="39"/>
      <c r="R432" s="34"/>
      <c r="S432" s="34"/>
      <c r="T432" s="34"/>
      <c r="U432" s="34"/>
      <c r="V432" s="34"/>
      <c r="W432" s="34"/>
      <c r="X432" s="34"/>
      <c r="Y432" s="34"/>
    </row>
    <row r="433" spans="2:25">
      <c r="B433" s="16" t="s">
        <v>47</v>
      </c>
      <c r="C433" s="80" t="s">
        <v>28</v>
      </c>
      <c r="D433" s="81">
        <v>45233</v>
      </c>
      <c r="E433" s="107"/>
      <c r="F433" s="80"/>
      <c r="G433" s="82"/>
      <c r="H433" s="78"/>
      <c r="I433" s="78"/>
      <c r="J433" s="82"/>
      <c r="K433" s="118"/>
      <c r="L433" s="118"/>
      <c r="M433" s="107"/>
      <c r="N433" s="82" t="s">
        <v>615</v>
      </c>
      <c r="O433" s="82">
        <v>2462621</v>
      </c>
      <c r="P433" s="78" t="s">
        <v>616</v>
      </c>
      <c r="Q433" s="39"/>
      <c r="R433" s="34"/>
      <c r="S433" s="156">
        <v>45383</v>
      </c>
      <c r="T433" s="34"/>
      <c r="U433" s="38" t="s">
        <v>94</v>
      </c>
      <c r="V433" s="98" t="s">
        <v>94</v>
      </c>
      <c r="W433" s="38" t="s">
        <v>35</v>
      </c>
      <c r="X433" s="38" t="s">
        <v>36</v>
      </c>
      <c r="Y433" s="153" t="s">
        <v>617</v>
      </c>
    </row>
    <row r="434" spans="2:25">
      <c r="B434" s="16" t="s">
        <v>47</v>
      </c>
      <c r="C434" s="80" t="s">
        <v>28</v>
      </c>
      <c r="D434" s="81">
        <v>45233</v>
      </c>
      <c r="E434" s="107"/>
      <c r="F434" s="80"/>
      <c r="G434" s="82"/>
      <c r="H434" s="78"/>
      <c r="I434" s="78"/>
      <c r="J434" s="82"/>
      <c r="K434" s="118"/>
      <c r="L434" s="118"/>
      <c r="M434" s="107"/>
      <c r="N434" s="82" t="s">
        <v>57</v>
      </c>
      <c r="O434" s="82">
        <v>2513901</v>
      </c>
      <c r="P434" s="78" t="s">
        <v>618</v>
      </c>
      <c r="Q434" s="39"/>
      <c r="R434" s="34"/>
      <c r="S434" s="34" t="s">
        <v>619</v>
      </c>
      <c r="T434" s="34"/>
      <c r="U434" s="34" t="s">
        <v>94</v>
      </c>
      <c r="V434" s="54" t="s">
        <v>94</v>
      </c>
      <c r="W434" s="34" t="s">
        <v>35</v>
      </c>
      <c r="X434" s="34" t="s">
        <v>36</v>
      </c>
      <c r="Y434" s="153" t="s">
        <v>620</v>
      </c>
    </row>
    <row r="435" spans="2:25">
      <c r="B435" s="16" t="s">
        <v>74</v>
      </c>
      <c r="C435" s="80" t="s">
        <v>28</v>
      </c>
      <c r="D435" s="81">
        <v>45240</v>
      </c>
      <c r="E435" s="107"/>
      <c r="F435" s="82" t="s">
        <v>57</v>
      </c>
      <c r="G435" s="122">
        <v>298128</v>
      </c>
      <c r="H435" s="78" t="s">
        <v>418</v>
      </c>
      <c r="I435" s="16"/>
      <c r="J435" s="39"/>
      <c r="N435" s="46"/>
      <c r="O435" s="39"/>
      <c r="P435" s="16"/>
      <c r="Q435" s="39"/>
      <c r="R435" s="34"/>
      <c r="S435" s="34"/>
      <c r="T435" s="34"/>
      <c r="U435" s="34"/>
      <c r="V435" s="34"/>
      <c r="W435" s="34"/>
      <c r="X435" s="34"/>
      <c r="Y435" s="34"/>
    </row>
    <row r="436" spans="2:25">
      <c r="B436" s="16" t="s">
        <v>74</v>
      </c>
      <c r="C436" s="80" t="s">
        <v>28</v>
      </c>
      <c r="D436" s="81">
        <v>45240</v>
      </c>
      <c r="E436" s="107"/>
      <c r="F436" s="82" t="s">
        <v>57</v>
      </c>
      <c r="G436" s="82">
        <v>592058</v>
      </c>
      <c r="H436" s="78" t="s">
        <v>420</v>
      </c>
      <c r="I436" s="16"/>
      <c r="J436" s="39"/>
      <c r="N436" s="46"/>
      <c r="O436" s="39"/>
      <c r="P436" s="16"/>
      <c r="Q436" s="39"/>
      <c r="R436" s="34"/>
      <c r="S436" s="34"/>
      <c r="T436" s="34"/>
      <c r="U436" s="34"/>
      <c r="V436" s="34"/>
      <c r="W436" s="34"/>
      <c r="X436" s="34"/>
      <c r="Y436" s="34"/>
    </row>
    <row r="437" spans="2:25">
      <c r="B437" s="16" t="s">
        <v>74</v>
      </c>
      <c r="C437" s="80" t="s">
        <v>28</v>
      </c>
      <c r="D437" s="81">
        <v>45240</v>
      </c>
      <c r="E437" s="107"/>
      <c r="F437" s="82" t="s">
        <v>48</v>
      </c>
      <c r="G437" s="122">
        <v>592137</v>
      </c>
      <c r="H437" s="78" t="s">
        <v>407</v>
      </c>
      <c r="I437" s="16"/>
      <c r="J437" s="39"/>
      <c r="N437" s="46"/>
      <c r="O437" s="39"/>
      <c r="P437" s="16"/>
      <c r="Q437" s="39"/>
      <c r="R437" s="34"/>
      <c r="S437" s="34"/>
      <c r="T437" s="34"/>
      <c r="U437" s="34"/>
      <c r="V437" s="34"/>
      <c r="W437" s="34"/>
      <c r="X437" s="34"/>
      <c r="Y437" s="34"/>
    </row>
    <row r="438" spans="2:25">
      <c r="B438" s="16" t="s">
        <v>74</v>
      </c>
      <c r="C438" s="80" t="s">
        <v>28</v>
      </c>
      <c r="D438" s="81">
        <v>45240</v>
      </c>
      <c r="E438" s="107"/>
      <c r="F438" s="82" t="s">
        <v>57</v>
      </c>
      <c r="G438" s="82">
        <v>592333</v>
      </c>
      <c r="H438" s="78" t="s">
        <v>416</v>
      </c>
      <c r="I438" s="16"/>
      <c r="J438" s="39"/>
      <c r="N438" s="46"/>
      <c r="O438" s="39"/>
      <c r="P438" s="16"/>
      <c r="Q438" s="39"/>
      <c r="R438" s="34"/>
      <c r="S438" s="34"/>
      <c r="T438" s="34"/>
      <c r="U438" s="34"/>
      <c r="V438" s="34"/>
      <c r="W438" s="34"/>
      <c r="X438" s="34"/>
      <c r="Y438" s="34"/>
    </row>
    <row r="439" spans="2:25">
      <c r="B439" s="16" t="s">
        <v>74</v>
      </c>
      <c r="C439" s="80" t="s">
        <v>28</v>
      </c>
      <c r="D439" s="81">
        <v>45240</v>
      </c>
      <c r="E439" s="107"/>
      <c r="F439" s="82" t="s">
        <v>86</v>
      </c>
      <c r="G439" s="122">
        <v>1007502</v>
      </c>
      <c r="H439" s="78" t="s">
        <v>414</v>
      </c>
      <c r="I439" s="16"/>
      <c r="J439" s="39"/>
      <c r="N439" s="46"/>
      <c r="O439" s="39"/>
      <c r="P439" s="16"/>
      <c r="Q439" s="39"/>
      <c r="R439" s="34"/>
      <c r="S439" s="34"/>
      <c r="T439" s="34"/>
      <c r="U439" s="34"/>
      <c r="V439" s="34"/>
      <c r="W439" s="34"/>
      <c r="X439" s="34"/>
      <c r="Y439" s="34"/>
    </row>
    <row r="440" spans="2:25">
      <c r="B440" s="16" t="s">
        <v>74</v>
      </c>
      <c r="C440" s="80" t="s">
        <v>28</v>
      </c>
      <c r="D440" s="81">
        <v>45240</v>
      </c>
      <c r="E440" s="107"/>
      <c r="F440" s="82" t="s">
        <v>48</v>
      </c>
      <c r="G440" s="82">
        <v>1785802</v>
      </c>
      <c r="H440" s="78" t="s">
        <v>409</v>
      </c>
      <c r="I440" s="16"/>
      <c r="J440" s="39"/>
      <c r="N440" s="46"/>
      <c r="O440" s="39"/>
      <c r="P440" s="16"/>
      <c r="Q440" s="39"/>
      <c r="R440" s="34"/>
      <c r="S440" s="34"/>
      <c r="T440" s="34"/>
      <c r="U440" s="34"/>
      <c r="V440" s="34"/>
      <c r="W440" s="34"/>
      <c r="X440" s="34"/>
      <c r="Y440" s="34"/>
    </row>
    <row r="441" spans="2:25">
      <c r="B441" s="16" t="s">
        <v>74</v>
      </c>
      <c r="C441" s="46" t="s">
        <v>28</v>
      </c>
      <c r="D441" s="81">
        <v>45261</v>
      </c>
      <c r="E441" s="107"/>
      <c r="F441" s="82" t="s">
        <v>297</v>
      </c>
      <c r="G441" s="82">
        <v>1565404</v>
      </c>
      <c r="H441" s="163" t="s">
        <v>621</v>
      </c>
      <c r="I441" s="16"/>
      <c r="J441" s="39"/>
      <c r="N441" s="46"/>
      <c r="O441" s="39"/>
      <c r="P441" s="16"/>
      <c r="Q441" s="39"/>
      <c r="R441" s="34"/>
      <c r="S441" s="34"/>
      <c r="T441" s="34"/>
      <c r="U441" s="34"/>
      <c r="V441" s="34"/>
      <c r="W441" s="34"/>
      <c r="X441" s="34"/>
      <c r="Y441" s="34"/>
    </row>
    <row r="442" spans="2:25">
      <c r="B442" s="16" t="s">
        <v>47</v>
      </c>
      <c r="C442" s="46" t="s">
        <v>28</v>
      </c>
      <c r="D442" s="47">
        <v>45275</v>
      </c>
      <c r="F442" s="46"/>
      <c r="G442" s="39"/>
      <c r="H442" s="16"/>
      <c r="I442" s="16"/>
      <c r="J442" s="39"/>
      <c r="N442" s="39" t="s">
        <v>57</v>
      </c>
      <c r="O442" s="106">
        <v>2282103</v>
      </c>
      <c r="P442" s="115" t="s">
        <v>622</v>
      </c>
      <c r="Q442" s="39"/>
      <c r="R442" s="34"/>
      <c r="S442" s="34" t="s">
        <v>121</v>
      </c>
      <c r="T442" s="34"/>
      <c r="U442" s="34" t="s">
        <v>94</v>
      </c>
      <c r="V442" s="54" t="s">
        <v>94</v>
      </c>
      <c r="W442" s="34" t="s">
        <v>35</v>
      </c>
      <c r="X442" s="34" t="s">
        <v>36</v>
      </c>
      <c r="Y442" s="153" t="s">
        <v>623</v>
      </c>
    </row>
    <row r="443" spans="2:25">
      <c r="B443" s="16" t="s">
        <v>47</v>
      </c>
      <c r="C443" s="46" t="s">
        <v>28</v>
      </c>
      <c r="D443" s="47">
        <v>45275</v>
      </c>
      <c r="F443" s="46"/>
      <c r="G443" s="39"/>
      <c r="H443" s="16"/>
      <c r="I443" s="16"/>
      <c r="J443" s="39"/>
      <c r="N443" s="39" t="s">
        <v>492</v>
      </c>
      <c r="O443" s="39">
        <v>1142404</v>
      </c>
      <c r="P443" s="16" t="s">
        <v>624</v>
      </c>
      <c r="Q443" s="39"/>
      <c r="R443" s="34"/>
      <c r="S443" s="34" t="s">
        <v>76</v>
      </c>
      <c r="T443" s="34"/>
      <c r="U443" s="34" t="s">
        <v>94</v>
      </c>
      <c r="V443" s="34" t="s">
        <v>94</v>
      </c>
      <c r="W443" s="34" t="s">
        <v>35</v>
      </c>
      <c r="X443" s="34" t="s">
        <v>36</v>
      </c>
      <c r="Y443" s="153" t="s">
        <v>625</v>
      </c>
    </row>
    <row r="444" spans="2:25">
      <c r="B444" s="16" t="s">
        <v>47</v>
      </c>
      <c r="C444" s="46" t="s">
        <v>28</v>
      </c>
      <c r="D444" s="47">
        <v>45275</v>
      </c>
      <c r="F444" s="46"/>
      <c r="G444" s="39"/>
      <c r="H444" s="16"/>
      <c r="I444" s="16"/>
      <c r="J444" s="39"/>
      <c r="N444" s="39" t="s">
        <v>492</v>
      </c>
      <c r="O444" s="39">
        <v>2010707</v>
      </c>
      <c r="P444" s="16" t="s">
        <v>626</v>
      </c>
      <c r="Q444" s="39"/>
      <c r="R444" s="34"/>
      <c r="S444" s="34" t="s">
        <v>121</v>
      </c>
      <c r="T444" s="34"/>
      <c r="U444" s="34" t="s">
        <v>94</v>
      </c>
      <c r="V444" s="34" t="s">
        <v>94</v>
      </c>
      <c r="W444" s="34" t="s">
        <v>35</v>
      </c>
      <c r="X444" s="34" t="s">
        <v>36</v>
      </c>
      <c r="Y444" s="153" t="s">
        <v>627</v>
      </c>
    </row>
    <row r="445" spans="2:25">
      <c r="B445" s="16" t="s">
        <v>47</v>
      </c>
      <c r="C445" s="46" t="s">
        <v>28</v>
      </c>
      <c r="D445" s="47">
        <v>45275</v>
      </c>
      <c r="F445" s="46"/>
      <c r="G445" s="39"/>
      <c r="H445" s="16"/>
      <c r="I445" s="16"/>
      <c r="J445" s="39"/>
      <c r="N445" s="39" t="s">
        <v>41</v>
      </c>
      <c r="O445" s="39">
        <v>2511701</v>
      </c>
      <c r="P445" s="16" t="s">
        <v>628</v>
      </c>
      <c r="Q445" s="39"/>
      <c r="R445" s="34"/>
      <c r="S445" s="34" t="s">
        <v>121</v>
      </c>
      <c r="T445" s="34"/>
      <c r="U445" s="34" t="s">
        <v>94</v>
      </c>
      <c r="V445" s="34" t="s">
        <v>94</v>
      </c>
      <c r="W445" s="34" t="s">
        <v>35</v>
      </c>
      <c r="X445" s="34" t="s">
        <v>36</v>
      </c>
      <c r="Y445" s="153" t="s">
        <v>629</v>
      </c>
    </row>
    <row r="446" spans="2:25">
      <c r="B446" s="16" t="s">
        <v>47</v>
      </c>
      <c r="C446" s="46" t="s">
        <v>28</v>
      </c>
      <c r="D446" s="47">
        <v>45275</v>
      </c>
      <c r="F446" s="46"/>
      <c r="G446" s="39"/>
      <c r="H446" s="16"/>
      <c r="I446" s="16"/>
      <c r="J446" s="39"/>
      <c r="N446" s="39" t="s">
        <v>41</v>
      </c>
      <c r="O446" s="39">
        <v>2511703</v>
      </c>
      <c r="P446" s="16" t="s">
        <v>630</v>
      </c>
      <c r="Q446" s="39"/>
      <c r="R446" s="34"/>
      <c r="S446" s="34" t="s">
        <v>121</v>
      </c>
      <c r="T446" s="34"/>
      <c r="U446" s="34" t="s">
        <v>94</v>
      </c>
      <c r="V446" s="34" t="s">
        <v>94</v>
      </c>
      <c r="W446" s="34" t="s">
        <v>35</v>
      </c>
      <c r="X446" s="34" t="s">
        <v>36</v>
      </c>
      <c r="Y446" s="153" t="s">
        <v>631</v>
      </c>
    </row>
    <row r="447" spans="2:25">
      <c r="B447" s="16" t="s">
        <v>47</v>
      </c>
      <c r="C447" s="46" t="s">
        <v>28</v>
      </c>
      <c r="D447" s="47">
        <v>45275</v>
      </c>
      <c r="F447" s="46"/>
      <c r="G447" s="39"/>
      <c r="H447" s="16"/>
      <c r="I447" s="16"/>
      <c r="J447" s="39"/>
      <c r="N447" s="39" t="s">
        <v>103</v>
      </c>
      <c r="O447" s="39">
        <v>2515602</v>
      </c>
      <c r="P447" s="16" t="s">
        <v>632</v>
      </c>
      <c r="Q447" s="39"/>
      <c r="R447" s="34"/>
      <c r="S447" s="34" t="s">
        <v>121</v>
      </c>
      <c r="T447" s="34"/>
      <c r="U447" s="34" t="s">
        <v>94</v>
      </c>
      <c r="V447" s="54" t="s">
        <v>94</v>
      </c>
      <c r="W447" s="34" t="s">
        <v>35</v>
      </c>
      <c r="X447" s="34" t="s">
        <v>36</v>
      </c>
      <c r="Y447" s="153" t="s">
        <v>633</v>
      </c>
    </row>
    <row r="448" spans="2:25">
      <c r="B448" s="16" t="s">
        <v>47</v>
      </c>
      <c r="C448" s="46" t="s">
        <v>28</v>
      </c>
      <c r="D448" s="47">
        <v>45275</v>
      </c>
      <c r="F448" s="46"/>
      <c r="G448" s="39"/>
      <c r="H448" s="16"/>
      <c r="I448" s="16"/>
      <c r="J448" s="39"/>
      <c r="N448" s="39" t="s">
        <v>64</v>
      </c>
      <c r="O448" s="39">
        <v>1545112</v>
      </c>
      <c r="P448" s="16" t="s">
        <v>634</v>
      </c>
      <c r="Q448" s="39"/>
      <c r="R448" s="34"/>
      <c r="S448" s="156" t="s">
        <v>121</v>
      </c>
      <c r="T448" s="34"/>
      <c r="U448" s="34" t="s">
        <v>94</v>
      </c>
      <c r="V448" s="54" t="s">
        <v>94</v>
      </c>
      <c r="W448" s="34" t="s">
        <v>35</v>
      </c>
      <c r="X448" s="34" t="s">
        <v>36</v>
      </c>
      <c r="Y448" s="153" t="s">
        <v>635</v>
      </c>
    </row>
    <row r="449" spans="2:25">
      <c r="B449" s="16" t="s">
        <v>47</v>
      </c>
      <c r="C449" s="46" t="s">
        <v>28</v>
      </c>
      <c r="D449" s="47">
        <v>45275</v>
      </c>
      <c r="F449" s="46"/>
      <c r="G449" s="39"/>
      <c r="H449" s="16"/>
      <c r="I449" s="16"/>
      <c r="J449" s="39"/>
      <c r="N449" s="39" t="s">
        <v>64</v>
      </c>
      <c r="O449" s="39">
        <v>2431609</v>
      </c>
      <c r="P449" s="16" t="s">
        <v>636</v>
      </c>
      <c r="Q449" s="39"/>
      <c r="R449" s="34"/>
      <c r="S449" s="156" t="s">
        <v>637</v>
      </c>
      <c r="T449" s="34"/>
      <c r="U449" s="34" t="s">
        <v>94</v>
      </c>
      <c r="V449" s="54" t="s">
        <v>94</v>
      </c>
      <c r="W449" s="34" t="s">
        <v>35</v>
      </c>
      <c r="X449" s="34" t="s">
        <v>36</v>
      </c>
      <c r="Y449" s="153" t="s">
        <v>638</v>
      </c>
    </row>
    <row r="450" spans="2:25">
      <c r="B450" s="16" t="s">
        <v>47</v>
      </c>
      <c r="C450" s="46" t="s">
        <v>28</v>
      </c>
      <c r="D450" s="47">
        <v>45282</v>
      </c>
      <c r="F450" s="46"/>
      <c r="G450" s="39"/>
      <c r="H450" s="16"/>
      <c r="I450" s="16"/>
      <c r="J450" s="39"/>
      <c r="N450" s="39" t="s">
        <v>338</v>
      </c>
      <c r="O450" s="39">
        <v>2224402</v>
      </c>
      <c r="P450" s="16" t="s">
        <v>639</v>
      </c>
      <c r="Q450" s="39"/>
      <c r="R450" s="34"/>
      <c r="S450" s="34"/>
      <c r="T450" s="34"/>
      <c r="U450" s="34" t="s">
        <v>94</v>
      </c>
      <c r="V450" s="34" t="s">
        <v>94</v>
      </c>
      <c r="W450" s="34" t="s">
        <v>35</v>
      </c>
      <c r="X450" s="34" t="s">
        <v>36</v>
      </c>
      <c r="Y450" s="153" t="s">
        <v>640</v>
      </c>
    </row>
    <row r="451" spans="2:25">
      <c r="B451" s="16" t="s">
        <v>47</v>
      </c>
      <c r="C451" s="46" t="s">
        <v>28</v>
      </c>
      <c r="D451" s="47">
        <v>45282</v>
      </c>
      <c r="F451" s="46"/>
      <c r="G451" s="39"/>
      <c r="H451" s="16"/>
      <c r="I451" s="16"/>
      <c r="J451" s="39"/>
      <c r="N451" s="39" t="s">
        <v>103</v>
      </c>
      <c r="O451" s="39">
        <v>1374905</v>
      </c>
      <c r="P451" s="16" t="s">
        <v>641</v>
      </c>
      <c r="Q451" s="39"/>
      <c r="R451" s="34"/>
      <c r="S451" s="34" t="s">
        <v>121</v>
      </c>
      <c r="T451" s="34"/>
      <c r="U451" s="34" t="s">
        <v>94</v>
      </c>
      <c r="V451" s="34" t="s">
        <v>94</v>
      </c>
      <c r="W451" s="34" t="s">
        <v>35</v>
      </c>
      <c r="X451" s="34" t="s">
        <v>36</v>
      </c>
      <c r="Y451" s="153" t="s">
        <v>579</v>
      </c>
    </row>
    <row r="452" spans="2:25">
      <c r="B452" s="16" t="s">
        <v>27</v>
      </c>
      <c r="C452" s="46" t="s">
        <v>28</v>
      </c>
      <c r="D452" s="47">
        <v>45303</v>
      </c>
      <c r="F452" s="39" t="s">
        <v>69</v>
      </c>
      <c r="G452" s="39">
        <v>2274701</v>
      </c>
      <c r="H452" s="16" t="s">
        <v>328</v>
      </c>
      <c r="I452" s="16"/>
      <c r="J452" s="39"/>
      <c r="N452" s="39" t="s">
        <v>69</v>
      </c>
      <c r="O452" s="39">
        <v>2274702</v>
      </c>
      <c r="P452" s="16" t="s">
        <v>642</v>
      </c>
      <c r="Q452" s="39"/>
      <c r="R452" s="34"/>
      <c r="S452" s="111" t="s">
        <v>231</v>
      </c>
      <c r="T452" s="34"/>
      <c r="U452" s="34" t="s">
        <v>94</v>
      </c>
      <c r="V452" s="34" t="s">
        <v>94</v>
      </c>
      <c r="W452" s="34" t="s">
        <v>35</v>
      </c>
      <c r="X452" s="34" t="s">
        <v>36</v>
      </c>
      <c r="Y452" s="153" t="s">
        <v>643</v>
      </c>
    </row>
    <row r="453" spans="2:25">
      <c r="B453" s="16" t="s">
        <v>47</v>
      </c>
      <c r="C453" s="80" t="s">
        <v>28</v>
      </c>
      <c r="D453" s="47">
        <v>45303</v>
      </c>
      <c r="F453" s="46"/>
      <c r="G453" s="39"/>
      <c r="H453" s="16"/>
      <c r="I453" s="16"/>
      <c r="J453" s="39"/>
      <c r="N453" s="39" t="s">
        <v>103</v>
      </c>
      <c r="O453" s="39">
        <v>2561101</v>
      </c>
      <c r="P453" s="16" t="s">
        <v>644</v>
      </c>
      <c r="Q453" s="39"/>
      <c r="R453" s="34"/>
      <c r="S453" s="34" t="s">
        <v>121</v>
      </c>
      <c r="T453" s="34"/>
      <c r="U453" s="34" t="s">
        <v>94</v>
      </c>
      <c r="V453" s="34" t="s">
        <v>94</v>
      </c>
      <c r="W453" s="34" t="s">
        <v>35</v>
      </c>
      <c r="X453" s="34" t="s">
        <v>36</v>
      </c>
      <c r="Y453" s="153" t="s">
        <v>645</v>
      </c>
    </row>
    <row r="454" spans="2:25">
      <c r="B454" s="16" t="s">
        <v>47</v>
      </c>
      <c r="C454" s="80" t="s">
        <v>28</v>
      </c>
      <c r="D454" s="47">
        <v>45303</v>
      </c>
      <c r="F454" s="46"/>
      <c r="G454" s="39"/>
      <c r="H454" s="16"/>
      <c r="I454" s="16"/>
      <c r="J454" s="39"/>
      <c r="N454" s="39" t="s">
        <v>103</v>
      </c>
      <c r="O454" s="39">
        <v>2473802</v>
      </c>
      <c r="P454" s="16" t="s">
        <v>646</v>
      </c>
      <c r="Q454" s="39"/>
      <c r="R454" s="34"/>
      <c r="S454" s="34" t="s">
        <v>121</v>
      </c>
      <c r="T454" s="34"/>
      <c r="U454" s="34" t="s">
        <v>94</v>
      </c>
      <c r="V454" s="34" t="s">
        <v>94</v>
      </c>
      <c r="W454" s="34" t="s">
        <v>35</v>
      </c>
      <c r="X454" s="34" t="s">
        <v>36</v>
      </c>
      <c r="Y454" s="153" t="s">
        <v>647</v>
      </c>
    </row>
    <row r="455" spans="2:25">
      <c r="B455" s="16" t="s">
        <v>47</v>
      </c>
      <c r="C455" s="80" t="s">
        <v>28</v>
      </c>
      <c r="D455" s="47">
        <v>45303</v>
      </c>
      <c r="F455" s="46"/>
      <c r="G455" s="39"/>
      <c r="H455" s="16"/>
      <c r="I455" s="16"/>
      <c r="J455" s="39"/>
      <c r="N455" s="39" t="s">
        <v>103</v>
      </c>
      <c r="O455" s="39">
        <v>2561701</v>
      </c>
      <c r="P455" s="16" t="s">
        <v>648</v>
      </c>
      <c r="Q455" s="39"/>
      <c r="R455" s="34"/>
      <c r="S455" s="34" t="s">
        <v>121</v>
      </c>
      <c r="T455" s="34"/>
      <c r="U455" s="34" t="s">
        <v>94</v>
      </c>
      <c r="V455" s="34" t="s">
        <v>94</v>
      </c>
      <c r="W455" s="34" t="s">
        <v>35</v>
      </c>
      <c r="X455" s="34" t="s">
        <v>36</v>
      </c>
      <c r="Y455" s="153" t="s">
        <v>649</v>
      </c>
    </row>
    <row r="456" spans="2:25">
      <c r="B456" s="16" t="s">
        <v>47</v>
      </c>
      <c r="C456" s="80" t="s">
        <v>28</v>
      </c>
      <c r="D456" s="47">
        <v>45303</v>
      </c>
      <c r="F456" s="46"/>
      <c r="G456" s="39"/>
      <c r="H456" s="16"/>
      <c r="I456" s="16"/>
      <c r="J456" s="39"/>
      <c r="N456" s="39" t="s">
        <v>650</v>
      </c>
      <c r="O456" s="39">
        <v>2236706</v>
      </c>
      <c r="P456" s="16" t="s">
        <v>651</v>
      </c>
      <c r="Q456" s="39"/>
      <c r="R456" s="34"/>
      <c r="S456" s="34"/>
      <c r="T456" s="34"/>
      <c r="U456" s="34" t="s">
        <v>94</v>
      </c>
      <c r="V456" s="34" t="s">
        <v>94</v>
      </c>
      <c r="W456" s="34" t="s">
        <v>35</v>
      </c>
      <c r="X456" s="34" t="s">
        <v>36</v>
      </c>
      <c r="Y456" s="153" t="s">
        <v>652</v>
      </c>
    </row>
    <row r="457" spans="2:25">
      <c r="B457" s="16" t="s">
        <v>47</v>
      </c>
      <c r="C457" s="46" t="s">
        <v>28</v>
      </c>
      <c r="D457" s="47">
        <v>45303</v>
      </c>
      <c r="F457" s="46"/>
      <c r="G457" s="39"/>
      <c r="H457" s="16"/>
      <c r="I457" s="16"/>
      <c r="J457" s="39"/>
      <c r="N457" s="39" t="s">
        <v>650</v>
      </c>
      <c r="O457" s="39">
        <v>2546501</v>
      </c>
      <c r="P457" s="16" t="s">
        <v>653</v>
      </c>
      <c r="Q457" s="39"/>
      <c r="R457" s="34"/>
      <c r="S457" s="34"/>
      <c r="T457" s="34"/>
      <c r="U457" s="34" t="s">
        <v>94</v>
      </c>
      <c r="V457" s="34" t="s">
        <v>94</v>
      </c>
      <c r="W457" s="34" t="s">
        <v>35</v>
      </c>
      <c r="X457" s="34" t="s">
        <v>36</v>
      </c>
      <c r="Y457" s="153" t="s">
        <v>654</v>
      </c>
    </row>
    <row r="458" spans="2:25">
      <c r="B458" s="16" t="s">
        <v>47</v>
      </c>
      <c r="C458" s="46" t="s">
        <v>28</v>
      </c>
      <c r="D458" s="47">
        <v>45303</v>
      </c>
      <c r="F458" s="46"/>
      <c r="G458" s="39"/>
      <c r="H458" s="16"/>
      <c r="I458" s="16"/>
      <c r="J458" s="39"/>
      <c r="N458" s="39" t="s">
        <v>650</v>
      </c>
      <c r="O458" s="39">
        <v>2546601</v>
      </c>
      <c r="P458" s="16" t="s">
        <v>655</v>
      </c>
      <c r="Q458" s="39"/>
      <c r="R458" s="34"/>
      <c r="S458" s="34"/>
      <c r="T458" s="34"/>
      <c r="U458" s="34" t="s">
        <v>94</v>
      </c>
      <c r="V458" s="34" t="s">
        <v>94</v>
      </c>
      <c r="W458" s="34" t="s">
        <v>35</v>
      </c>
      <c r="X458" s="34" t="s">
        <v>36</v>
      </c>
      <c r="Y458" s="153" t="s">
        <v>656</v>
      </c>
    </row>
    <row r="459" spans="2:25">
      <c r="B459" s="16" t="s">
        <v>47</v>
      </c>
      <c r="C459" s="46" t="s">
        <v>28</v>
      </c>
      <c r="D459" s="47">
        <v>45303</v>
      </c>
      <c r="F459" s="46"/>
      <c r="G459" s="39"/>
      <c r="H459" s="16"/>
      <c r="I459" s="16"/>
      <c r="J459" s="39"/>
      <c r="N459" s="39" t="s">
        <v>650</v>
      </c>
      <c r="O459" s="39">
        <v>2546401</v>
      </c>
      <c r="P459" s="16" t="s">
        <v>657</v>
      </c>
      <c r="Q459" s="39"/>
      <c r="R459" s="34"/>
      <c r="S459" s="34"/>
      <c r="T459" s="34"/>
      <c r="U459" s="34" t="s">
        <v>94</v>
      </c>
      <c r="V459" s="34" t="s">
        <v>94</v>
      </c>
      <c r="W459" s="34" t="s">
        <v>35</v>
      </c>
      <c r="X459" s="34" t="s">
        <v>36</v>
      </c>
      <c r="Y459" s="153" t="s">
        <v>658</v>
      </c>
    </row>
    <row r="460" spans="2:25">
      <c r="B460" s="16" t="s">
        <v>47</v>
      </c>
      <c r="C460" s="46" t="s">
        <v>28</v>
      </c>
      <c r="D460" s="47">
        <v>45303</v>
      </c>
      <c r="F460" s="46"/>
      <c r="G460" s="39"/>
      <c r="H460" s="16"/>
      <c r="I460" s="16"/>
      <c r="J460" s="39"/>
      <c r="N460" s="39" t="s">
        <v>650</v>
      </c>
      <c r="O460" s="39">
        <v>2546301</v>
      </c>
      <c r="P460" s="16" t="s">
        <v>659</v>
      </c>
      <c r="Q460" s="39"/>
      <c r="R460" s="34"/>
      <c r="S460" s="34"/>
      <c r="T460" s="34"/>
      <c r="U460" s="34" t="s">
        <v>94</v>
      </c>
      <c r="V460" s="34" t="s">
        <v>94</v>
      </c>
      <c r="W460" s="34" t="s">
        <v>35</v>
      </c>
      <c r="X460" s="34" t="s">
        <v>36</v>
      </c>
      <c r="Y460" s="153" t="s">
        <v>660</v>
      </c>
    </row>
    <row r="461" spans="2:25">
      <c r="B461" s="16" t="s">
        <v>47</v>
      </c>
      <c r="C461" s="46" t="s">
        <v>28</v>
      </c>
      <c r="D461" s="47">
        <v>45303</v>
      </c>
      <c r="F461" s="46"/>
      <c r="G461" s="39"/>
      <c r="H461" s="16"/>
      <c r="I461" s="16"/>
      <c r="J461" s="39"/>
      <c r="N461" s="39" t="s">
        <v>650</v>
      </c>
      <c r="O461" s="39">
        <v>2546201</v>
      </c>
      <c r="P461" s="16" t="s">
        <v>661</v>
      </c>
      <c r="Q461" s="39"/>
      <c r="R461" s="34"/>
      <c r="S461" s="34"/>
      <c r="T461" s="34"/>
      <c r="U461" s="34" t="s">
        <v>94</v>
      </c>
      <c r="V461" s="34" t="s">
        <v>94</v>
      </c>
      <c r="W461" s="34" t="s">
        <v>35</v>
      </c>
      <c r="X461" s="34" t="s">
        <v>36</v>
      </c>
      <c r="Y461" s="153" t="s">
        <v>662</v>
      </c>
    </row>
    <row r="462" spans="2:25">
      <c r="B462" s="16" t="s">
        <v>47</v>
      </c>
      <c r="C462" s="46" t="s">
        <v>28</v>
      </c>
      <c r="D462" s="47">
        <v>45310</v>
      </c>
      <c r="F462" s="46"/>
      <c r="G462" s="39"/>
      <c r="H462" s="16"/>
      <c r="I462" s="16"/>
      <c r="J462" s="39"/>
      <c r="N462" s="39" t="s">
        <v>86</v>
      </c>
      <c r="O462" s="39">
        <v>2558301</v>
      </c>
      <c r="P462" s="16" t="s">
        <v>663</v>
      </c>
      <c r="Q462" s="39"/>
      <c r="R462" s="34"/>
      <c r="S462" s="111" t="s">
        <v>664</v>
      </c>
      <c r="T462" s="34"/>
      <c r="U462" s="34" t="s">
        <v>94</v>
      </c>
      <c r="V462" s="34" t="s">
        <v>94</v>
      </c>
      <c r="W462" s="34" t="s">
        <v>35</v>
      </c>
      <c r="X462" s="34" t="s">
        <v>36</v>
      </c>
      <c r="Y462" s="153" t="s">
        <v>665</v>
      </c>
    </row>
    <row r="463" spans="2:25">
      <c r="B463" s="16" t="s">
        <v>47</v>
      </c>
      <c r="C463" s="46" t="s">
        <v>28</v>
      </c>
      <c r="D463" s="47">
        <v>45324</v>
      </c>
      <c r="F463" s="46"/>
      <c r="G463" s="39"/>
      <c r="H463" s="16"/>
      <c r="I463" s="16"/>
      <c r="J463" s="39"/>
      <c r="N463" s="39" t="s">
        <v>103</v>
      </c>
      <c r="O463" s="39">
        <v>270908</v>
      </c>
      <c r="P463" s="16" t="s">
        <v>666</v>
      </c>
      <c r="Q463" s="39"/>
      <c r="R463" s="34"/>
      <c r="S463" s="34" t="s">
        <v>389</v>
      </c>
      <c r="T463" s="34"/>
      <c r="U463" s="34" t="s">
        <v>94</v>
      </c>
      <c r="V463" s="34" t="s">
        <v>94</v>
      </c>
      <c r="W463" s="34" t="s">
        <v>35</v>
      </c>
      <c r="X463" s="34" t="s">
        <v>36</v>
      </c>
      <c r="Y463" s="153" t="s">
        <v>667</v>
      </c>
    </row>
    <row r="464" spans="2:25">
      <c r="B464" s="16" t="s">
        <v>47</v>
      </c>
      <c r="C464" s="46" t="s">
        <v>28</v>
      </c>
      <c r="D464" s="47">
        <v>45324</v>
      </c>
      <c r="F464" s="46"/>
      <c r="G464" s="39"/>
      <c r="H464" s="16"/>
      <c r="I464" s="16"/>
      <c r="J464" s="39"/>
      <c r="N464" s="39" t="s">
        <v>103</v>
      </c>
      <c r="O464" s="39">
        <v>2566501</v>
      </c>
      <c r="P464" s="16" t="s">
        <v>668</v>
      </c>
      <c r="Q464" s="39"/>
      <c r="R464" s="34"/>
      <c r="S464" s="34" t="s">
        <v>121</v>
      </c>
      <c r="T464" s="34"/>
      <c r="U464" s="34" t="s">
        <v>94</v>
      </c>
      <c r="V464" s="34" t="s">
        <v>94</v>
      </c>
      <c r="W464" s="34" t="s">
        <v>35</v>
      </c>
      <c r="X464" s="34" t="s">
        <v>36</v>
      </c>
      <c r="Y464" s="153" t="s">
        <v>669</v>
      </c>
    </row>
    <row r="465" spans="2:25">
      <c r="B465" s="16" t="s">
        <v>47</v>
      </c>
      <c r="C465" s="46" t="s">
        <v>28</v>
      </c>
      <c r="D465" s="47">
        <v>45331</v>
      </c>
      <c r="F465" s="46"/>
      <c r="G465" s="39"/>
      <c r="H465" s="16"/>
      <c r="I465" s="16"/>
      <c r="J465" s="39"/>
      <c r="N465" s="39" t="s">
        <v>57</v>
      </c>
      <c r="O465" s="82">
        <v>2493403</v>
      </c>
      <c r="P465" s="78" t="s">
        <v>670</v>
      </c>
      <c r="Q465" s="39"/>
      <c r="R465" s="34"/>
      <c r="S465" s="34" t="s">
        <v>671</v>
      </c>
      <c r="T465" s="34"/>
      <c r="U465" s="34" t="s">
        <v>94</v>
      </c>
      <c r="V465" s="34" t="s">
        <v>94</v>
      </c>
      <c r="W465" s="34" t="s">
        <v>35</v>
      </c>
      <c r="X465" s="34" t="s">
        <v>36</v>
      </c>
      <c r="Y465" s="153" t="s">
        <v>672</v>
      </c>
    </row>
    <row r="466" spans="2:25">
      <c r="B466" s="16" t="s">
        <v>27</v>
      </c>
      <c r="C466" s="80" t="s">
        <v>28</v>
      </c>
      <c r="D466" s="47">
        <v>44986</v>
      </c>
      <c r="F466" s="39" t="s">
        <v>673</v>
      </c>
      <c r="G466" s="39">
        <v>989108</v>
      </c>
      <c r="H466" s="16" t="s">
        <v>674</v>
      </c>
      <c r="I466" s="16"/>
      <c r="J466" s="39"/>
      <c r="N466" s="39" t="s">
        <v>492</v>
      </c>
      <c r="O466" s="82">
        <v>989115</v>
      </c>
      <c r="P466" s="78" t="s">
        <v>675</v>
      </c>
      <c r="Q466" s="39"/>
      <c r="R466" s="34"/>
      <c r="S466" s="34" t="s">
        <v>59</v>
      </c>
      <c r="T466" s="34"/>
      <c r="U466" s="34" t="s">
        <v>92</v>
      </c>
      <c r="V466" s="34" t="s">
        <v>92</v>
      </c>
      <c r="W466" s="34" t="s">
        <v>35</v>
      </c>
      <c r="X466" s="34" t="s">
        <v>102</v>
      </c>
      <c r="Y466" s="153" t="s">
        <v>494</v>
      </c>
    </row>
    <row r="467" spans="2:25">
      <c r="B467" s="16" t="s">
        <v>74</v>
      </c>
      <c r="C467" s="46" t="s">
        <v>28</v>
      </c>
      <c r="D467" s="47">
        <v>44986</v>
      </c>
      <c r="F467" s="39" t="s">
        <v>297</v>
      </c>
      <c r="G467" s="39">
        <v>20206</v>
      </c>
      <c r="H467" s="16" t="s">
        <v>676</v>
      </c>
      <c r="I467" s="16"/>
      <c r="J467" s="39"/>
      <c r="N467" s="46"/>
      <c r="O467" s="39"/>
      <c r="P467" s="16"/>
      <c r="Q467" s="39"/>
      <c r="R467" s="34"/>
      <c r="S467" s="34"/>
      <c r="T467" s="34"/>
      <c r="U467" s="34"/>
      <c r="V467" s="34"/>
      <c r="W467" s="34"/>
      <c r="X467" s="34"/>
      <c r="Y467" s="34"/>
    </row>
    <row r="468" spans="2:25">
      <c r="B468" s="16" t="s">
        <v>74</v>
      </c>
      <c r="C468" s="46" t="s">
        <v>28</v>
      </c>
      <c r="D468" s="47">
        <v>44986</v>
      </c>
      <c r="F468" s="39" t="s">
        <v>69</v>
      </c>
      <c r="G468" s="39">
        <v>2274701</v>
      </c>
      <c r="H468" s="16" t="s">
        <v>328</v>
      </c>
      <c r="I468" s="16"/>
      <c r="J468" s="39"/>
      <c r="N468" s="46"/>
      <c r="O468" s="39"/>
      <c r="P468" s="16"/>
      <c r="Q468" s="39"/>
      <c r="R468" s="34"/>
      <c r="S468" s="34"/>
      <c r="T468" s="34"/>
      <c r="U468" s="34"/>
      <c r="V468" s="34"/>
      <c r="W468" s="34"/>
      <c r="X468" s="34"/>
      <c r="Y468" s="34"/>
    </row>
    <row r="469" spans="2:25">
      <c r="B469" s="16" t="s">
        <v>74</v>
      </c>
      <c r="C469" s="46" t="s">
        <v>28</v>
      </c>
      <c r="D469" s="47">
        <v>44986</v>
      </c>
      <c r="F469" s="39" t="s">
        <v>297</v>
      </c>
      <c r="G469" s="39">
        <v>117507</v>
      </c>
      <c r="H469" s="16" t="s">
        <v>677</v>
      </c>
      <c r="I469" s="16"/>
      <c r="J469" s="39"/>
      <c r="N469" s="46"/>
      <c r="O469" s="39"/>
      <c r="P469" s="16"/>
      <c r="Q469" s="39"/>
      <c r="R469" s="34"/>
      <c r="S469" s="34"/>
      <c r="T469" s="34"/>
      <c r="U469" s="34"/>
      <c r="V469" s="34"/>
      <c r="W469" s="34"/>
      <c r="X469" s="34"/>
      <c r="Y469" s="34"/>
    </row>
    <row r="470" spans="2:25">
      <c r="B470" s="16" t="s">
        <v>74</v>
      </c>
      <c r="C470" s="46" t="s">
        <v>28</v>
      </c>
      <c r="D470" s="47">
        <v>44993</v>
      </c>
      <c r="F470" s="39" t="s">
        <v>41</v>
      </c>
      <c r="G470" s="39">
        <v>1838403</v>
      </c>
      <c r="H470" s="16" t="s">
        <v>558</v>
      </c>
      <c r="I470" s="16"/>
      <c r="J470" s="39"/>
      <c r="N470" s="46"/>
      <c r="O470" s="39"/>
      <c r="P470" s="16"/>
      <c r="Q470" s="39"/>
      <c r="R470" s="34"/>
      <c r="S470" s="34"/>
      <c r="T470" s="34"/>
      <c r="U470" s="34"/>
      <c r="V470" s="34"/>
      <c r="W470" s="34"/>
      <c r="X470" s="34"/>
      <c r="Y470" s="34"/>
    </row>
    <row r="471" spans="2:25">
      <c r="B471" s="16" t="s">
        <v>74</v>
      </c>
      <c r="C471" s="46" t="s">
        <v>28</v>
      </c>
      <c r="D471" s="47">
        <v>45007</v>
      </c>
      <c r="F471" s="39" t="s">
        <v>297</v>
      </c>
      <c r="G471" s="106">
        <v>507001</v>
      </c>
      <c r="H471" s="16" t="s">
        <v>678</v>
      </c>
      <c r="I471" s="16"/>
      <c r="J471" s="39"/>
      <c r="N471" s="46"/>
      <c r="O471" s="39"/>
      <c r="P471" s="16"/>
      <c r="Q471" s="39"/>
      <c r="R471" s="34"/>
      <c r="S471" s="34"/>
      <c r="T471" s="34"/>
      <c r="U471" s="34"/>
      <c r="V471" s="34"/>
      <c r="W471" s="34"/>
      <c r="X471" s="34"/>
      <c r="Y471" s="34"/>
    </row>
    <row r="472" spans="2:25">
      <c r="B472" s="16" t="s">
        <v>74</v>
      </c>
      <c r="C472" s="46" t="s">
        <v>28</v>
      </c>
      <c r="D472" s="47">
        <v>45007</v>
      </c>
      <c r="F472" s="39" t="s">
        <v>103</v>
      </c>
      <c r="G472" s="106">
        <v>2244604</v>
      </c>
      <c r="H472" s="16" t="s">
        <v>495</v>
      </c>
      <c r="I472" s="16"/>
      <c r="J472" s="39"/>
      <c r="N472" s="46"/>
      <c r="O472" s="39"/>
      <c r="P472" s="16"/>
      <c r="Q472" s="39"/>
      <c r="R472" s="34"/>
      <c r="S472" s="34"/>
      <c r="T472" s="34"/>
      <c r="U472" s="34"/>
      <c r="V472" s="34"/>
      <c r="W472" s="34"/>
      <c r="X472" s="34"/>
      <c r="Y472" s="34"/>
    </row>
    <row r="473" spans="2:25">
      <c r="B473" s="16" t="s">
        <v>74</v>
      </c>
      <c r="C473" s="80" t="s">
        <v>28</v>
      </c>
      <c r="D473" s="47">
        <v>45007</v>
      </c>
      <c r="F473" s="39" t="s">
        <v>103</v>
      </c>
      <c r="G473" s="106">
        <v>2245505</v>
      </c>
      <c r="H473" s="16" t="s">
        <v>497</v>
      </c>
      <c r="I473" s="16"/>
      <c r="J473" s="39"/>
      <c r="N473" s="46"/>
      <c r="O473" s="39"/>
      <c r="P473" s="16"/>
      <c r="Q473" s="39"/>
      <c r="R473" s="34"/>
      <c r="S473" s="34"/>
      <c r="T473" s="34"/>
      <c r="U473" s="34"/>
      <c r="V473" s="34"/>
      <c r="W473" s="34"/>
      <c r="X473" s="34"/>
      <c r="Y473" s="34"/>
    </row>
    <row r="474" spans="2:25">
      <c r="B474" s="16" t="s">
        <v>74</v>
      </c>
      <c r="C474" s="46" t="s">
        <v>28</v>
      </c>
      <c r="D474" s="47">
        <v>45379</v>
      </c>
      <c r="F474" s="39" t="s">
        <v>103</v>
      </c>
      <c r="G474" s="106">
        <v>2449801</v>
      </c>
      <c r="H474" s="16" t="s">
        <v>679</v>
      </c>
      <c r="I474" s="16"/>
      <c r="J474" s="39"/>
      <c r="N474" s="46"/>
      <c r="O474" s="39"/>
      <c r="P474" s="16"/>
      <c r="Q474" s="39"/>
      <c r="R474" s="34"/>
      <c r="S474" s="34"/>
      <c r="T474" s="34"/>
      <c r="U474" s="34"/>
      <c r="V474" s="34"/>
      <c r="W474" s="34"/>
      <c r="X474" s="34"/>
      <c r="Y474" s="34"/>
    </row>
    <row r="475" spans="2:25">
      <c r="B475" s="16" t="s">
        <v>27</v>
      </c>
      <c r="C475" s="46" t="s">
        <v>28</v>
      </c>
      <c r="D475" s="47">
        <v>45387</v>
      </c>
      <c r="F475" s="39" t="s">
        <v>103</v>
      </c>
      <c r="G475" s="106">
        <v>270906</v>
      </c>
      <c r="H475" s="16" t="s">
        <v>576</v>
      </c>
      <c r="I475" s="16"/>
      <c r="J475" s="39"/>
      <c r="N475" s="39" t="s">
        <v>103</v>
      </c>
      <c r="O475" s="39">
        <v>270908</v>
      </c>
      <c r="P475" s="16" t="s">
        <v>666</v>
      </c>
      <c r="Q475" s="39"/>
      <c r="R475" s="34"/>
      <c r="S475" s="34" t="s">
        <v>389</v>
      </c>
      <c r="T475" s="34"/>
      <c r="U475" s="34" t="s">
        <v>94</v>
      </c>
      <c r="V475" s="34" t="s">
        <v>94</v>
      </c>
      <c r="W475" s="34" t="s">
        <v>35</v>
      </c>
      <c r="X475" s="34" t="s">
        <v>36</v>
      </c>
      <c r="Y475" s="153" t="s">
        <v>667</v>
      </c>
    </row>
    <row r="476" spans="2:25">
      <c r="B476" s="16" t="s">
        <v>47</v>
      </c>
      <c r="C476" s="46" t="s">
        <v>28</v>
      </c>
      <c r="D476" s="47">
        <v>45401</v>
      </c>
      <c r="F476" s="46"/>
      <c r="G476" s="106"/>
      <c r="H476" s="16"/>
      <c r="I476" s="16"/>
      <c r="J476" s="39"/>
      <c r="N476" s="39" t="s">
        <v>57</v>
      </c>
      <c r="O476" s="39" t="s">
        <v>680</v>
      </c>
      <c r="P476" s="16" t="s">
        <v>681</v>
      </c>
      <c r="Q476" s="39"/>
      <c r="R476" s="34"/>
      <c r="S476" s="34" t="s">
        <v>282</v>
      </c>
      <c r="T476" s="34"/>
      <c r="U476" s="34" t="s">
        <v>94</v>
      </c>
      <c r="V476" s="34" t="s">
        <v>94</v>
      </c>
      <c r="W476" s="34" t="s">
        <v>35</v>
      </c>
      <c r="X476" s="34" t="s">
        <v>36</v>
      </c>
      <c r="Y476" s="153" t="s">
        <v>682</v>
      </c>
    </row>
    <row r="477" spans="2:25">
      <c r="B477" s="16" t="s">
        <v>74</v>
      </c>
      <c r="C477" s="46" t="s">
        <v>28</v>
      </c>
      <c r="D477" s="47">
        <v>45401</v>
      </c>
      <c r="F477" s="39" t="s">
        <v>41</v>
      </c>
      <c r="G477" s="106">
        <v>2166701</v>
      </c>
      <c r="H477" s="16" t="s">
        <v>236</v>
      </c>
      <c r="I477" s="16"/>
      <c r="J477" s="39"/>
      <c r="N477" s="46"/>
      <c r="O477" s="39"/>
      <c r="P477" s="16"/>
      <c r="Q477" s="39"/>
      <c r="R477" s="34"/>
      <c r="S477" s="34"/>
      <c r="T477" s="34"/>
      <c r="U477" s="34"/>
      <c r="V477" s="34"/>
      <c r="W477" s="34"/>
      <c r="X477" s="34"/>
      <c r="Y477" s="34"/>
    </row>
    <row r="478" spans="2:25">
      <c r="B478" s="16" t="s">
        <v>47</v>
      </c>
      <c r="C478" s="46" t="s">
        <v>28</v>
      </c>
      <c r="D478" s="47">
        <v>45420</v>
      </c>
      <c r="F478" s="46"/>
      <c r="G478" s="106"/>
      <c r="H478" s="16"/>
      <c r="I478" s="16"/>
      <c r="J478" s="39"/>
      <c r="N478" s="39" t="s">
        <v>48</v>
      </c>
      <c r="O478" s="39">
        <v>2053307</v>
      </c>
      <c r="P478" s="16" t="s">
        <v>683</v>
      </c>
      <c r="Q478" s="39"/>
      <c r="R478" s="34"/>
      <c r="S478" s="34" t="s">
        <v>684</v>
      </c>
      <c r="T478" s="34"/>
      <c r="U478" s="34" t="s">
        <v>94</v>
      </c>
      <c r="V478" s="34" t="s">
        <v>94</v>
      </c>
      <c r="W478" s="34" t="s">
        <v>35</v>
      </c>
      <c r="X478" s="34" t="s">
        <v>36</v>
      </c>
      <c r="Y478" s="153" t="s">
        <v>685</v>
      </c>
    </row>
    <row r="479" spans="2:25">
      <c r="B479" s="16" t="s">
        <v>74</v>
      </c>
      <c r="C479" s="46" t="s">
        <v>28</v>
      </c>
      <c r="D479" s="47">
        <v>45429</v>
      </c>
      <c r="F479" s="39" t="s">
        <v>297</v>
      </c>
      <c r="G479" s="122">
        <v>17702</v>
      </c>
      <c r="H479" s="16" t="s">
        <v>686</v>
      </c>
      <c r="I479" s="16"/>
      <c r="J479" s="39"/>
      <c r="N479" s="46"/>
      <c r="O479" s="39"/>
      <c r="P479" s="16"/>
      <c r="Q479" s="39"/>
      <c r="R479" s="34"/>
      <c r="S479" s="34"/>
      <c r="T479" s="34"/>
      <c r="U479" s="34"/>
      <c r="V479" s="34"/>
      <c r="W479" s="34"/>
      <c r="X479" s="34"/>
      <c r="Y479" s="34"/>
    </row>
    <row r="480" spans="2:25">
      <c r="B480" s="16" t="s">
        <v>47</v>
      </c>
      <c r="C480" s="46" t="s">
        <v>28</v>
      </c>
      <c r="D480" s="47">
        <v>45436</v>
      </c>
      <c r="F480" s="46"/>
      <c r="G480" s="122"/>
      <c r="H480" s="16"/>
      <c r="I480" s="16"/>
      <c r="J480" s="39"/>
      <c r="N480" s="39" t="s">
        <v>57</v>
      </c>
      <c r="O480" s="39">
        <v>1633605</v>
      </c>
      <c r="P480" s="16" t="s">
        <v>687</v>
      </c>
      <c r="Q480" s="39"/>
      <c r="R480" s="34"/>
      <c r="S480" s="34"/>
      <c r="T480" s="34"/>
      <c r="U480" s="34" t="s">
        <v>94</v>
      </c>
      <c r="V480" s="34" t="s">
        <v>94</v>
      </c>
      <c r="W480" s="34" t="s">
        <v>35</v>
      </c>
      <c r="X480" s="34" t="s">
        <v>36</v>
      </c>
      <c r="Y480" s="34"/>
    </row>
    <row r="481" spans="2:25">
      <c r="B481" s="16" t="s">
        <v>47</v>
      </c>
      <c r="C481" s="46" t="s">
        <v>606</v>
      </c>
      <c r="D481" s="47">
        <v>45457</v>
      </c>
      <c r="F481" s="46"/>
      <c r="G481" s="122"/>
      <c r="H481" s="16"/>
      <c r="I481" s="16"/>
      <c r="J481" s="39"/>
      <c r="N481" s="91" t="s">
        <v>198</v>
      </c>
      <c r="O481" s="91">
        <v>2191108</v>
      </c>
      <c r="P481" s="92" t="s">
        <v>688</v>
      </c>
      <c r="Q481" s="91"/>
      <c r="R481" s="162"/>
      <c r="S481" s="162"/>
      <c r="T481" s="162"/>
      <c r="U481" s="162" t="s">
        <v>92</v>
      </c>
      <c r="V481" s="162" t="s">
        <v>92</v>
      </c>
      <c r="W481" s="162" t="s">
        <v>35</v>
      </c>
      <c r="X481" s="162" t="s">
        <v>102</v>
      </c>
      <c r="Y481" s="331" t="s">
        <v>614</v>
      </c>
    </row>
    <row r="482" spans="2:25">
      <c r="B482" s="16" t="s">
        <v>74</v>
      </c>
      <c r="C482" s="46" t="s">
        <v>28</v>
      </c>
      <c r="D482" s="47">
        <v>45457</v>
      </c>
      <c r="F482" s="39" t="s">
        <v>64</v>
      </c>
      <c r="G482" s="122">
        <v>1950417</v>
      </c>
      <c r="H482" s="16" t="s">
        <v>451</v>
      </c>
      <c r="I482" s="16"/>
      <c r="J482" s="39"/>
      <c r="N482" s="46"/>
      <c r="O482" s="39"/>
      <c r="P482" s="16"/>
      <c r="Q482" s="39"/>
      <c r="R482" s="34"/>
      <c r="S482" s="34"/>
      <c r="T482" s="34"/>
      <c r="U482" s="34"/>
      <c r="V482" s="34"/>
      <c r="W482" s="34"/>
      <c r="X482" s="34"/>
      <c r="Y482" s="34"/>
    </row>
    <row r="483" spans="2:25">
      <c r="B483" s="21" t="s">
        <v>27</v>
      </c>
      <c r="C483" s="31" t="s">
        <v>28</v>
      </c>
      <c r="D483" s="29">
        <v>45464</v>
      </c>
      <c r="E483" s="23"/>
      <c r="F483" s="22" t="s">
        <v>64</v>
      </c>
      <c r="G483" s="36">
        <v>1139203</v>
      </c>
      <c r="H483" s="21" t="s">
        <v>689</v>
      </c>
      <c r="I483" s="21"/>
      <c r="J483" s="22"/>
      <c r="K483" s="65"/>
      <c r="L483" s="65"/>
      <c r="M483" s="23"/>
      <c r="N483" s="22" t="s">
        <v>64</v>
      </c>
      <c r="O483" s="22">
        <v>113930</v>
      </c>
      <c r="P483" s="21" t="s">
        <v>690</v>
      </c>
      <c r="Q483" s="39"/>
      <c r="R483" s="34"/>
      <c r="S483" s="34" t="s">
        <v>684</v>
      </c>
      <c r="T483" s="34"/>
      <c r="U483" s="34" t="s">
        <v>94</v>
      </c>
      <c r="V483" s="34" t="s">
        <v>94</v>
      </c>
      <c r="W483" s="34" t="s">
        <v>35</v>
      </c>
      <c r="X483" s="34" t="s">
        <v>36</v>
      </c>
      <c r="Y483" s="153" t="s">
        <v>691</v>
      </c>
    </row>
    <row r="484" spans="2:25">
      <c r="B484" s="21" t="s">
        <v>27</v>
      </c>
      <c r="C484" s="31" t="s">
        <v>28</v>
      </c>
      <c r="D484" s="29">
        <v>45464</v>
      </c>
      <c r="E484" s="23"/>
      <c r="F484" s="22" t="s">
        <v>64</v>
      </c>
      <c r="G484" s="36">
        <v>2109402</v>
      </c>
      <c r="H484" s="21" t="s">
        <v>242</v>
      </c>
      <c r="I484" s="21"/>
      <c r="J484" s="22"/>
      <c r="K484" s="65"/>
      <c r="L484" s="65"/>
      <c r="M484" s="23"/>
      <c r="N484" s="22" t="s">
        <v>64</v>
      </c>
      <c r="O484" s="22">
        <v>2109410</v>
      </c>
      <c r="P484" s="21" t="s">
        <v>692</v>
      </c>
      <c r="Q484" s="39"/>
      <c r="R484" s="34"/>
      <c r="S484" s="34" t="s">
        <v>693</v>
      </c>
      <c r="T484" s="34"/>
      <c r="U484" s="34" t="s">
        <v>94</v>
      </c>
      <c r="V484" s="34" t="s">
        <v>94</v>
      </c>
      <c r="W484" s="34" t="s">
        <v>35</v>
      </c>
      <c r="X484" s="34" t="s">
        <v>36</v>
      </c>
      <c r="Y484" s="153" t="s">
        <v>694</v>
      </c>
    </row>
    <row r="485" spans="2:25">
      <c r="B485" s="21" t="s">
        <v>27</v>
      </c>
      <c r="C485" s="31" t="s">
        <v>28</v>
      </c>
      <c r="D485" s="29">
        <v>45464</v>
      </c>
      <c r="E485" s="23"/>
      <c r="F485" s="22" t="s">
        <v>64</v>
      </c>
      <c r="G485" s="36">
        <v>2403801</v>
      </c>
      <c r="H485" s="21" t="s">
        <v>490</v>
      </c>
      <c r="I485" s="21"/>
      <c r="J485" s="22"/>
      <c r="K485" s="65"/>
      <c r="L485" s="65"/>
      <c r="M485" s="23"/>
      <c r="N485" s="22" t="s">
        <v>64</v>
      </c>
      <c r="O485" s="22">
        <v>2403806</v>
      </c>
      <c r="P485" s="21" t="s">
        <v>695</v>
      </c>
      <c r="Q485" s="39"/>
      <c r="R485" s="34"/>
      <c r="S485" s="34" t="s">
        <v>696</v>
      </c>
      <c r="T485" s="34"/>
      <c r="U485" s="34" t="s">
        <v>94</v>
      </c>
      <c r="V485" s="34" t="s">
        <v>94</v>
      </c>
      <c r="W485" s="34" t="s">
        <v>35</v>
      </c>
      <c r="X485" s="34" t="s">
        <v>36</v>
      </c>
      <c r="Y485" s="153" t="s">
        <v>491</v>
      </c>
    </row>
    <row r="486" spans="2:25">
      <c r="B486" s="21" t="s">
        <v>27</v>
      </c>
      <c r="C486" s="31" t="s">
        <v>28</v>
      </c>
      <c r="D486" s="29">
        <v>45464</v>
      </c>
      <c r="E486" s="23"/>
      <c r="F486" s="22" t="s">
        <v>64</v>
      </c>
      <c r="G486" s="36">
        <v>1561402</v>
      </c>
      <c r="H486" s="21" t="s">
        <v>697</v>
      </c>
      <c r="I486" s="21"/>
      <c r="J486" s="22"/>
      <c r="K486" s="65"/>
      <c r="L486" s="65"/>
      <c r="M486" s="23"/>
      <c r="N486" s="22" t="s">
        <v>64</v>
      </c>
      <c r="O486" s="22">
        <v>1561421</v>
      </c>
      <c r="P486" s="21" t="s">
        <v>698</v>
      </c>
      <c r="Q486" s="39"/>
      <c r="R486" s="34"/>
      <c r="S486" s="34" t="s">
        <v>684</v>
      </c>
      <c r="T486" s="34"/>
      <c r="U486" s="34" t="s">
        <v>94</v>
      </c>
      <c r="V486" s="34" t="s">
        <v>94</v>
      </c>
      <c r="W486" s="34" t="s">
        <v>35</v>
      </c>
      <c r="X486" s="34" t="s">
        <v>36</v>
      </c>
      <c r="Y486" s="153" t="s">
        <v>699</v>
      </c>
    </row>
    <row r="487" spans="2:25">
      <c r="B487" s="21" t="s">
        <v>27</v>
      </c>
      <c r="C487" s="31" t="s">
        <v>28</v>
      </c>
      <c r="D487" s="29">
        <v>45464</v>
      </c>
      <c r="E487" s="23"/>
      <c r="F487" s="22" t="s">
        <v>64</v>
      </c>
      <c r="G487" s="36">
        <v>2431704</v>
      </c>
      <c r="H487" s="21" t="s">
        <v>480</v>
      </c>
      <c r="I487" s="21"/>
      <c r="J487" s="22"/>
      <c r="K487" s="65"/>
      <c r="L487" s="65"/>
      <c r="M487" s="23"/>
      <c r="N487" s="22" t="s">
        <v>64</v>
      </c>
      <c r="O487" s="22">
        <v>2431719</v>
      </c>
      <c r="P487" s="21" t="s">
        <v>700</v>
      </c>
      <c r="Q487" s="39"/>
      <c r="R487" s="34"/>
      <c r="S487" s="34" t="s">
        <v>701</v>
      </c>
      <c r="T487" s="34"/>
      <c r="U487" s="34" t="s">
        <v>94</v>
      </c>
      <c r="V487" s="34" t="s">
        <v>94</v>
      </c>
      <c r="W487" s="34" t="s">
        <v>35</v>
      </c>
      <c r="X487" s="34" t="s">
        <v>36</v>
      </c>
      <c r="Y487" s="153" t="s">
        <v>481</v>
      </c>
    </row>
    <row r="488" spans="2:25">
      <c r="B488" s="21" t="s">
        <v>27</v>
      </c>
      <c r="C488" s="31" t="s">
        <v>28</v>
      </c>
      <c r="D488" s="29">
        <v>45464</v>
      </c>
      <c r="E488" s="23"/>
      <c r="F488" s="22" t="s">
        <v>64</v>
      </c>
      <c r="G488" s="36">
        <v>1545112</v>
      </c>
      <c r="H488" s="21" t="s">
        <v>634</v>
      </c>
      <c r="I488" s="21"/>
      <c r="J488" s="22"/>
      <c r="K488" s="65"/>
      <c r="L488" s="65"/>
      <c r="M488" s="23"/>
      <c r="N488" s="22" t="s">
        <v>64</v>
      </c>
      <c r="O488" s="22">
        <v>1545117</v>
      </c>
      <c r="P488" s="21" t="s">
        <v>702</v>
      </c>
      <c r="Q488" s="39"/>
      <c r="R488" s="34"/>
      <c r="S488" s="34" t="s">
        <v>684</v>
      </c>
      <c r="T488" s="34"/>
      <c r="U488" s="34" t="s">
        <v>94</v>
      </c>
      <c r="V488" s="34" t="s">
        <v>94</v>
      </c>
      <c r="W488" s="34" t="s">
        <v>35</v>
      </c>
      <c r="X488" s="34" t="s">
        <v>36</v>
      </c>
      <c r="Y488" s="153" t="s">
        <v>635</v>
      </c>
    </row>
    <row r="489" spans="2:25">
      <c r="B489" s="21" t="s">
        <v>27</v>
      </c>
      <c r="C489" s="31" t="s">
        <v>28</v>
      </c>
      <c r="D489" s="29">
        <v>45464</v>
      </c>
      <c r="E489" s="23"/>
      <c r="F489" s="22" t="s">
        <v>64</v>
      </c>
      <c r="G489" s="36">
        <v>2431609</v>
      </c>
      <c r="H489" s="21" t="s">
        <v>636</v>
      </c>
      <c r="I489" s="21"/>
      <c r="J489" s="22"/>
      <c r="K489" s="65"/>
      <c r="L489" s="65"/>
      <c r="M489" s="23"/>
      <c r="N489" s="22" t="s">
        <v>64</v>
      </c>
      <c r="O489" s="22">
        <v>2431614</v>
      </c>
      <c r="P489" s="21" t="s">
        <v>703</v>
      </c>
      <c r="Q489" s="39"/>
      <c r="R489" s="34"/>
      <c r="S489" s="34" t="s">
        <v>59</v>
      </c>
      <c r="T489" s="34"/>
      <c r="U489" s="34" t="s">
        <v>94</v>
      </c>
      <c r="V489" s="34" t="s">
        <v>94</v>
      </c>
      <c r="W489" s="34" t="s">
        <v>35</v>
      </c>
      <c r="X489" s="34" t="s">
        <v>36</v>
      </c>
      <c r="Y489" s="153" t="s">
        <v>638</v>
      </c>
    </row>
    <row r="490" spans="2:25">
      <c r="B490" s="21" t="s">
        <v>27</v>
      </c>
      <c r="C490" s="31" t="s">
        <v>28</v>
      </c>
      <c r="D490" s="29">
        <v>45464</v>
      </c>
      <c r="E490" s="23"/>
      <c r="F490" s="22" t="s">
        <v>64</v>
      </c>
      <c r="G490" s="36">
        <v>2431315</v>
      </c>
      <c r="H490" s="21" t="s">
        <v>704</v>
      </c>
      <c r="I490" s="21"/>
      <c r="J490" s="22"/>
      <c r="K490" s="65"/>
      <c r="L490" s="65"/>
      <c r="M490" s="23"/>
      <c r="N490" s="22" t="s">
        <v>64</v>
      </c>
      <c r="O490" s="22">
        <v>2431319</v>
      </c>
      <c r="P490" s="21" t="s">
        <v>705</v>
      </c>
      <c r="Q490" s="39"/>
      <c r="R490" s="34"/>
      <c r="S490" s="34" t="s">
        <v>693</v>
      </c>
      <c r="T490" s="34"/>
      <c r="U490" s="34" t="s">
        <v>94</v>
      </c>
      <c r="V490" s="34" t="s">
        <v>94</v>
      </c>
      <c r="W490" s="34" t="s">
        <v>35</v>
      </c>
      <c r="X490" s="34" t="s">
        <v>36</v>
      </c>
      <c r="Y490" s="153" t="s">
        <v>706</v>
      </c>
    </row>
    <row r="491" spans="2:25">
      <c r="B491" s="21" t="s">
        <v>27</v>
      </c>
      <c r="C491" s="31" t="s">
        <v>28</v>
      </c>
      <c r="D491" s="47">
        <v>45478</v>
      </c>
      <c r="F491" s="22" t="s">
        <v>310</v>
      </c>
      <c r="G491" s="82">
        <v>2241402</v>
      </c>
      <c r="H491" s="16" t="s">
        <v>358</v>
      </c>
      <c r="I491" s="16"/>
      <c r="J491" s="39"/>
      <c r="N491" s="22" t="s">
        <v>310</v>
      </c>
      <c r="O491" s="39">
        <v>2241409</v>
      </c>
      <c r="P491" s="16" t="s">
        <v>707</v>
      </c>
      <c r="Q491" s="39"/>
      <c r="R491" s="34"/>
      <c r="S491" s="34" t="s">
        <v>92</v>
      </c>
      <c r="T491" s="34"/>
      <c r="U491" s="34" t="s">
        <v>94</v>
      </c>
      <c r="V491" s="34" t="s">
        <v>94</v>
      </c>
      <c r="W491" s="34" t="s">
        <v>35</v>
      </c>
      <c r="X491" s="34" t="s">
        <v>36</v>
      </c>
      <c r="Y491" s="153" t="s">
        <v>708</v>
      </c>
    </row>
    <row r="492" spans="2:25">
      <c r="B492" s="21" t="s">
        <v>27</v>
      </c>
      <c r="C492" s="31" t="s">
        <v>28</v>
      </c>
      <c r="D492" s="47">
        <v>45478</v>
      </c>
      <c r="F492" s="22" t="s">
        <v>310</v>
      </c>
      <c r="G492" s="82">
        <v>2241101</v>
      </c>
      <c r="H492" s="16" t="s">
        <v>709</v>
      </c>
      <c r="I492" s="16"/>
      <c r="J492" s="39"/>
      <c r="N492" s="22" t="s">
        <v>310</v>
      </c>
      <c r="O492" s="39">
        <v>2241105</v>
      </c>
      <c r="P492" s="16" t="s">
        <v>710</v>
      </c>
      <c r="Q492" s="39"/>
      <c r="R492" s="34"/>
      <c r="S492" s="34" t="s">
        <v>92</v>
      </c>
      <c r="T492" s="34"/>
      <c r="U492" s="34" t="s">
        <v>94</v>
      </c>
      <c r="V492" s="34" t="s">
        <v>94</v>
      </c>
      <c r="W492" s="34" t="s">
        <v>35</v>
      </c>
      <c r="X492" s="34" t="s">
        <v>36</v>
      </c>
      <c r="Y492" s="153" t="s">
        <v>711</v>
      </c>
    </row>
    <row r="493" spans="2:25">
      <c r="B493" s="21" t="s">
        <v>27</v>
      </c>
      <c r="C493" s="31" t="s">
        <v>28</v>
      </c>
      <c r="D493" s="47">
        <v>45478</v>
      </c>
      <c r="F493" s="22" t="s">
        <v>310</v>
      </c>
      <c r="G493" s="82">
        <v>2376701</v>
      </c>
      <c r="H493" s="16" t="s">
        <v>712</v>
      </c>
      <c r="I493" s="16"/>
      <c r="J493" s="39"/>
      <c r="N493" s="22" t="s">
        <v>310</v>
      </c>
      <c r="O493" s="39">
        <v>2376705</v>
      </c>
      <c r="P493" s="16" t="s">
        <v>713</v>
      </c>
      <c r="Q493" s="39"/>
      <c r="R493" s="34"/>
      <c r="S493" s="34" t="s">
        <v>92</v>
      </c>
      <c r="T493" s="34"/>
      <c r="U493" s="34" t="s">
        <v>94</v>
      </c>
      <c r="V493" s="34" t="s">
        <v>94</v>
      </c>
      <c r="W493" s="34" t="s">
        <v>35</v>
      </c>
      <c r="X493" s="34" t="s">
        <v>36</v>
      </c>
      <c r="Y493" s="153" t="s">
        <v>714</v>
      </c>
    </row>
    <row r="494" spans="2:25">
      <c r="B494" s="21" t="s">
        <v>27</v>
      </c>
      <c r="C494" s="31" t="s">
        <v>28</v>
      </c>
      <c r="D494" s="47">
        <v>45478</v>
      </c>
      <c r="F494" s="22" t="s">
        <v>310</v>
      </c>
      <c r="G494" s="82">
        <v>2241602</v>
      </c>
      <c r="H494" s="16" t="s">
        <v>360</v>
      </c>
      <c r="I494" s="16"/>
      <c r="J494" s="39"/>
      <c r="N494" s="22" t="s">
        <v>310</v>
      </c>
      <c r="O494" s="39">
        <v>2241609</v>
      </c>
      <c r="P494" s="16" t="s">
        <v>715</v>
      </c>
      <c r="Q494" s="39"/>
      <c r="R494" s="34"/>
      <c r="S494" s="34" t="s">
        <v>92</v>
      </c>
      <c r="T494" s="34"/>
      <c r="U494" s="34" t="s">
        <v>94</v>
      </c>
      <c r="V494" s="34" t="s">
        <v>94</v>
      </c>
      <c r="W494" s="34" t="s">
        <v>35</v>
      </c>
      <c r="X494" s="34" t="s">
        <v>36</v>
      </c>
      <c r="Y494" s="153" t="s">
        <v>716</v>
      </c>
    </row>
    <row r="495" spans="2:25">
      <c r="B495" s="21" t="s">
        <v>27</v>
      </c>
      <c r="C495" s="31" t="s">
        <v>28</v>
      </c>
      <c r="D495" s="47">
        <v>45478</v>
      </c>
      <c r="F495" s="22" t="s">
        <v>310</v>
      </c>
      <c r="G495" s="82">
        <v>2241301</v>
      </c>
      <c r="H495" s="16" t="s">
        <v>717</v>
      </c>
      <c r="I495" s="16"/>
      <c r="J495" s="39"/>
      <c r="N495" s="22" t="s">
        <v>310</v>
      </c>
      <c r="O495" s="39">
        <v>2241305</v>
      </c>
      <c r="P495" s="16" t="s">
        <v>718</v>
      </c>
      <c r="Q495" s="39"/>
      <c r="R495" s="34"/>
      <c r="S495" s="34" t="s">
        <v>92</v>
      </c>
      <c r="T495" s="34"/>
      <c r="U495" s="34" t="s">
        <v>94</v>
      </c>
      <c r="V495" s="34" t="s">
        <v>94</v>
      </c>
      <c r="W495" s="34" t="s">
        <v>35</v>
      </c>
      <c r="X495" s="34" t="s">
        <v>36</v>
      </c>
      <c r="Y495" s="153" t="s">
        <v>719</v>
      </c>
    </row>
    <row r="496" spans="2:25">
      <c r="B496" s="21" t="s">
        <v>27</v>
      </c>
      <c r="C496" s="31" t="s">
        <v>28</v>
      </c>
      <c r="D496" s="47">
        <v>45478</v>
      </c>
      <c r="F496" s="22" t="s">
        <v>310</v>
      </c>
      <c r="G496" s="82">
        <v>2095811</v>
      </c>
      <c r="H496" s="16" t="s">
        <v>601</v>
      </c>
      <c r="I496" s="16"/>
      <c r="J496" s="39"/>
      <c r="N496" s="22" t="s">
        <v>310</v>
      </c>
      <c r="O496" s="39">
        <v>2095813</v>
      </c>
      <c r="P496" s="16" t="s">
        <v>720</v>
      </c>
      <c r="Q496" s="39"/>
      <c r="R496" s="34"/>
      <c r="S496" s="34" t="s">
        <v>92</v>
      </c>
      <c r="T496" s="34"/>
      <c r="U496" s="34" t="s">
        <v>94</v>
      </c>
      <c r="V496" s="34" t="s">
        <v>94</v>
      </c>
      <c r="W496" s="34" t="s">
        <v>35</v>
      </c>
      <c r="X496" s="34" t="s">
        <v>36</v>
      </c>
      <c r="Y496" s="153" t="s">
        <v>602</v>
      </c>
    </row>
    <row r="497" spans="2:25">
      <c r="B497" s="21" t="s">
        <v>27</v>
      </c>
      <c r="C497" s="31" t="s">
        <v>28</v>
      </c>
      <c r="D497" s="47">
        <v>45478</v>
      </c>
      <c r="F497" s="22" t="s">
        <v>310</v>
      </c>
      <c r="G497" s="82">
        <v>2242706</v>
      </c>
      <c r="H497" s="16" t="s">
        <v>594</v>
      </c>
      <c r="I497" s="16"/>
      <c r="J497" s="39"/>
      <c r="N497" s="22" t="s">
        <v>310</v>
      </c>
      <c r="O497" s="39">
        <v>2242708</v>
      </c>
      <c r="P497" s="16" t="s">
        <v>721</v>
      </c>
      <c r="Q497" s="39"/>
      <c r="R497" s="34"/>
      <c r="S497" s="34" t="s">
        <v>92</v>
      </c>
      <c r="T497" s="34"/>
      <c r="U497" s="34" t="s">
        <v>94</v>
      </c>
      <c r="V497" s="34" t="s">
        <v>94</v>
      </c>
      <c r="W497" s="34" t="s">
        <v>35</v>
      </c>
      <c r="X497" s="34" t="s">
        <v>36</v>
      </c>
      <c r="Y497" s="153" t="s">
        <v>595</v>
      </c>
    </row>
    <row r="498" spans="2:25">
      <c r="B498" s="21" t="s">
        <v>27</v>
      </c>
      <c r="C498" s="31" t="s">
        <v>28</v>
      </c>
      <c r="D498" s="47">
        <v>45478</v>
      </c>
      <c r="F498" s="22" t="s">
        <v>310</v>
      </c>
      <c r="G498" s="82">
        <v>2242305</v>
      </c>
      <c r="H498" s="16" t="s">
        <v>598</v>
      </c>
      <c r="I498" s="16"/>
      <c r="J498" s="39"/>
      <c r="N498" s="22" t="s">
        <v>310</v>
      </c>
      <c r="O498" s="39">
        <v>2242307</v>
      </c>
      <c r="P498" s="16" t="s">
        <v>722</v>
      </c>
      <c r="Q498" s="39"/>
      <c r="R498" s="34"/>
      <c r="S498" s="34" t="s">
        <v>92</v>
      </c>
      <c r="T498" s="34"/>
      <c r="U498" s="34" t="s">
        <v>94</v>
      </c>
      <c r="V498" s="34" t="s">
        <v>94</v>
      </c>
      <c r="W498" s="34" t="s">
        <v>35</v>
      </c>
      <c r="X498" s="34" t="s">
        <v>36</v>
      </c>
      <c r="Y498" s="153" t="s">
        <v>599</v>
      </c>
    </row>
    <row r="499" spans="2:25">
      <c r="B499" s="21" t="s">
        <v>27</v>
      </c>
      <c r="C499" s="31" t="s">
        <v>28</v>
      </c>
      <c r="D499" s="47">
        <v>45478</v>
      </c>
      <c r="F499" s="22" t="s">
        <v>310</v>
      </c>
      <c r="G499" s="82">
        <v>2242606</v>
      </c>
      <c r="H499" s="16" t="s">
        <v>590</v>
      </c>
      <c r="I499" s="16"/>
      <c r="J499" s="39"/>
      <c r="N499" s="22" t="s">
        <v>310</v>
      </c>
      <c r="O499" s="39">
        <v>2242608</v>
      </c>
      <c r="P499" s="16" t="s">
        <v>723</v>
      </c>
      <c r="Q499" s="39"/>
      <c r="R499" s="34"/>
      <c r="S499" s="34" t="s">
        <v>92</v>
      </c>
      <c r="T499" s="34"/>
      <c r="U499" s="34" t="s">
        <v>94</v>
      </c>
      <c r="V499" s="34" t="s">
        <v>94</v>
      </c>
      <c r="W499" s="34" t="s">
        <v>35</v>
      </c>
      <c r="X499" s="34" t="s">
        <v>36</v>
      </c>
      <c r="Y499" s="153" t="s">
        <v>724</v>
      </c>
    </row>
    <row r="500" spans="2:25">
      <c r="B500" s="21" t="s">
        <v>27</v>
      </c>
      <c r="C500" s="31" t="s">
        <v>28</v>
      </c>
      <c r="D500" s="47">
        <v>45478</v>
      </c>
      <c r="F500" s="22" t="s">
        <v>310</v>
      </c>
      <c r="G500" s="82">
        <v>2242806</v>
      </c>
      <c r="H500" s="16" t="s">
        <v>592</v>
      </c>
      <c r="I500" s="16"/>
      <c r="J500" s="39"/>
      <c r="N500" s="22" t="s">
        <v>310</v>
      </c>
      <c r="O500" s="39">
        <v>2242808</v>
      </c>
      <c r="P500" s="16" t="s">
        <v>725</v>
      </c>
      <c r="Q500" s="39"/>
      <c r="R500" s="34"/>
      <c r="S500" s="34" t="s">
        <v>92</v>
      </c>
      <c r="T500" s="34"/>
      <c r="U500" s="34" t="s">
        <v>94</v>
      </c>
      <c r="V500" s="34" t="s">
        <v>94</v>
      </c>
      <c r="W500" s="34" t="s">
        <v>35</v>
      </c>
      <c r="X500" s="34" t="s">
        <v>36</v>
      </c>
      <c r="Y500" s="153" t="s">
        <v>593</v>
      </c>
    </row>
    <row r="501" spans="2:25">
      <c r="B501" s="21" t="s">
        <v>47</v>
      </c>
      <c r="C501" s="31" t="s">
        <v>28</v>
      </c>
      <c r="D501" s="47">
        <v>45478</v>
      </c>
      <c r="F501" s="22"/>
      <c r="G501" s="82"/>
      <c r="H501" s="16"/>
      <c r="I501" s="16"/>
      <c r="J501" s="39"/>
      <c r="N501" s="22" t="s">
        <v>310</v>
      </c>
      <c r="O501" s="39">
        <v>2584101</v>
      </c>
      <c r="P501" s="16" t="s">
        <v>726</v>
      </c>
      <c r="Q501" s="39"/>
      <c r="R501" s="34"/>
      <c r="S501" s="34" t="s">
        <v>92</v>
      </c>
      <c r="T501" s="34"/>
      <c r="U501" s="34" t="s">
        <v>94</v>
      </c>
      <c r="V501" s="34" t="s">
        <v>94</v>
      </c>
      <c r="W501" s="34" t="s">
        <v>35</v>
      </c>
      <c r="X501" s="34" t="s">
        <v>36</v>
      </c>
      <c r="Y501" s="153" t="s">
        <v>727</v>
      </c>
    </row>
    <row r="502" spans="2:25">
      <c r="B502" s="21" t="s">
        <v>47</v>
      </c>
      <c r="C502" s="31" t="s">
        <v>28</v>
      </c>
      <c r="D502" s="47">
        <v>45478</v>
      </c>
      <c r="F502" s="22"/>
      <c r="G502" s="82"/>
      <c r="H502" s="16"/>
      <c r="I502" s="16"/>
      <c r="J502" s="39"/>
      <c r="N502" s="22" t="s">
        <v>310</v>
      </c>
      <c r="O502" s="39">
        <v>2096213</v>
      </c>
      <c r="P502" s="16" t="s">
        <v>728</v>
      </c>
      <c r="Q502" s="39"/>
      <c r="R502" s="34"/>
      <c r="S502" s="34" t="s">
        <v>92</v>
      </c>
      <c r="T502" s="34"/>
      <c r="U502" s="34" t="s">
        <v>94</v>
      </c>
      <c r="V502" s="34" t="s">
        <v>94</v>
      </c>
      <c r="W502" s="34" t="s">
        <v>35</v>
      </c>
      <c r="X502" s="34" t="s">
        <v>36</v>
      </c>
      <c r="Y502" s="153" t="s">
        <v>729</v>
      </c>
    </row>
    <row r="503" spans="2:25">
      <c r="B503" s="21" t="s">
        <v>27</v>
      </c>
      <c r="C503" s="31" t="s">
        <v>28</v>
      </c>
      <c r="D503" s="47">
        <v>45520</v>
      </c>
      <c r="F503" s="22" t="s">
        <v>64</v>
      </c>
      <c r="G503" s="36" t="s">
        <v>730</v>
      </c>
      <c r="H503" s="21" t="s">
        <v>690</v>
      </c>
      <c r="I503" s="16"/>
      <c r="J503" s="39"/>
      <c r="N503" s="22" t="s">
        <v>64</v>
      </c>
      <c r="O503" s="39">
        <v>113931</v>
      </c>
      <c r="P503" s="115" t="s">
        <v>731</v>
      </c>
      <c r="Q503" s="46"/>
      <c r="R503" s="46"/>
      <c r="S503" s="34" t="s">
        <v>282</v>
      </c>
      <c r="T503" s="46"/>
      <c r="U503" s="34" t="s">
        <v>94</v>
      </c>
      <c r="V503" s="34" t="s">
        <v>94</v>
      </c>
      <c r="W503" s="34" t="s">
        <v>35</v>
      </c>
      <c r="X503" s="34" t="s">
        <v>36</v>
      </c>
      <c r="Y503" s="153" t="s">
        <v>732</v>
      </c>
    </row>
    <row r="504" spans="2:25">
      <c r="B504" s="21" t="s">
        <v>27</v>
      </c>
      <c r="C504" s="31" t="s">
        <v>28</v>
      </c>
      <c r="D504" s="47">
        <v>45520</v>
      </c>
      <c r="F504" s="22" t="s">
        <v>64</v>
      </c>
      <c r="G504" s="36" t="s">
        <v>733</v>
      </c>
      <c r="H504" s="21" t="s">
        <v>698</v>
      </c>
      <c r="I504" s="16"/>
      <c r="J504" s="39"/>
      <c r="N504" s="22" t="s">
        <v>64</v>
      </c>
      <c r="O504" s="39">
        <v>1561422</v>
      </c>
      <c r="P504" s="115" t="s">
        <v>734</v>
      </c>
      <c r="Q504" s="46"/>
      <c r="R504" s="46"/>
      <c r="S504" s="34" t="s">
        <v>282</v>
      </c>
      <c r="T504" s="46"/>
      <c r="U504" s="34" t="s">
        <v>94</v>
      </c>
      <c r="V504" s="34" t="s">
        <v>94</v>
      </c>
      <c r="W504" s="34" t="s">
        <v>35</v>
      </c>
      <c r="X504" s="34" t="s">
        <v>36</v>
      </c>
      <c r="Y504" s="153" t="s">
        <v>735</v>
      </c>
    </row>
    <row r="505" spans="2:25">
      <c r="B505" s="16" t="s">
        <v>74</v>
      </c>
      <c r="C505" s="46" t="s">
        <v>28</v>
      </c>
      <c r="D505" s="47">
        <v>45541</v>
      </c>
      <c r="F505" s="22" t="s">
        <v>64</v>
      </c>
      <c r="G505" s="277">
        <v>1561402</v>
      </c>
      <c r="H505" s="21" t="s">
        <v>697</v>
      </c>
      <c r="I505" s="16"/>
      <c r="J505" s="39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</row>
    <row r="506" spans="2:25">
      <c r="B506" s="16" t="s">
        <v>74</v>
      </c>
      <c r="C506" s="46" t="s">
        <v>28</v>
      </c>
      <c r="D506" s="47">
        <v>45541</v>
      </c>
      <c r="F506" s="22" t="s">
        <v>64</v>
      </c>
      <c r="G506" s="22">
        <v>2109402</v>
      </c>
      <c r="H506" s="21" t="s">
        <v>736</v>
      </c>
      <c r="I506" s="16"/>
      <c r="J506" s="39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</row>
    <row r="507" spans="2:25">
      <c r="B507" s="16" t="s">
        <v>74</v>
      </c>
      <c r="C507" s="46" t="s">
        <v>28</v>
      </c>
      <c r="D507" s="47">
        <v>45548</v>
      </c>
      <c r="F507" s="22" t="s">
        <v>57</v>
      </c>
      <c r="G507" s="22">
        <v>2493403</v>
      </c>
      <c r="H507" s="21" t="s">
        <v>737</v>
      </c>
      <c r="I507" s="16"/>
      <c r="J507" s="39"/>
      <c r="N507" s="46"/>
      <c r="O507" s="46"/>
      <c r="P507" s="46"/>
      <c r="Q507" s="46"/>
      <c r="R507" s="46"/>
      <c r="S507" s="34"/>
      <c r="T507" s="46"/>
      <c r="U507" s="34"/>
      <c r="V507" s="34"/>
      <c r="W507" s="34"/>
      <c r="X507" s="34"/>
      <c r="Y507" s="46"/>
    </row>
    <row r="508" spans="2:25">
      <c r="B508" s="21" t="s">
        <v>47</v>
      </c>
      <c r="C508" s="31" t="s">
        <v>28</v>
      </c>
      <c r="D508" s="47">
        <v>45555</v>
      </c>
      <c r="F508" s="46"/>
      <c r="G508" s="39"/>
      <c r="H508" s="16"/>
      <c r="I508" s="16"/>
      <c r="J508" s="39"/>
      <c r="N508" s="22" t="s">
        <v>738</v>
      </c>
      <c r="O508" s="39">
        <v>2459615</v>
      </c>
      <c r="P508" s="115" t="s">
        <v>739</v>
      </c>
      <c r="Q508" s="46"/>
      <c r="R508" s="46"/>
      <c r="S508" s="34" t="s">
        <v>92</v>
      </c>
      <c r="T508" s="46"/>
      <c r="U508" s="34" t="s">
        <v>94</v>
      </c>
      <c r="V508" s="34" t="s">
        <v>94</v>
      </c>
      <c r="W508" s="34" t="s">
        <v>35</v>
      </c>
      <c r="X508" s="34" t="s">
        <v>36</v>
      </c>
      <c r="Y508" s="153" t="s">
        <v>740</v>
      </c>
    </row>
    <row r="509" spans="2:25">
      <c r="B509" s="21" t="s">
        <v>47</v>
      </c>
      <c r="C509" s="31" t="s">
        <v>28</v>
      </c>
      <c r="D509" s="47">
        <v>45555</v>
      </c>
      <c r="F509" s="46"/>
      <c r="G509" s="39"/>
      <c r="H509" s="16"/>
      <c r="I509" s="16"/>
      <c r="J509" s="39"/>
      <c r="N509" s="22" t="s">
        <v>738</v>
      </c>
      <c r="O509" s="39">
        <v>2459714</v>
      </c>
      <c r="P509" s="115" t="s">
        <v>741</v>
      </c>
      <c r="Q509" s="46"/>
      <c r="R509" s="46"/>
      <c r="S509" s="34" t="s">
        <v>92</v>
      </c>
      <c r="T509" s="46"/>
      <c r="U509" s="34" t="s">
        <v>94</v>
      </c>
      <c r="V509" s="34" t="s">
        <v>94</v>
      </c>
      <c r="W509" s="34" t="s">
        <v>35</v>
      </c>
      <c r="X509" s="34" t="s">
        <v>36</v>
      </c>
      <c r="Y509" s="153" t="s">
        <v>742</v>
      </c>
    </row>
    <row r="510" spans="2:25">
      <c r="B510" s="21" t="s">
        <v>47</v>
      </c>
      <c r="C510" s="31" t="s">
        <v>28</v>
      </c>
      <c r="D510" s="47">
        <v>45555</v>
      </c>
      <c r="F510" s="46"/>
      <c r="G510" s="39"/>
      <c r="H510" s="16"/>
      <c r="I510" s="16"/>
      <c r="J510" s="39"/>
      <c r="N510" s="22" t="s">
        <v>738</v>
      </c>
      <c r="O510" s="39">
        <v>2459911</v>
      </c>
      <c r="P510" s="115" t="s">
        <v>743</v>
      </c>
      <c r="Q510" s="46"/>
      <c r="R510" s="46"/>
      <c r="S510" s="34" t="s">
        <v>92</v>
      </c>
      <c r="T510" s="46"/>
      <c r="U510" s="34" t="s">
        <v>94</v>
      </c>
      <c r="V510" s="34" t="s">
        <v>94</v>
      </c>
      <c r="W510" s="34" t="s">
        <v>35</v>
      </c>
      <c r="X510" s="34" t="s">
        <v>36</v>
      </c>
      <c r="Y510" s="153" t="s">
        <v>744</v>
      </c>
    </row>
    <row r="511" spans="2:25">
      <c r="B511" s="21" t="s">
        <v>47</v>
      </c>
      <c r="C511" s="31" t="s">
        <v>28</v>
      </c>
      <c r="D511" s="47">
        <v>45555</v>
      </c>
      <c r="F511" s="46"/>
      <c r="G511" s="39"/>
      <c r="H511" s="16"/>
      <c r="I511" s="16"/>
      <c r="J511" s="39"/>
      <c r="N511" s="22" t="s">
        <v>738</v>
      </c>
      <c r="O511" s="39">
        <v>2460116</v>
      </c>
      <c r="P511" s="115" t="s">
        <v>745</v>
      </c>
      <c r="Q511" s="46"/>
      <c r="R511" s="46"/>
      <c r="S511" s="34" t="s">
        <v>92</v>
      </c>
      <c r="T511" s="46"/>
      <c r="U511" s="34" t="s">
        <v>94</v>
      </c>
      <c r="V511" s="34" t="s">
        <v>94</v>
      </c>
      <c r="W511" s="34" t="s">
        <v>35</v>
      </c>
      <c r="X511" s="34" t="s">
        <v>36</v>
      </c>
      <c r="Y511" s="153" t="s">
        <v>746</v>
      </c>
    </row>
    <row r="512" spans="2:25">
      <c r="B512" s="21" t="s">
        <v>47</v>
      </c>
      <c r="C512" s="31" t="s">
        <v>28</v>
      </c>
      <c r="D512" s="47">
        <v>45555</v>
      </c>
      <c r="F512" s="46"/>
      <c r="G512" s="39"/>
      <c r="H512" s="16"/>
      <c r="I512" s="16"/>
      <c r="J512" s="39"/>
      <c r="N512" s="22" t="s">
        <v>738</v>
      </c>
      <c r="O512" s="39">
        <v>2460214</v>
      </c>
      <c r="P512" s="115" t="s">
        <v>747</v>
      </c>
      <c r="Q512" s="46"/>
      <c r="R512" s="46"/>
      <c r="S512" s="34" t="s">
        <v>92</v>
      </c>
      <c r="T512" s="46"/>
      <c r="U512" s="34" t="s">
        <v>94</v>
      </c>
      <c r="V512" s="34" t="s">
        <v>94</v>
      </c>
      <c r="W512" s="34" t="s">
        <v>35</v>
      </c>
      <c r="X512" s="34" t="s">
        <v>36</v>
      </c>
      <c r="Y512" s="153" t="s">
        <v>748</v>
      </c>
    </row>
    <row r="513" spans="2:25">
      <c r="B513" s="21" t="s">
        <v>47</v>
      </c>
      <c r="C513" s="31" t="s">
        <v>28</v>
      </c>
      <c r="D513" s="47">
        <v>45555</v>
      </c>
      <c r="F513" s="46"/>
      <c r="G513" s="39"/>
      <c r="H513" s="16"/>
      <c r="I513" s="16"/>
      <c r="J513" s="39"/>
      <c r="N513" s="22" t="s">
        <v>738</v>
      </c>
      <c r="O513" s="39">
        <v>2460309</v>
      </c>
      <c r="P513" s="115" t="s">
        <v>749</v>
      </c>
      <c r="Q513" s="46"/>
      <c r="R513" s="46"/>
      <c r="S513" s="34" t="s">
        <v>92</v>
      </c>
      <c r="T513" s="46"/>
      <c r="U513" s="34" t="s">
        <v>94</v>
      </c>
      <c r="V513" s="34" t="s">
        <v>94</v>
      </c>
      <c r="W513" s="34" t="s">
        <v>35</v>
      </c>
      <c r="X513" s="34" t="s">
        <v>36</v>
      </c>
      <c r="Y513" s="153" t="s">
        <v>750</v>
      </c>
    </row>
    <row r="514" spans="2:25">
      <c r="B514" s="21" t="s">
        <v>47</v>
      </c>
      <c r="C514" s="31" t="s">
        <v>28</v>
      </c>
      <c r="D514" s="47">
        <v>45555</v>
      </c>
      <c r="F514" s="46"/>
      <c r="G514" s="39"/>
      <c r="H514" s="16"/>
      <c r="I514" s="16"/>
      <c r="J514" s="39"/>
      <c r="N514" s="22" t="s">
        <v>738</v>
      </c>
      <c r="O514" s="39">
        <v>2460513</v>
      </c>
      <c r="P514" s="115" t="s">
        <v>751</v>
      </c>
      <c r="Q514" s="46"/>
      <c r="R514" s="46"/>
      <c r="S514" s="34" t="s">
        <v>92</v>
      </c>
      <c r="T514" s="46"/>
      <c r="U514" s="34" t="s">
        <v>94</v>
      </c>
      <c r="V514" s="34" t="s">
        <v>94</v>
      </c>
      <c r="W514" s="34" t="s">
        <v>35</v>
      </c>
      <c r="X514" s="34" t="s">
        <v>36</v>
      </c>
      <c r="Y514" s="153" t="s">
        <v>752</v>
      </c>
    </row>
    <row r="515" spans="2:25">
      <c r="B515" s="21" t="s">
        <v>47</v>
      </c>
      <c r="C515" s="31" t="s">
        <v>28</v>
      </c>
      <c r="D515" s="47">
        <v>45555</v>
      </c>
      <c r="F515" s="46"/>
      <c r="G515" s="39"/>
      <c r="H515" s="16"/>
      <c r="I515" s="16"/>
      <c r="J515" s="39"/>
      <c r="N515" s="22" t="s">
        <v>738</v>
      </c>
      <c r="O515" s="39">
        <v>2460617</v>
      </c>
      <c r="P515" s="115" t="s">
        <v>753</v>
      </c>
      <c r="Q515" s="39"/>
      <c r="R515" s="34"/>
      <c r="S515" s="34" t="s">
        <v>92</v>
      </c>
      <c r="T515" s="34"/>
      <c r="U515" s="34" t="s">
        <v>94</v>
      </c>
      <c r="V515" s="34" t="s">
        <v>94</v>
      </c>
      <c r="W515" s="34" t="s">
        <v>35</v>
      </c>
      <c r="X515" s="34" t="s">
        <v>36</v>
      </c>
      <c r="Y515" s="153" t="s">
        <v>754</v>
      </c>
    </row>
    <row r="516" spans="2:25">
      <c r="B516" s="21" t="s">
        <v>47</v>
      </c>
      <c r="C516" s="31" t="s">
        <v>28</v>
      </c>
      <c r="D516" s="47">
        <v>45555</v>
      </c>
      <c r="F516" s="46"/>
      <c r="G516" s="39"/>
      <c r="H516" s="16"/>
      <c r="I516" s="16"/>
      <c r="J516" s="39"/>
      <c r="N516" s="22" t="s">
        <v>738</v>
      </c>
      <c r="O516" s="39">
        <v>2460811</v>
      </c>
      <c r="P516" s="115" t="s">
        <v>755</v>
      </c>
      <c r="Q516" s="39"/>
      <c r="R516" s="34"/>
      <c r="S516" s="34" t="s">
        <v>92</v>
      </c>
      <c r="T516" s="34"/>
      <c r="U516" s="34" t="s">
        <v>94</v>
      </c>
      <c r="V516" s="34" t="s">
        <v>94</v>
      </c>
      <c r="W516" s="34" t="s">
        <v>35</v>
      </c>
      <c r="X516" s="34" t="s">
        <v>36</v>
      </c>
      <c r="Y516" s="153" t="s">
        <v>756</v>
      </c>
    </row>
    <row r="517" spans="2:25">
      <c r="B517" s="21" t="s">
        <v>47</v>
      </c>
      <c r="C517" s="31" t="s">
        <v>28</v>
      </c>
      <c r="D517" s="47">
        <v>45555</v>
      </c>
      <c r="F517" s="46"/>
      <c r="G517" s="39"/>
      <c r="H517" s="16"/>
      <c r="I517" s="16"/>
      <c r="J517" s="39"/>
      <c r="N517" s="22" t="s">
        <v>738</v>
      </c>
      <c r="O517" s="39">
        <v>2460917</v>
      </c>
      <c r="P517" s="115" t="s">
        <v>757</v>
      </c>
      <c r="Q517" s="39"/>
      <c r="R517" s="34"/>
      <c r="S517" s="34" t="s">
        <v>92</v>
      </c>
      <c r="T517" s="34"/>
      <c r="U517" s="34" t="s">
        <v>94</v>
      </c>
      <c r="V517" s="34" t="s">
        <v>94</v>
      </c>
      <c r="W517" s="34" t="s">
        <v>35</v>
      </c>
      <c r="X517" s="34" t="s">
        <v>36</v>
      </c>
      <c r="Y517" s="153" t="s">
        <v>758</v>
      </c>
    </row>
    <row r="518" spans="2:25">
      <c r="B518" s="21" t="s">
        <v>47</v>
      </c>
      <c r="C518" s="31" t="s">
        <v>28</v>
      </c>
      <c r="D518" s="47">
        <v>45555</v>
      </c>
      <c r="F518" s="46"/>
      <c r="G518" s="39"/>
      <c r="H518" s="16"/>
      <c r="I518" s="16"/>
      <c r="J518" s="39"/>
      <c r="N518" s="22" t="s">
        <v>738</v>
      </c>
      <c r="O518" s="39">
        <v>2461115</v>
      </c>
      <c r="P518" s="115" t="s">
        <v>759</v>
      </c>
      <c r="Q518" s="39"/>
      <c r="R518" s="34"/>
      <c r="S518" s="34" t="s">
        <v>92</v>
      </c>
      <c r="T518" s="34"/>
      <c r="U518" s="34" t="s">
        <v>94</v>
      </c>
      <c r="V518" s="34" t="s">
        <v>94</v>
      </c>
      <c r="W518" s="34" t="s">
        <v>35</v>
      </c>
      <c r="X518" s="34" t="s">
        <v>36</v>
      </c>
      <c r="Y518" s="153" t="s">
        <v>760</v>
      </c>
    </row>
    <row r="519" spans="2:25">
      <c r="B519" s="16" t="s">
        <v>74</v>
      </c>
      <c r="C519" s="46" t="s">
        <v>28</v>
      </c>
      <c r="D519" s="47">
        <v>45562</v>
      </c>
      <c r="F519" s="22" t="s">
        <v>673</v>
      </c>
      <c r="G519" s="22">
        <v>989108</v>
      </c>
      <c r="H519" s="21" t="s">
        <v>674</v>
      </c>
      <c r="I519" s="16"/>
      <c r="J519" s="39"/>
      <c r="N519" s="46"/>
      <c r="O519" s="39"/>
      <c r="P519" s="16"/>
      <c r="Q519" s="39"/>
      <c r="R519" s="34"/>
      <c r="S519" s="34"/>
      <c r="T519" s="34"/>
      <c r="U519" s="34"/>
      <c r="V519" s="34"/>
      <c r="W519" s="34"/>
      <c r="X519" s="34"/>
      <c r="Y519" s="34"/>
    </row>
    <row r="520" spans="2:25">
      <c r="B520" s="16" t="s">
        <v>47</v>
      </c>
      <c r="C520" s="46" t="s">
        <v>28</v>
      </c>
      <c r="D520" s="47">
        <v>45576</v>
      </c>
      <c r="F520" s="46"/>
      <c r="G520" s="39"/>
      <c r="H520" s="16"/>
      <c r="I520" s="16"/>
      <c r="J520" s="39"/>
      <c r="N520" s="39" t="s">
        <v>57</v>
      </c>
      <c r="O520" s="39">
        <v>2603102</v>
      </c>
      <c r="P520" s="16" t="s">
        <v>761</v>
      </c>
      <c r="Q520" s="39"/>
      <c r="R520" s="34"/>
      <c r="S520" s="34" t="s">
        <v>762</v>
      </c>
      <c r="T520" s="34"/>
      <c r="U520" s="34" t="s">
        <v>94</v>
      </c>
      <c r="V520" s="34" t="s">
        <v>92</v>
      </c>
      <c r="W520" s="34" t="s">
        <v>35</v>
      </c>
      <c r="X520" s="34" t="s">
        <v>36</v>
      </c>
      <c r="Y520" s="153" t="s">
        <v>763</v>
      </c>
    </row>
    <row r="521" spans="2:25">
      <c r="B521" s="16" t="s">
        <v>47</v>
      </c>
      <c r="C521" s="46" t="s">
        <v>28</v>
      </c>
      <c r="D521" s="47">
        <v>45576</v>
      </c>
      <c r="F521" s="46"/>
      <c r="G521" s="39"/>
      <c r="H521" s="16"/>
      <c r="I521" s="16"/>
      <c r="J521" s="39"/>
      <c r="N521" s="39" t="s">
        <v>368</v>
      </c>
      <c r="O521" s="39">
        <v>2574301</v>
      </c>
      <c r="P521" s="16" t="s">
        <v>764</v>
      </c>
      <c r="Q521" s="39"/>
      <c r="R521" s="34"/>
      <c r="S521" s="34" t="s">
        <v>121</v>
      </c>
      <c r="T521" s="34"/>
      <c r="U521" s="34" t="s">
        <v>94</v>
      </c>
      <c r="V521" s="34" t="s">
        <v>92</v>
      </c>
      <c r="W521" s="34" t="s">
        <v>35</v>
      </c>
      <c r="X521" s="34" t="s">
        <v>36</v>
      </c>
      <c r="Y521" s="153" t="s">
        <v>765</v>
      </c>
    </row>
    <row r="522" spans="2:25">
      <c r="B522" s="16" t="s">
        <v>74</v>
      </c>
      <c r="C522" s="80" t="s">
        <v>28</v>
      </c>
      <c r="D522" s="47">
        <v>45596</v>
      </c>
      <c r="F522" s="22" t="s">
        <v>310</v>
      </c>
      <c r="G522" s="22">
        <v>2241402</v>
      </c>
      <c r="H522" s="230" t="s">
        <v>358</v>
      </c>
      <c r="I522" s="16"/>
      <c r="J522" s="39"/>
      <c r="N522" s="46"/>
      <c r="O522" s="39"/>
      <c r="P522" s="16"/>
      <c r="Q522" s="39"/>
      <c r="R522" s="34"/>
      <c r="S522" s="34"/>
      <c r="T522" s="34"/>
      <c r="U522" s="34"/>
      <c r="V522" s="34"/>
      <c r="W522" s="34"/>
      <c r="X522" s="34"/>
      <c r="Y522" s="34"/>
    </row>
    <row r="523" spans="2:25">
      <c r="B523" s="16" t="s">
        <v>74</v>
      </c>
      <c r="C523" s="80" t="s">
        <v>28</v>
      </c>
      <c r="D523" s="47">
        <v>45596</v>
      </c>
      <c r="F523" s="22" t="s">
        <v>310</v>
      </c>
      <c r="G523" s="22">
        <v>2241602</v>
      </c>
      <c r="H523" s="230" t="s">
        <v>360</v>
      </c>
      <c r="I523" s="16"/>
      <c r="J523" s="39"/>
      <c r="N523" s="46"/>
      <c r="O523" s="39"/>
      <c r="P523" s="16"/>
      <c r="Q523" s="39"/>
      <c r="R523" s="34"/>
      <c r="S523" s="34"/>
      <c r="T523" s="34"/>
      <c r="U523" s="34"/>
      <c r="V523" s="34"/>
      <c r="W523" s="34"/>
      <c r="X523" s="34"/>
      <c r="Y523" s="34"/>
    </row>
    <row r="524" spans="2:25">
      <c r="B524" s="16" t="s">
        <v>74</v>
      </c>
      <c r="C524" s="80" t="s">
        <v>28</v>
      </c>
      <c r="D524" s="47">
        <v>45596</v>
      </c>
      <c r="F524" s="22" t="s">
        <v>310</v>
      </c>
      <c r="G524" s="22">
        <v>2095811</v>
      </c>
      <c r="H524" s="230" t="s">
        <v>601</v>
      </c>
      <c r="I524" s="16"/>
      <c r="J524" s="39"/>
      <c r="N524" s="46"/>
      <c r="O524" s="39"/>
      <c r="P524" s="16"/>
      <c r="Q524" s="39"/>
      <c r="R524" s="34"/>
      <c r="S524" s="34"/>
      <c r="T524" s="34"/>
      <c r="U524" s="34"/>
      <c r="V524" s="34"/>
      <c r="W524" s="34"/>
      <c r="X524" s="34"/>
      <c r="Y524" s="34"/>
    </row>
    <row r="525" spans="2:25">
      <c r="B525" s="16" t="s">
        <v>74</v>
      </c>
      <c r="C525" s="80" t="s">
        <v>28</v>
      </c>
      <c r="D525" s="47">
        <v>45596</v>
      </c>
      <c r="F525" s="22" t="s">
        <v>310</v>
      </c>
      <c r="G525" s="22">
        <v>2242706</v>
      </c>
      <c r="H525" s="230" t="s">
        <v>594</v>
      </c>
      <c r="I525" s="16"/>
      <c r="J525" s="39"/>
      <c r="N525" s="46"/>
      <c r="O525" s="39"/>
      <c r="P525" s="16"/>
      <c r="Q525" s="39"/>
      <c r="R525" s="34"/>
      <c r="S525" s="34"/>
      <c r="T525" s="34"/>
      <c r="U525" s="34"/>
      <c r="V525" s="34"/>
      <c r="W525" s="34"/>
      <c r="X525" s="34"/>
      <c r="Y525" s="34"/>
    </row>
    <row r="526" spans="2:25">
      <c r="B526" s="16" t="s">
        <v>74</v>
      </c>
      <c r="C526" s="80" t="s">
        <v>28</v>
      </c>
      <c r="D526" s="47">
        <v>45596</v>
      </c>
      <c r="F526" s="22" t="s">
        <v>310</v>
      </c>
      <c r="G526" s="22">
        <v>2242806</v>
      </c>
      <c r="H526" s="230" t="s">
        <v>592</v>
      </c>
      <c r="I526" s="16"/>
      <c r="J526" s="39"/>
      <c r="N526" s="46"/>
      <c r="O526" s="39"/>
      <c r="P526" s="16"/>
      <c r="Q526" s="39"/>
      <c r="R526" s="34"/>
      <c r="S526" s="34"/>
      <c r="T526" s="34"/>
      <c r="U526" s="34"/>
      <c r="V526" s="34"/>
      <c r="W526" s="34"/>
      <c r="X526" s="34"/>
      <c r="Y526" s="34"/>
    </row>
    <row r="527" spans="2:25">
      <c r="B527" s="16" t="s">
        <v>74</v>
      </c>
      <c r="C527" s="80" t="s">
        <v>28</v>
      </c>
      <c r="D527" s="47">
        <v>45596</v>
      </c>
      <c r="F527" s="22" t="s">
        <v>310</v>
      </c>
      <c r="G527" s="22">
        <v>2242606</v>
      </c>
      <c r="H527" s="230" t="s">
        <v>590</v>
      </c>
      <c r="I527" s="16"/>
      <c r="J527" s="39"/>
      <c r="N527" s="46"/>
      <c r="O527" s="39"/>
      <c r="P527" s="16"/>
      <c r="Q527" s="39"/>
      <c r="R527" s="34"/>
      <c r="S527" s="34"/>
      <c r="T527" s="34"/>
      <c r="U527" s="34"/>
      <c r="V527" s="34"/>
      <c r="W527" s="34"/>
      <c r="X527" s="34"/>
      <c r="Y527" s="34"/>
    </row>
    <row r="528" spans="2:25">
      <c r="B528" s="16" t="s">
        <v>74</v>
      </c>
      <c r="C528" s="80" t="s">
        <v>28</v>
      </c>
      <c r="D528" s="47">
        <v>45596</v>
      </c>
      <c r="F528" s="22" t="s">
        <v>310</v>
      </c>
      <c r="G528" s="22">
        <v>2242305</v>
      </c>
      <c r="H528" s="230" t="s">
        <v>598</v>
      </c>
      <c r="I528" s="16"/>
      <c r="J528" s="39"/>
      <c r="N528" s="46"/>
      <c r="O528" s="39"/>
      <c r="P528" s="16"/>
      <c r="Q528" s="39"/>
      <c r="R528" s="34"/>
      <c r="S528" s="34"/>
      <c r="T528" s="34"/>
      <c r="U528" s="34"/>
      <c r="V528" s="34"/>
      <c r="W528" s="34"/>
      <c r="X528" s="34"/>
      <c r="Y528" s="34"/>
    </row>
    <row r="529" spans="2:25">
      <c r="B529" s="16" t="s">
        <v>74</v>
      </c>
      <c r="C529" s="80" t="s">
        <v>28</v>
      </c>
      <c r="D529" s="47">
        <v>45604</v>
      </c>
      <c r="F529" s="22" t="s">
        <v>48</v>
      </c>
      <c r="G529" s="22">
        <v>2053307</v>
      </c>
      <c r="H529" s="230" t="s">
        <v>683</v>
      </c>
      <c r="I529" s="16"/>
      <c r="J529" s="39"/>
      <c r="N529" s="46"/>
      <c r="O529" s="39"/>
      <c r="P529" s="16"/>
      <c r="Q529" s="39"/>
      <c r="R529" s="34"/>
      <c r="S529" s="34"/>
      <c r="T529" s="34"/>
      <c r="U529" s="34"/>
      <c r="V529" s="34"/>
      <c r="W529" s="34"/>
      <c r="X529" s="34"/>
      <c r="Y529" s="34"/>
    </row>
    <row r="530" spans="2:25">
      <c r="B530" s="16" t="s">
        <v>74</v>
      </c>
      <c r="C530" s="80" t="s">
        <v>28</v>
      </c>
      <c r="D530" s="47">
        <v>45611</v>
      </c>
      <c r="F530" s="22" t="s">
        <v>185</v>
      </c>
      <c r="G530" s="22">
        <v>2151601</v>
      </c>
      <c r="H530" s="230" t="s">
        <v>766</v>
      </c>
      <c r="I530" s="16"/>
      <c r="J530" s="39"/>
      <c r="N530" s="46"/>
      <c r="O530" s="39"/>
      <c r="P530" s="16"/>
      <c r="Q530" s="39"/>
      <c r="R530" s="34"/>
      <c r="S530" s="34"/>
      <c r="T530" s="34"/>
      <c r="U530" s="38"/>
      <c r="V530" s="38"/>
      <c r="W530" s="38"/>
      <c r="X530" s="38"/>
      <c r="Y530" s="34"/>
    </row>
    <row r="531" spans="2:25">
      <c r="B531" s="21" t="s">
        <v>47</v>
      </c>
      <c r="C531" s="45" t="s">
        <v>28</v>
      </c>
      <c r="D531" s="47">
        <v>45618</v>
      </c>
      <c r="F531" s="46"/>
      <c r="G531" s="39"/>
      <c r="H531" s="16"/>
      <c r="I531" s="16"/>
      <c r="J531" s="39"/>
      <c r="N531" s="39" t="s">
        <v>48</v>
      </c>
      <c r="O531" s="39">
        <v>501326</v>
      </c>
      <c r="P531" s="16" t="s">
        <v>767</v>
      </c>
      <c r="Q531" s="39"/>
      <c r="R531" s="34"/>
      <c r="S531" s="34" t="s">
        <v>121</v>
      </c>
      <c r="T531" s="34"/>
      <c r="U531" s="34" t="s">
        <v>94</v>
      </c>
      <c r="V531" s="34" t="s">
        <v>94</v>
      </c>
      <c r="W531" s="34" t="s">
        <v>35</v>
      </c>
      <c r="X531" s="34" t="s">
        <v>36</v>
      </c>
      <c r="Y531" s="153" t="s">
        <v>768</v>
      </c>
    </row>
    <row r="532" spans="2:25">
      <c r="B532" s="21" t="s">
        <v>47</v>
      </c>
      <c r="C532" s="45" t="s">
        <v>28</v>
      </c>
      <c r="D532" s="47">
        <v>45618</v>
      </c>
      <c r="F532" s="46"/>
      <c r="G532" s="39"/>
      <c r="H532" s="16"/>
      <c r="I532" s="16"/>
      <c r="J532" s="39"/>
      <c r="N532" s="39" t="s">
        <v>48</v>
      </c>
      <c r="O532" s="39">
        <v>592432</v>
      </c>
      <c r="P532" s="16" t="s">
        <v>769</v>
      </c>
      <c r="Q532" s="39"/>
      <c r="R532" s="34"/>
      <c r="S532" s="34" t="s">
        <v>121</v>
      </c>
      <c r="T532" s="34"/>
      <c r="U532" s="34" t="s">
        <v>94</v>
      </c>
      <c r="V532" s="34" t="s">
        <v>94</v>
      </c>
      <c r="W532" s="34" t="s">
        <v>35</v>
      </c>
      <c r="X532" s="34" t="s">
        <v>36</v>
      </c>
      <c r="Y532" s="153" t="s">
        <v>770</v>
      </c>
    </row>
    <row r="533" spans="2:25">
      <c r="B533" s="21" t="s">
        <v>47</v>
      </c>
      <c r="C533" s="45" t="s">
        <v>28</v>
      </c>
      <c r="D533" s="47">
        <v>45618</v>
      </c>
      <c r="F533" s="46"/>
      <c r="G533" s="39"/>
      <c r="H533" s="16"/>
      <c r="I533" s="16"/>
      <c r="J533" s="39"/>
      <c r="N533" s="39" t="s">
        <v>48</v>
      </c>
      <c r="O533" s="39">
        <v>1963403</v>
      </c>
      <c r="P533" s="16" t="s">
        <v>771</v>
      </c>
      <c r="Q533" s="39"/>
      <c r="R533" s="34"/>
      <c r="S533" s="34" t="s">
        <v>73</v>
      </c>
      <c r="T533" s="34"/>
      <c r="U533" s="34" t="s">
        <v>94</v>
      </c>
      <c r="V533" s="34" t="s">
        <v>94</v>
      </c>
      <c r="W533" s="34" t="s">
        <v>35</v>
      </c>
      <c r="X533" s="34" t="s">
        <v>36</v>
      </c>
      <c r="Y533" s="153" t="s">
        <v>772</v>
      </c>
    </row>
    <row r="534" spans="2:25">
      <c r="B534" s="21" t="s">
        <v>47</v>
      </c>
      <c r="C534" s="45" t="s">
        <v>28</v>
      </c>
      <c r="D534" s="47">
        <v>45618</v>
      </c>
      <c r="F534" s="46"/>
      <c r="G534" s="39"/>
      <c r="H534" s="16"/>
      <c r="I534" s="16"/>
      <c r="J534" s="39"/>
      <c r="N534" s="39" t="s">
        <v>57</v>
      </c>
      <c r="O534" s="39">
        <v>444102</v>
      </c>
      <c r="P534" s="16" t="s">
        <v>773</v>
      </c>
      <c r="Q534" s="39"/>
      <c r="R534" s="34"/>
      <c r="S534" s="34" t="s">
        <v>121</v>
      </c>
      <c r="T534" s="34"/>
      <c r="U534" s="34" t="s">
        <v>94</v>
      </c>
      <c r="V534" s="34" t="s">
        <v>94</v>
      </c>
      <c r="W534" s="34" t="s">
        <v>35</v>
      </c>
      <c r="X534" s="34" t="s">
        <v>36</v>
      </c>
      <c r="Y534" s="153" t="s">
        <v>774</v>
      </c>
    </row>
    <row r="535" spans="2:25">
      <c r="B535" s="21" t="s">
        <v>47</v>
      </c>
      <c r="C535" s="45" t="s">
        <v>28</v>
      </c>
      <c r="D535" s="47">
        <v>45618</v>
      </c>
      <c r="F535" s="46"/>
      <c r="G535" s="39"/>
      <c r="H535" s="16"/>
      <c r="I535" s="16"/>
      <c r="J535" s="39"/>
      <c r="N535" s="39" t="s">
        <v>57</v>
      </c>
      <c r="O535" s="39">
        <v>509804</v>
      </c>
      <c r="P535" s="16" t="s">
        <v>775</v>
      </c>
      <c r="Q535" s="39"/>
      <c r="R535" s="34"/>
      <c r="S535" s="34" t="s">
        <v>121</v>
      </c>
      <c r="T535" s="34"/>
      <c r="U535" s="34" t="s">
        <v>94</v>
      </c>
      <c r="V535" s="34" t="s">
        <v>94</v>
      </c>
      <c r="W535" s="34" t="s">
        <v>35</v>
      </c>
      <c r="X535" s="34" t="s">
        <v>36</v>
      </c>
      <c r="Y535" s="153" t="s">
        <v>776</v>
      </c>
    </row>
    <row r="536" spans="2:25">
      <c r="B536" s="21" t="s">
        <v>47</v>
      </c>
      <c r="C536" s="31" t="s">
        <v>28</v>
      </c>
      <c r="D536" s="47">
        <v>45618</v>
      </c>
      <c r="F536" s="46"/>
      <c r="G536" s="39"/>
      <c r="H536" s="16"/>
      <c r="I536" s="16"/>
      <c r="J536" s="39"/>
      <c r="N536" s="39" t="s">
        <v>57</v>
      </c>
      <c r="O536" s="39">
        <v>1004415</v>
      </c>
      <c r="P536" s="16" t="s">
        <v>777</v>
      </c>
      <c r="Q536" s="39"/>
      <c r="R536" s="34"/>
      <c r="S536" s="34" t="s">
        <v>121</v>
      </c>
      <c r="T536" s="34"/>
      <c r="U536" s="34" t="s">
        <v>94</v>
      </c>
      <c r="V536" s="34" t="s">
        <v>94</v>
      </c>
      <c r="W536" s="34" t="s">
        <v>35</v>
      </c>
      <c r="X536" s="34" t="s">
        <v>36</v>
      </c>
      <c r="Y536" s="153" t="s">
        <v>778</v>
      </c>
    </row>
    <row r="537" spans="2:25">
      <c r="B537" s="21" t="s">
        <v>47</v>
      </c>
      <c r="C537" s="31" t="s">
        <v>28</v>
      </c>
      <c r="D537" s="47">
        <v>45618</v>
      </c>
      <c r="F537" s="46"/>
      <c r="G537" s="39"/>
      <c r="H537" s="16"/>
      <c r="I537" s="16"/>
      <c r="J537" s="39"/>
      <c r="N537" s="39" t="s">
        <v>57</v>
      </c>
      <c r="O537" s="39">
        <v>1257235</v>
      </c>
      <c r="P537" s="16" t="s">
        <v>779</v>
      </c>
      <c r="Q537" s="39"/>
      <c r="R537" s="34"/>
      <c r="S537" s="34" t="s">
        <v>121</v>
      </c>
      <c r="T537" s="34"/>
      <c r="U537" s="34" t="s">
        <v>94</v>
      </c>
      <c r="V537" s="34" t="s">
        <v>94</v>
      </c>
      <c r="W537" s="34" t="s">
        <v>35</v>
      </c>
      <c r="X537" s="34" t="s">
        <v>36</v>
      </c>
      <c r="Y537" s="153" t="s">
        <v>780</v>
      </c>
    </row>
    <row r="538" spans="2:25">
      <c r="B538" s="21" t="s">
        <v>47</v>
      </c>
      <c r="C538" s="31" t="s">
        <v>28</v>
      </c>
      <c r="D538" s="47">
        <v>45618</v>
      </c>
      <c r="F538" s="46"/>
      <c r="G538" s="39"/>
      <c r="H538" s="16"/>
      <c r="I538" s="16"/>
      <c r="J538" s="39"/>
      <c r="N538" s="39" t="s">
        <v>57</v>
      </c>
      <c r="O538" s="39">
        <v>1180848</v>
      </c>
      <c r="P538" s="16" t="s">
        <v>781</v>
      </c>
      <c r="Q538" s="39"/>
      <c r="R538" s="34"/>
      <c r="S538" s="34" t="s">
        <v>121</v>
      </c>
      <c r="T538" s="34"/>
      <c r="U538" s="34" t="s">
        <v>94</v>
      </c>
      <c r="V538" s="34" t="s">
        <v>94</v>
      </c>
      <c r="W538" s="34" t="s">
        <v>35</v>
      </c>
      <c r="X538" s="34" t="s">
        <v>36</v>
      </c>
      <c r="Y538" s="153" t="s">
        <v>782</v>
      </c>
    </row>
    <row r="539" spans="2:25">
      <c r="B539" s="21" t="s">
        <v>47</v>
      </c>
      <c r="C539" s="31" t="s">
        <v>28</v>
      </c>
      <c r="D539" s="47">
        <v>45618</v>
      </c>
      <c r="F539" s="46"/>
      <c r="G539" s="39"/>
      <c r="H539" s="16"/>
      <c r="I539" s="16"/>
      <c r="J539" s="39"/>
      <c r="N539" s="39" t="s">
        <v>48</v>
      </c>
      <c r="O539" s="39">
        <v>1011036</v>
      </c>
      <c r="P539" s="16" t="s">
        <v>783</v>
      </c>
      <c r="Q539" s="91"/>
      <c r="R539" s="162"/>
      <c r="S539" s="34" t="s">
        <v>121</v>
      </c>
      <c r="T539" s="34"/>
      <c r="U539" s="34" t="s">
        <v>94</v>
      </c>
      <c r="V539" s="34" t="s">
        <v>94</v>
      </c>
      <c r="W539" s="34" t="s">
        <v>35</v>
      </c>
      <c r="X539" s="34" t="s">
        <v>36</v>
      </c>
      <c r="Y539" s="153" t="s">
        <v>784</v>
      </c>
    </row>
    <row r="540" spans="2:25">
      <c r="B540" s="21" t="s">
        <v>47</v>
      </c>
      <c r="C540" s="31" t="s">
        <v>28</v>
      </c>
      <c r="D540" s="47">
        <v>45618</v>
      </c>
      <c r="F540" s="46"/>
      <c r="G540" s="39"/>
      <c r="H540" s="16"/>
      <c r="I540" s="16"/>
      <c r="J540" s="39"/>
      <c r="N540" s="39" t="s">
        <v>492</v>
      </c>
      <c r="O540" s="39">
        <v>2631703</v>
      </c>
      <c r="P540" s="16" t="s">
        <v>785</v>
      </c>
      <c r="Q540" s="39"/>
      <c r="R540" s="34"/>
      <c r="S540" s="34" t="s">
        <v>121</v>
      </c>
      <c r="T540" s="34"/>
      <c r="U540" s="34" t="s">
        <v>94</v>
      </c>
      <c r="V540" s="34" t="s">
        <v>94</v>
      </c>
      <c r="W540" s="34" t="s">
        <v>35</v>
      </c>
      <c r="X540" s="34" t="s">
        <v>36</v>
      </c>
      <c r="Y540" s="153" t="s">
        <v>786</v>
      </c>
    </row>
    <row r="541" spans="2:25">
      <c r="B541" s="21" t="s">
        <v>47</v>
      </c>
      <c r="C541" s="31" t="s">
        <v>28</v>
      </c>
      <c r="D541" s="47">
        <v>45618</v>
      </c>
      <c r="F541" s="46"/>
      <c r="G541" s="39"/>
      <c r="H541" s="16"/>
      <c r="I541" s="16"/>
      <c r="J541" s="39"/>
      <c r="N541" s="39" t="s">
        <v>492</v>
      </c>
      <c r="O541" s="39">
        <v>956706</v>
      </c>
      <c r="P541" s="16" t="s">
        <v>787</v>
      </c>
      <c r="Q541" s="39"/>
      <c r="R541" s="34"/>
      <c r="S541" s="34" t="s">
        <v>121</v>
      </c>
      <c r="T541" s="34"/>
      <c r="U541" s="34" t="s">
        <v>94</v>
      </c>
      <c r="V541" s="34" t="s">
        <v>94</v>
      </c>
      <c r="W541" s="34" t="s">
        <v>35</v>
      </c>
      <c r="X541" s="34" t="s">
        <v>36</v>
      </c>
      <c r="Y541" s="153" t="s">
        <v>788</v>
      </c>
    </row>
    <row r="542" spans="2:25">
      <c r="B542" s="21" t="s">
        <v>47</v>
      </c>
      <c r="C542" s="31" t="s">
        <v>28</v>
      </c>
      <c r="D542" s="47">
        <v>45618</v>
      </c>
      <c r="F542" s="46"/>
      <c r="G542" s="39"/>
      <c r="H542" s="16"/>
      <c r="I542" s="16"/>
      <c r="J542" s="39"/>
      <c r="N542" s="39" t="s">
        <v>338</v>
      </c>
      <c r="O542" s="39">
        <v>2641701</v>
      </c>
      <c r="P542" s="16" t="s">
        <v>789</v>
      </c>
      <c r="Q542" s="39"/>
      <c r="R542" s="34"/>
      <c r="S542" s="34" t="s">
        <v>92</v>
      </c>
      <c r="T542" s="34"/>
      <c r="U542" s="34" t="s">
        <v>94</v>
      </c>
      <c r="V542" s="34" t="s">
        <v>94</v>
      </c>
      <c r="W542" s="34" t="s">
        <v>35</v>
      </c>
      <c r="X542" s="34" t="s">
        <v>36</v>
      </c>
      <c r="Y542" s="153" t="s">
        <v>790</v>
      </c>
    </row>
    <row r="543" spans="2:25">
      <c r="B543" s="21" t="s">
        <v>47</v>
      </c>
      <c r="C543" s="31" t="s">
        <v>28</v>
      </c>
      <c r="D543" s="47">
        <v>45625</v>
      </c>
      <c r="F543" s="46"/>
      <c r="G543" s="39"/>
      <c r="H543" s="16"/>
      <c r="J543" s="39"/>
      <c r="N543" s="39" t="s">
        <v>310</v>
      </c>
      <c r="O543" s="39">
        <v>2584201</v>
      </c>
      <c r="P543" s="16" t="s">
        <v>791</v>
      </c>
      <c r="Q543" s="39"/>
      <c r="R543" s="34"/>
      <c r="S543" s="156">
        <v>45748</v>
      </c>
      <c r="T543" s="34"/>
      <c r="U543" s="34" t="s">
        <v>94</v>
      </c>
      <c r="V543" s="34" t="s">
        <v>94</v>
      </c>
      <c r="W543" s="34" t="s">
        <v>35</v>
      </c>
      <c r="X543" s="34" t="s">
        <v>36</v>
      </c>
      <c r="Y543" s="153" t="s">
        <v>792</v>
      </c>
    </row>
    <row r="544" spans="2:25">
      <c r="B544" s="16" t="s">
        <v>74</v>
      </c>
      <c r="C544" s="46" t="s">
        <v>28</v>
      </c>
      <c r="D544" s="47">
        <v>45625</v>
      </c>
      <c r="F544" s="22" t="s">
        <v>310</v>
      </c>
      <c r="G544" s="22">
        <v>2231401</v>
      </c>
      <c r="H544" s="230" t="s">
        <v>793</v>
      </c>
      <c r="I544" s="280" t="s">
        <v>794</v>
      </c>
      <c r="J544" s="39"/>
      <c r="N544" s="46"/>
      <c r="O544" s="39"/>
      <c r="P544" s="16"/>
      <c r="Q544" s="39"/>
      <c r="R544" s="34"/>
      <c r="S544" s="34"/>
      <c r="T544" s="34"/>
      <c r="U544" s="34"/>
      <c r="V544" s="34"/>
      <c r="W544" s="34"/>
      <c r="X544" s="34"/>
      <c r="Y544" s="34"/>
    </row>
    <row r="545" spans="2:25">
      <c r="B545" s="16" t="s">
        <v>74</v>
      </c>
      <c r="C545" s="46" t="s">
        <v>28</v>
      </c>
      <c r="D545" s="47">
        <v>45625</v>
      </c>
      <c r="F545" s="22" t="s">
        <v>310</v>
      </c>
      <c r="G545" s="22">
        <v>2376701</v>
      </c>
      <c r="H545" s="230" t="s">
        <v>712</v>
      </c>
      <c r="I545" s="46" t="s">
        <v>795</v>
      </c>
      <c r="J545" s="39"/>
      <c r="N545" s="46"/>
      <c r="O545" s="39"/>
      <c r="P545" s="16"/>
      <c r="Q545" s="39"/>
      <c r="R545" s="34"/>
      <c r="S545" s="34"/>
      <c r="T545" s="34"/>
      <c r="U545" s="34"/>
      <c r="V545" s="34"/>
      <c r="W545" s="34"/>
      <c r="X545" s="34"/>
      <c r="Y545" s="34"/>
    </row>
    <row r="546" spans="2:25">
      <c r="B546" s="21" t="s">
        <v>47</v>
      </c>
      <c r="C546" s="31" t="s">
        <v>28</v>
      </c>
      <c r="D546" s="47">
        <v>45625</v>
      </c>
      <c r="F546" s="46"/>
      <c r="G546" s="39"/>
      <c r="H546" s="16"/>
      <c r="I546" s="16"/>
      <c r="J546" s="39"/>
      <c r="N546" s="39" t="s">
        <v>48</v>
      </c>
      <c r="O546" s="39">
        <v>2633101</v>
      </c>
      <c r="P546" s="16" t="s">
        <v>796</v>
      </c>
      <c r="Q546" s="39"/>
      <c r="R546" s="34"/>
      <c r="S546" s="34" t="s">
        <v>121</v>
      </c>
      <c r="T546" s="34"/>
      <c r="U546" s="34" t="s">
        <v>94</v>
      </c>
      <c r="V546" s="34" t="s">
        <v>94</v>
      </c>
      <c r="W546" s="34" t="s">
        <v>35</v>
      </c>
      <c r="X546" s="34" t="s">
        <v>36</v>
      </c>
      <c r="Y546" s="153" t="s">
        <v>797</v>
      </c>
    </row>
    <row r="547" spans="2:25">
      <c r="B547" s="21" t="s">
        <v>47</v>
      </c>
      <c r="C547" s="45" t="s">
        <v>28</v>
      </c>
      <c r="D547" s="47">
        <v>45625</v>
      </c>
      <c r="F547" s="46"/>
      <c r="G547" s="39"/>
      <c r="H547" s="16"/>
      <c r="I547" s="16"/>
      <c r="J547" s="39"/>
      <c r="N547" s="39" t="s">
        <v>103</v>
      </c>
      <c r="O547" s="39">
        <v>2645902</v>
      </c>
      <c r="P547" s="16" t="s">
        <v>798</v>
      </c>
      <c r="Q547" s="39"/>
      <c r="R547" s="34"/>
      <c r="S547" s="34" t="s">
        <v>559</v>
      </c>
      <c r="T547" s="34"/>
      <c r="U547" s="34" t="s">
        <v>94</v>
      </c>
      <c r="V547" s="34" t="s">
        <v>94</v>
      </c>
      <c r="W547" s="34" t="s">
        <v>35</v>
      </c>
      <c r="X547" s="34" t="s">
        <v>36</v>
      </c>
      <c r="Y547" s="153" t="s">
        <v>799</v>
      </c>
    </row>
    <row r="548" spans="2:25">
      <c r="B548" s="16" t="s">
        <v>74</v>
      </c>
      <c r="C548" s="46" t="s">
        <v>28</v>
      </c>
      <c r="D548" s="47">
        <v>45632</v>
      </c>
      <c r="F548" s="22" t="s">
        <v>64</v>
      </c>
      <c r="G548" s="22">
        <v>2431315</v>
      </c>
      <c r="H548" s="230" t="s">
        <v>704</v>
      </c>
      <c r="I548" s="16"/>
      <c r="J548" s="39"/>
      <c r="N548" s="46"/>
      <c r="O548" s="39"/>
      <c r="P548" s="16"/>
      <c r="Q548" s="39"/>
      <c r="R548" s="34"/>
      <c r="S548" s="34"/>
      <c r="T548" s="34"/>
      <c r="U548" s="34"/>
      <c r="V548" s="34"/>
      <c r="W548" s="34"/>
      <c r="X548" s="34"/>
      <c r="Y548" s="34"/>
    </row>
    <row r="549" spans="2:25" s="107" customFormat="1">
      <c r="B549" s="37" t="s">
        <v>47</v>
      </c>
      <c r="C549" s="31" t="s">
        <v>28</v>
      </c>
      <c r="D549" s="47">
        <v>45639</v>
      </c>
      <c r="E549"/>
      <c r="F549" s="46"/>
      <c r="G549" s="39"/>
      <c r="H549" s="16"/>
      <c r="I549" s="16"/>
      <c r="J549" s="39"/>
      <c r="K549" s="18"/>
      <c r="L549" s="18"/>
      <c r="M549"/>
      <c r="N549" s="39" t="s">
        <v>800</v>
      </c>
      <c r="O549" s="39">
        <v>2646901</v>
      </c>
      <c r="P549" s="16" t="s">
        <v>801</v>
      </c>
      <c r="Q549" s="39"/>
      <c r="R549" s="34"/>
      <c r="S549" s="34" t="s">
        <v>121</v>
      </c>
      <c r="T549" s="34"/>
      <c r="U549" s="34" t="s">
        <v>94</v>
      </c>
      <c r="V549" s="34" t="s">
        <v>94</v>
      </c>
      <c r="W549" s="34" t="s">
        <v>35</v>
      </c>
      <c r="X549" s="34" t="s">
        <v>36</v>
      </c>
      <c r="Y549" s="153" t="s">
        <v>802</v>
      </c>
    </row>
    <row r="550" spans="2:25">
      <c r="B550" s="16" t="s">
        <v>47</v>
      </c>
      <c r="C550" s="46" t="s">
        <v>28</v>
      </c>
      <c r="D550" s="47">
        <v>45646</v>
      </c>
      <c r="F550" s="46"/>
      <c r="G550" s="39"/>
      <c r="H550" s="16"/>
      <c r="I550" s="16"/>
      <c r="J550" s="39"/>
      <c r="N550" s="39" t="s">
        <v>64</v>
      </c>
      <c r="O550" s="39">
        <v>2651301</v>
      </c>
      <c r="P550" s="16" t="s">
        <v>803</v>
      </c>
      <c r="Q550" s="39"/>
      <c r="R550" s="34"/>
      <c r="S550" s="156">
        <v>45748</v>
      </c>
      <c r="T550" s="34"/>
      <c r="U550" s="34" t="s">
        <v>94</v>
      </c>
      <c r="V550" s="34" t="s">
        <v>94</v>
      </c>
      <c r="W550" s="34" t="s">
        <v>35</v>
      </c>
      <c r="X550" s="34" t="s">
        <v>36</v>
      </c>
      <c r="Y550" s="153" t="s">
        <v>804</v>
      </c>
    </row>
    <row r="551" spans="2:25">
      <c r="B551" s="16" t="s">
        <v>47</v>
      </c>
      <c r="C551" s="46" t="s">
        <v>28</v>
      </c>
      <c r="D551" s="47">
        <v>45646</v>
      </c>
      <c r="F551" s="46"/>
      <c r="G551" s="39"/>
      <c r="H551" s="16"/>
      <c r="I551" s="16"/>
      <c r="J551" s="39"/>
      <c r="N551" s="39" t="s">
        <v>57</v>
      </c>
      <c r="O551" s="39">
        <v>1359401</v>
      </c>
      <c r="P551" s="16" t="s">
        <v>805</v>
      </c>
      <c r="Q551" s="39"/>
      <c r="R551" s="34"/>
      <c r="S551" s="34"/>
      <c r="T551" s="34"/>
      <c r="U551" s="34" t="s">
        <v>94</v>
      </c>
      <c r="V551" s="34" t="s">
        <v>94</v>
      </c>
      <c r="W551" s="34" t="s">
        <v>35</v>
      </c>
      <c r="X551" s="34" t="s">
        <v>36</v>
      </c>
      <c r="Y551" s="34"/>
    </row>
    <row r="552" spans="2:25">
      <c r="B552" s="16" t="s">
        <v>47</v>
      </c>
      <c r="C552" s="46" t="s">
        <v>28</v>
      </c>
      <c r="D552" s="47">
        <v>45646</v>
      </c>
      <c r="F552" s="46"/>
      <c r="G552" s="39"/>
      <c r="H552" s="16"/>
      <c r="I552" s="16"/>
      <c r="J552" s="39"/>
      <c r="N552" s="39" t="s">
        <v>48</v>
      </c>
      <c r="O552" s="39">
        <v>1461403</v>
      </c>
      <c r="P552" s="16" t="s">
        <v>806</v>
      </c>
      <c r="Q552" s="39"/>
      <c r="R552" s="34"/>
      <c r="S552" s="34"/>
      <c r="T552" s="34"/>
      <c r="U552" s="34" t="s">
        <v>94</v>
      </c>
      <c r="V552" s="34" t="s">
        <v>94</v>
      </c>
      <c r="W552" s="34" t="s">
        <v>35</v>
      </c>
      <c r="X552" s="34" t="s">
        <v>36</v>
      </c>
      <c r="Y552" s="34"/>
    </row>
    <row r="553" spans="2:25">
      <c r="B553" s="16" t="s">
        <v>47</v>
      </c>
      <c r="C553" s="46" t="s">
        <v>28</v>
      </c>
      <c r="D553" s="47">
        <v>45646</v>
      </c>
      <c r="F553" s="46"/>
      <c r="G553" s="39"/>
      <c r="H553" s="16"/>
      <c r="I553" s="16"/>
      <c r="J553" s="39"/>
      <c r="N553" s="39" t="s">
        <v>48</v>
      </c>
      <c r="O553" s="39">
        <v>1461404</v>
      </c>
      <c r="P553" s="16" t="s">
        <v>807</v>
      </c>
      <c r="Q553" s="39"/>
      <c r="R553" s="34"/>
      <c r="S553" s="34"/>
      <c r="T553" s="34"/>
      <c r="U553" s="34" t="s">
        <v>94</v>
      </c>
      <c r="V553" s="34" t="s">
        <v>94</v>
      </c>
      <c r="W553" s="34" t="s">
        <v>35</v>
      </c>
      <c r="X553" s="34" t="s">
        <v>36</v>
      </c>
      <c r="Y553" s="34"/>
    </row>
    <row r="554" spans="2:25">
      <c r="B554" s="16" t="s">
        <v>47</v>
      </c>
      <c r="C554" s="46" t="s">
        <v>28</v>
      </c>
      <c r="D554" s="47">
        <v>45646</v>
      </c>
      <c r="F554" s="46"/>
      <c r="G554" s="39"/>
      <c r="H554" s="16"/>
      <c r="I554" s="16"/>
      <c r="J554" s="39"/>
      <c r="N554" s="39" t="s">
        <v>808</v>
      </c>
      <c r="O554" s="39">
        <v>2224802</v>
      </c>
      <c r="P554" s="16" t="s">
        <v>809</v>
      </c>
      <c r="Q554" s="39"/>
      <c r="R554" s="34"/>
      <c r="S554" s="34"/>
      <c r="T554" s="34"/>
      <c r="U554" s="34" t="s">
        <v>94</v>
      </c>
      <c r="V554" s="34" t="s">
        <v>94</v>
      </c>
      <c r="W554" s="34" t="s">
        <v>35</v>
      </c>
      <c r="X554" s="34" t="s">
        <v>36</v>
      </c>
      <c r="Y554" s="34"/>
    </row>
    <row r="555" spans="2:25">
      <c r="B555" s="16" t="s">
        <v>47</v>
      </c>
      <c r="C555" s="46" t="s">
        <v>28</v>
      </c>
      <c r="D555" s="47">
        <v>45716</v>
      </c>
      <c r="F555" s="46"/>
      <c r="G555" s="39"/>
      <c r="H555" s="16"/>
      <c r="I555" s="16"/>
      <c r="J555" s="39"/>
      <c r="N555" s="39" t="s">
        <v>64</v>
      </c>
      <c r="O555" s="39">
        <v>2563313</v>
      </c>
      <c r="P555" s="16" t="s">
        <v>810</v>
      </c>
      <c r="Q555" s="39"/>
      <c r="R555" s="34"/>
      <c r="S555" s="156" t="s">
        <v>121</v>
      </c>
      <c r="T555" s="34"/>
      <c r="U555" s="34" t="s">
        <v>94</v>
      </c>
      <c r="V555" s="34" t="s">
        <v>94</v>
      </c>
      <c r="W555" s="34" t="s">
        <v>35</v>
      </c>
      <c r="X555" s="34" t="s">
        <v>36</v>
      </c>
      <c r="Y555" s="153" t="s">
        <v>811</v>
      </c>
    </row>
    <row r="556" spans="2:25">
      <c r="B556" s="16" t="s">
        <v>74</v>
      </c>
      <c r="C556" s="46" t="s">
        <v>28</v>
      </c>
      <c r="D556" s="47">
        <v>45646</v>
      </c>
      <c r="F556" s="22" t="s">
        <v>57</v>
      </c>
      <c r="G556" s="22">
        <v>1906602</v>
      </c>
      <c r="H556" s="230" t="s">
        <v>812</v>
      </c>
      <c r="I556" s="16"/>
      <c r="J556" s="39"/>
      <c r="N556" s="46"/>
      <c r="O556" s="39"/>
      <c r="P556" s="16"/>
      <c r="Q556" s="39"/>
      <c r="R556" s="34"/>
      <c r="S556" s="34"/>
      <c r="T556" s="34"/>
      <c r="U556" s="34"/>
      <c r="V556" s="34"/>
      <c r="W556" s="34"/>
      <c r="X556" s="34"/>
      <c r="Y556" s="34"/>
    </row>
    <row r="557" spans="2:25">
      <c r="B557" s="16" t="s">
        <v>47</v>
      </c>
      <c r="C557" s="46" t="s">
        <v>28</v>
      </c>
      <c r="D557" s="47">
        <v>45667</v>
      </c>
      <c r="F557" s="46"/>
      <c r="G557" s="39"/>
      <c r="H557" s="16"/>
      <c r="I557" s="16"/>
      <c r="J557" s="39"/>
      <c r="N557" s="39" t="s">
        <v>813</v>
      </c>
      <c r="O557" s="39">
        <v>2291902</v>
      </c>
      <c r="P557" s="16" t="s">
        <v>814</v>
      </c>
      <c r="Q557" s="39"/>
      <c r="R557" s="34"/>
      <c r="S557" s="34"/>
      <c r="T557" s="34"/>
      <c r="U557" s="34" t="s">
        <v>94</v>
      </c>
      <c r="V557" s="34" t="s">
        <v>94</v>
      </c>
      <c r="W557" s="34" t="s">
        <v>35</v>
      </c>
      <c r="X557" s="34" t="s">
        <v>36</v>
      </c>
      <c r="Y557" s="153" t="s">
        <v>815</v>
      </c>
    </row>
    <row r="558" spans="2:25">
      <c r="B558" s="16" t="s">
        <v>47</v>
      </c>
      <c r="C558" s="46" t="s">
        <v>28</v>
      </c>
      <c r="D558" s="47">
        <v>45667</v>
      </c>
      <c r="F558" s="46"/>
      <c r="G558" s="39"/>
      <c r="H558" s="16"/>
      <c r="I558" s="16"/>
      <c r="J558" s="39"/>
      <c r="N558" s="39" t="s">
        <v>813</v>
      </c>
      <c r="O558" s="39">
        <v>2292102</v>
      </c>
      <c r="P558" s="16" t="s">
        <v>816</v>
      </c>
      <c r="Q558" s="39"/>
      <c r="R558" s="34"/>
      <c r="S558" s="34"/>
      <c r="T558" s="34"/>
      <c r="U558" s="34" t="s">
        <v>94</v>
      </c>
      <c r="V558" s="34" t="s">
        <v>94</v>
      </c>
      <c r="W558" s="34" t="s">
        <v>35</v>
      </c>
      <c r="X558" s="34" t="s">
        <v>36</v>
      </c>
      <c r="Y558" s="153" t="s">
        <v>817</v>
      </c>
    </row>
    <row r="559" spans="2:25">
      <c r="B559" s="16" t="s">
        <v>47</v>
      </c>
      <c r="C559" s="46" t="s">
        <v>28</v>
      </c>
      <c r="D559" s="47">
        <v>45667</v>
      </c>
      <c r="F559" s="46"/>
      <c r="G559" s="39"/>
      <c r="H559" s="16"/>
      <c r="I559" s="16"/>
      <c r="J559" s="39"/>
      <c r="N559" s="39" t="s">
        <v>813</v>
      </c>
      <c r="O559" s="39">
        <v>2293402</v>
      </c>
      <c r="P559" s="16" t="s">
        <v>818</v>
      </c>
      <c r="Q559" s="39"/>
      <c r="R559" s="34"/>
      <c r="S559" s="34"/>
      <c r="T559" s="34"/>
      <c r="U559" s="34" t="s">
        <v>94</v>
      </c>
      <c r="V559" s="34" t="s">
        <v>94</v>
      </c>
      <c r="W559" s="34" t="s">
        <v>35</v>
      </c>
      <c r="X559" s="34" t="s">
        <v>36</v>
      </c>
      <c r="Y559" s="153" t="s">
        <v>819</v>
      </c>
    </row>
    <row r="560" spans="2:25">
      <c r="B560" s="16" t="s">
        <v>47</v>
      </c>
      <c r="C560" s="46" t="s">
        <v>28</v>
      </c>
      <c r="D560" s="47">
        <v>45667</v>
      </c>
      <c r="F560" s="46"/>
      <c r="G560" s="39"/>
      <c r="H560" s="16"/>
      <c r="I560" s="16"/>
      <c r="J560" s="39"/>
      <c r="N560" s="39" t="s">
        <v>813</v>
      </c>
      <c r="O560" s="39">
        <v>2376101</v>
      </c>
      <c r="P560" s="16" t="s">
        <v>820</v>
      </c>
      <c r="Q560" s="39"/>
      <c r="R560" s="34"/>
      <c r="S560" s="34"/>
      <c r="T560" s="34"/>
      <c r="U560" s="34" t="s">
        <v>94</v>
      </c>
      <c r="V560" s="34" t="s">
        <v>94</v>
      </c>
      <c r="W560" s="34" t="s">
        <v>35</v>
      </c>
      <c r="X560" s="34" t="s">
        <v>36</v>
      </c>
      <c r="Y560" s="153" t="s">
        <v>821</v>
      </c>
    </row>
    <row r="561" spans="2:25">
      <c r="B561" s="16" t="s">
        <v>47</v>
      </c>
      <c r="C561" s="46" t="s">
        <v>28</v>
      </c>
      <c r="D561" s="47">
        <v>45667</v>
      </c>
      <c r="F561" s="46"/>
      <c r="G561" s="39"/>
      <c r="H561" s="16"/>
      <c r="I561" s="16"/>
      <c r="J561" s="39"/>
      <c r="N561" s="39" t="s">
        <v>813</v>
      </c>
      <c r="O561" s="39">
        <v>2376201</v>
      </c>
      <c r="P561" s="16" t="s">
        <v>822</v>
      </c>
      <c r="Q561" s="39"/>
      <c r="R561" s="34"/>
      <c r="S561" s="34"/>
      <c r="T561" s="34"/>
      <c r="U561" s="34" t="s">
        <v>94</v>
      </c>
      <c r="V561" s="34" t="s">
        <v>94</v>
      </c>
      <c r="W561" s="34" t="s">
        <v>35</v>
      </c>
      <c r="X561" s="34" t="s">
        <v>36</v>
      </c>
      <c r="Y561" s="153" t="s">
        <v>823</v>
      </c>
    </row>
    <row r="562" spans="2:25">
      <c r="B562" s="16" t="s">
        <v>74</v>
      </c>
      <c r="C562" s="46" t="s">
        <v>28</v>
      </c>
      <c r="D562" s="47">
        <v>45667</v>
      </c>
      <c r="F562" s="22" t="s">
        <v>41</v>
      </c>
      <c r="G562" s="277">
        <v>694101</v>
      </c>
      <c r="H562" s="230" t="s">
        <v>824</v>
      </c>
      <c r="I562" s="16"/>
      <c r="J562" s="39"/>
      <c r="N562" s="46"/>
      <c r="O562" s="39"/>
      <c r="P562" s="16"/>
      <c r="Q562" s="39"/>
      <c r="R562" s="34"/>
      <c r="S562" s="34"/>
      <c r="T562" s="34"/>
      <c r="U562" s="34"/>
      <c r="V562" s="34"/>
      <c r="W562" s="34"/>
      <c r="X562" s="34"/>
      <c r="Y562" s="34"/>
    </row>
    <row r="563" spans="2:25">
      <c r="B563" s="16" t="s">
        <v>74</v>
      </c>
      <c r="C563" s="46" t="s">
        <v>28</v>
      </c>
      <c r="D563" s="47">
        <v>45667</v>
      </c>
      <c r="F563" s="22" t="s">
        <v>57</v>
      </c>
      <c r="G563" s="277">
        <v>2282103</v>
      </c>
      <c r="H563" s="230" t="s">
        <v>622</v>
      </c>
      <c r="I563" s="16"/>
      <c r="J563" s="39"/>
      <c r="N563" s="46"/>
      <c r="O563" s="39"/>
      <c r="P563" s="16"/>
      <c r="Q563" s="39"/>
      <c r="R563" s="34"/>
      <c r="S563" s="34"/>
      <c r="T563" s="34"/>
      <c r="U563" s="34"/>
      <c r="V563" s="34"/>
      <c r="W563" s="34"/>
      <c r="X563" s="34"/>
      <c r="Y563" s="34"/>
    </row>
    <row r="564" spans="2:25">
      <c r="B564" s="16" t="s">
        <v>74</v>
      </c>
      <c r="C564" s="46" t="s">
        <v>28</v>
      </c>
      <c r="D564" s="47">
        <v>45667</v>
      </c>
      <c r="F564" s="22" t="s">
        <v>112</v>
      </c>
      <c r="G564" s="277">
        <v>85805</v>
      </c>
      <c r="H564" s="230" t="s">
        <v>439</v>
      </c>
      <c r="I564" s="16"/>
      <c r="J564" s="39"/>
      <c r="N564" s="46"/>
      <c r="O564" s="39"/>
      <c r="P564" s="16"/>
      <c r="Q564" s="39"/>
      <c r="R564" s="34"/>
      <c r="S564" s="34"/>
      <c r="T564" s="34"/>
      <c r="U564" s="34"/>
      <c r="V564" s="34"/>
      <c r="W564" s="34"/>
      <c r="X564" s="34"/>
      <c r="Y564" s="34"/>
    </row>
    <row r="565" spans="2:25">
      <c r="B565" s="16" t="s">
        <v>74</v>
      </c>
      <c r="C565" s="46" t="s">
        <v>28</v>
      </c>
      <c r="D565" s="47">
        <v>45667</v>
      </c>
      <c r="F565" s="22" t="s">
        <v>64</v>
      </c>
      <c r="G565" s="277">
        <v>2403801</v>
      </c>
      <c r="H565" s="230" t="s">
        <v>490</v>
      </c>
      <c r="I565" s="16"/>
      <c r="J565" s="39"/>
      <c r="N565" s="46"/>
      <c r="O565" s="39"/>
      <c r="P565" s="16"/>
      <c r="Q565" s="39"/>
      <c r="R565" s="34"/>
      <c r="S565" s="34"/>
      <c r="T565" s="34"/>
      <c r="U565" s="34"/>
      <c r="V565" s="34"/>
      <c r="W565" s="34"/>
      <c r="X565" s="34"/>
      <c r="Y565" s="34"/>
    </row>
    <row r="566" spans="2:25">
      <c r="B566" s="16" t="s">
        <v>74</v>
      </c>
      <c r="C566" s="46" t="s">
        <v>28</v>
      </c>
      <c r="D566" s="47">
        <v>45667</v>
      </c>
      <c r="F566" s="22" t="s">
        <v>297</v>
      </c>
      <c r="G566" s="277">
        <v>250124</v>
      </c>
      <c r="H566" s="230" t="s">
        <v>825</v>
      </c>
      <c r="I566" s="16"/>
      <c r="J566" s="39"/>
      <c r="N566" s="46"/>
      <c r="O566" s="39"/>
      <c r="P566" s="16"/>
      <c r="Q566" s="39"/>
      <c r="R566" s="34"/>
      <c r="S566" s="34"/>
      <c r="T566" s="34"/>
      <c r="U566" s="34"/>
      <c r="V566" s="34"/>
      <c r="W566" s="34"/>
      <c r="X566" s="34"/>
      <c r="Y566" s="34"/>
    </row>
    <row r="567" spans="2:25">
      <c r="B567" s="16" t="s">
        <v>74</v>
      </c>
      <c r="C567" s="46" t="s">
        <v>28</v>
      </c>
      <c r="D567" s="47">
        <v>45667</v>
      </c>
      <c r="F567" s="22" t="s">
        <v>86</v>
      </c>
      <c r="G567" s="277">
        <v>329601</v>
      </c>
      <c r="H567" s="230" t="s">
        <v>826</v>
      </c>
      <c r="I567" s="16"/>
      <c r="J567" s="39"/>
      <c r="N567" s="46"/>
      <c r="O567" s="39"/>
      <c r="P567" s="16"/>
      <c r="Q567" s="39"/>
      <c r="R567" s="34"/>
      <c r="S567" s="34"/>
      <c r="T567" s="34"/>
      <c r="U567" s="34"/>
      <c r="V567" s="34"/>
      <c r="W567" s="34"/>
      <c r="X567" s="34"/>
      <c r="Y567" s="34"/>
    </row>
    <row r="568" spans="2:25">
      <c r="B568" s="16" t="s">
        <v>74</v>
      </c>
      <c r="C568" s="46" t="s">
        <v>28</v>
      </c>
      <c r="D568" s="47">
        <v>45667</v>
      </c>
      <c r="F568" s="22" t="s">
        <v>492</v>
      </c>
      <c r="G568" s="277">
        <v>2010707</v>
      </c>
      <c r="H568" s="230" t="s">
        <v>827</v>
      </c>
      <c r="I568" s="16"/>
      <c r="J568" s="39"/>
      <c r="N568" s="46"/>
      <c r="O568" s="39"/>
      <c r="P568" s="16"/>
      <c r="Q568" s="39"/>
      <c r="R568" s="34"/>
      <c r="S568" s="34"/>
      <c r="T568" s="34"/>
      <c r="U568" s="34"/>
      <c r="V568" s="34"/>
      <c r="W568" s="34"/>
      <c r="X568" s="34"/>
      <c r="Y568" s="34"/>
    </row>
    <row r="569" spans="2:25">
      <c r="B569" s="16" t="s">
        <v>74</v>
      </c>
      <c r="C569" s="46" t="s">
        <v>28</v>
      </c>
      <c r="D569" s="47">
        <v>45667</v>
      </c>
      <c r="F569" s="22" t="s">
        <v>48</v>
      </c>
      <c r="G569" s="277">
        <v>16207</v>
      </c>
      <c r="H569" s="230" t="s">
        <v>372</v>
      </c>
      <c r="I569" s="16"/>
      <c r="J569" s="39"/>
      <c r="N569" s="46"/>
      <c r="O569" s="39"/>
      <c r="P569" s="16"/>
      <c r="Q569" s="39"/>
      <c r="R569" s="34"/>
      <c r="S569" s="34"/>
      <c r="T569" s="34"/>
      <c r="U569" s="34"/>
      <c r="V569" s="34"/>
      <c r="W569" s="34"/>
      <c r="X569" s="34"/>
      <c r="Y569" s="34"/>
    </row>
    <row r="570" spans="2:25">
      <c r="B570" s="16" t="s">
        <v>74</v>
      </c>
      <c r="C570" s="46" t="s">
        <v>28</v>
      </c>
      <c r="D570" s="47">
        <v>45667</v>
      </c>
      <c r="F570" s="22" t="s">
        <v>41</v>
      </c>
      <c r="G570" s="277">
        <v>515201</v>
      </c>
      <c r="H570" s="230" t="s">
        <v>828</v>
      </c>
      <c r="I570" s="16"/>
      <c r="J570" s="39"/>
      <c r="N570" s="46"/>
      <c r="O570" s="39"/>
      <c r="P570" s="16"/>
      <c r="Q570" s="39"/>
      <c r="R570" s="34"/>
      <c r="S570" s="34"/>
      <c r="T570" s="34"/>
      <c r="U570" s="34"/>
      <c r="V570" s="34"/>
      <c r="W570" s="34"/>
      <c r="X570" s="34"/>
      <c r="Y570" s="34"/>
    </row>
    <row r="571" spans="2:25">
      <c r="B571" s="16" t="s">
        <v>74</v>
      </c>
      <c r="C571" s="46" t="s">
        <v>28</v>
      </c>
      <c r="D571" s="47">
        <v>45667</v>
      </c>
      <c r="F571" s="22" t="s">
        <v>103</v>
      </c>
      <c r="G571" s="277">
        <v>270908</v>
      </c>
      <c r="H571" s="230" t="s">
        <v>666</v>
      </c>
      <c r="I571" s="16"/>
      <c r="J571" s="39"/>
      <c r="N571" s="46"/>
      <c r="O571" s="39"/>
      <c r="P571" s="16"/>
      <c r="Q571" s="39"/>
      <c r="R571" s="34"/>
      <c r="S571" s="34"/>
      <c r="T571" s="34"/>
      <c r="U571" s="34"/>
      <c r="V571" s="34"/>
      <c r="W571" s="34"/>
      <c r="X571" s="34"/>
      <c r="Y571" s="34"/>
    </row>
    <row r="572" spans="2:25">
      <c r="B572" s="16" t="s">
        <v>74</v>
      </c>
      <c r="C572" s="46" t="s">
        <v>28</v>
      </c>
      <c r="D572" s="47">
        <v>45667</v>
      </c>
      <c r="F572" s="22" t="s">
        <v>103</v>
      </c>
      <c r="G572" s="277">
        <v>1374905</v>
      </c>
      <c r="H572" s="230" t="s">
        <v>641</v>
      </c>
      <c r="I572" s="16"/>
      <c r="J572" s="39"/>
      <c r="N572" s="46"/>
      <c r="O572" s="39"/>
      <c r="P572" s="16"/>
      <c r="Q572" s="39"/>
      <c r="R572" s="34"/>
      <c r="S572" s="34"/>
      <c r="T572" s="34"/>
      <c r="U572" s="34"/>
      <c r="V572" s="34"/>
      <c r="W572" s="34"/>
      <c r="X572" s="34"/>
      <c r="Y572" s="34"/>
    </row>
    <row r="573" spans="2:25">
      <c r="B573" s="16" t="s">
        <v>74</v>
      </c>
      <c r="C573" s="46" t="s">
        <v>28</v>
      </c>
      <c r="D573" s="47">
        <v>45674</v>
      </c>
      <c r="F573" s="22" t="s">
        <v>57</v>
      </c>
      <c r="G573" s="277">
        <v>961412</v>
      </c>
      <c r="H573" s="230" t="s">
        <v>501</v>
      </c>
      <c r="I573" s="22"/>
      <c r="J573" s="22"/>
      <c r="N573" s="46"/>
      <c r="O573" s="39"/>
      <c r="P573" s="16"/>
      <c r="Q573" s="39"/>
      <c r="R573" s="34"/>
      <c r="S573" s="34"/>
      <c r="T573" s="34"/>
      <c r="U573" s="34"/>
      <c r="V573" s="34"/>
      <c r="W573" s="34"/>
      <c r="X573" s="34"/>
      <c r="Y573" s="34"/>
    </row>
    <row r="574" spans="2:25">
      <c r="B574" s="16" t="s">
        <v>74</v>
      </c>
      <c r="C574" s="46" t="s">
        <v>28</v>
      </c>
      <c r="D574" s="47">
        <v>45674</v>
      </c>
      <c r="F574" s="22" t="s">
        <v>57</v>
      </c>
      <c r="G574" s="277">
        <v>1312313</v>
      </c>
      <c r="H574" s="230" t="s">
        <v>567</v>
      </c>
      <c r="I574" s="22"/>
      <c r="J574" s="22"/>
      <c r="N574" s="46"/>
      <c r="O574" s="39"/>
      <c r="P574" s="16"/>
      <c r="Q574" s="39"/>
      <c r="R574" s="34"/>
      <c r="S574" s="34"/>
      <c r="T574" s="34"/>
      <c r="U574" s="34"/>
      <c r="V574" s="34"/>
      <c r="W574" s="34"/>
      <c r="X574" s="34"/>
      <c r="Y574" s="34"/>
    </row>
    <row r="575" spans="2:25">
      <c r="B575" s="16" t="s">
        <v>74</v>
      </c>
      <c r="C575" s="46" t="s">
        <v>28</v>
      </c>
      <c r="D575" s="47">
        <v>45674</v>
      </c>
      <c r="F575" s="22" t="s">
        <v>69</v>
      </c>
      <c r="G575" s="277">
        <v>1986714</v>
      </c>
      <c r="H575" s="230" t="s">
        <v>478</v>
      </c>
      <c r="I575" s="22"/>
      <c r="J575" s="22"/>
      <c r="N575" s="46"/>
      <c r="O575" s="39"/>
      <c r="P575" s="16"/>
      <c r="Q575" s="39"/>
      <c r="R575" s="34"/>
      <c r="S575" s="34"/>
      <c r="T575" s="34"/>
      <c r="U575" s="34"/>
      <c r="V575" s="34"/>
      <c r="W575" s="34"/>
      <c r="X575" s="34"/>
      <c r="Y575" s="34"/>
    </row>
    <row r="576" spans="2:25">
      <c r="B576" s="16" t="s">
        <v>74</v>
      </c>
      <c r="C576" s="46" t="s">
        <v>28</v>
      </c>
      <c r="D576" s="47">
        <v>45681</v>
      </c>
      <c r="F576" s="22" t="s">
        <v>41</v>
      </c>
      <c r="G576" s="277">
        <v>1920201</v>
      </c>
      <c r="H576" s="230" t="s">
        <v>829</v>
      </c>
      <c r="I576" s="22"/>
      <c r="J576" s="22"/>
      <c r="N576" s="46"/>
      <c r="O576" s="39"/>
      <c r="P576" s="16"/>
      <c r="Q576" s="39"/>
      <c r="R576" s="34"/>
      <c r="S576" s="34"/>
      <c r="T576" s="34"/>
      <c r="U576" s="34"/>
      <c r="V576" s="34"/>
      <c r="W576" s="34"/>
      <c r="X576" s="34"/>
      <c r="Y576" s="34"/>
    </row>
    <row r="577" spans="2:25">
      <c r="B577" s="16" t="s">
        <v>74</v>
      </c>
      <c r="C577" s="46" t="s">
        <v>28</v>
      </c>
      <c r="D577" s="47">
        <v>45681</v>
      </c>
      <c r="F577" s="22" t="s">
        <v>41</v>
      </c>
      <c r="G577" s="277">
        <v>1867301</v>
      </c>
      <c r="H577" s="230" t="s">
        <v>830</v>
      </c>
      <c r="I577" s="22"/>
      <c r="J577" s="22"/>
      <c r="N577" s="46"/>
      <c r="O577" s="39"/>
      <c r="P577" s="16"/>
      <c r="Q577" s="39"/>
      <c r="R577" s="34"/>
      <c r="S577" s="34"/>
      <c r="T577" s="34"/>
      <c r="U577" s="34"/>
      <c r="V577" s="34"/>
      <c r="W577" s="34"/>
      <c r="X577" s="34"/>
      <c r="Y577" s="34"/>
    </row>
    <row r="578" spans="2:25">
      <c r="B578" s="16" t="s">
        <v>74</v>
      </c>
      <c r="C578" s="46" t="s">
        <v>28</v>
      </c>
      <c r="D578" s="47">
        <v>45681</v>
      </c>
      <c r="F578" s="22" t="s">
        <v>48</v>
      </c>
      <c r="G578" s="277">
        <v>620412</v>
      </c>
      <c r="H578" s="230" t="s">
        <v>424</v>
      </c>
      <c r="I578" s="22"/>
      <c r="J578" s="22"/>
      <c r="N578" s="46"/>
      <c r="O578" s="39"/>
      <c r="P578" s="16"/>
      <c r="Q578" s="39"/>
      <c r="R578" s="34"/>
      <c r="S578" s="34"/>
      <c r="T578" s="34"/>
      <c r="U578" s="34"/>
      <c r="V578" s="34"/>
      <c r="W578" s="34"/>
      <c r="X578" s="34"/>
      <c r="Y578" s="34"/>
    </row>
    <row r="579" spans="2:25">
      <c r="B579" s="16" t="s">
        <v>74</v>
      </c>
      <c r="C579" s="46" t="s">
        <v>28</v>
      </c>
      <c r="D579" s="47">
        <v>45681</v>
      </c>
      <c r="F579" s="22" t="s">
        <v>57</v>
      </c>
      <c r="G579" s="277">
        <v>613812</v>
      </c>
      <c r="H579" s="230" t="s">
        <v>831</v>
      </c>
      <c r="I579" s="22"/>
      <c r="J579" s="22"/>
      <c r="N579" s="46"/>
      <c r="O579" s="39"/>
      <c r="P579" s="16"/>
      <c r="Q579" s="39"/>
      <c r="R579" s="34"/>
      <c r="S579" s="34"/>
      <c r="T579" s="34"/>
      <c r="U579" s="34"/>
      <c r="V579" s="34"/>
      <c r="W579" s="34"/>
      <c r="X579" s="34"/>
      <c r="Y579" s="34"/>
    </row>
    <row r="580" spans="2:25">
      <c r="B580" s="16" t="s">
        <v>47</v>
      </c>
      <c r="C580" s="46" t="s">
        <v>28</v>
      </c>
      <c r="D580" s="47">
        <v>45688</v>
      </c>
      <c r="F580" s="46"/>
      <c r="G580" s="106"/>
      <c r="H580" s="16"/>
      <c r="I580" s="16"/>
      <c r="J580" s="39"/>
      <c r="N580" s="39" t="s">
        <v>57</v>
      </c>
      <c r="O580" s="39">
        <v>1366514</v>
      </c>
      <c r="P580" s="16" t="s">
        <v>832</v>
      </c>
      <c r="Q580" s="39"/>
      <c r="R580" s="34"/>
      <c r="S580" s="156" t="s">
        <v>121</v>
      </c>
      <c r="T580" s="34"/>
      <c r="U580" s="34" t="s">
        <v>94</v>
      </c>
      <c r="V580" s="34" t="s">
        <v>94</v>
      </c>
      <c r="W580" s="34" t="s">
        <v>35</v>
      </c>
      <c r="X580" s="34" t="s">
        <v>36</v>
      </c>
      <c r="Y580" s="255" t="s">
        <v>833</v>
      </c>
    </row>
    <row r="581" spans="2:25">
      <c r="B581" s="16" t="s">
        <v>47</v>
      </c>
      <c r="C581" s="46" t="s">
        <v>28</v>
      </c>
      <c r="D581" s="47">
        <v>45688</v>
      </c>
      <c r="F581" s="46"/>
      <c r="G581" s="106"/>
      <c r="H581" s="16"/>
      <c r="I581" s="16"/>
      <c r="J581" s="39"/>
      <c r="N581" s="39" t="s">
        <v>57</v>
      </c>
      <c r="O581" s="39">
        <v>1374509</v>
      </c>
      <c r="P581" s="16" t="s">
        <v>834</v>
      </c>
      <c r="Q581" s="39"/>
      <c r="R581" s="34"/>
      <c r="S581" s="156" t="s">
        <v>121</v>
      </c>
      <c r="T581" s="34"/>
      <c r="U581" s="34" t="s">
        <v>94</v>
      </c>
      <c r="V581" s="34" t="s">
        <v>94</v>
      </c>
      <c r="W581" s="34" t="s">
        <v>35</v>
      </c>
      <c r="X581" s="34" t="s">
        <v>36</v>
      </c>
      <c r="Y581" s="255" t="s">
        <v>835</v>
      </c>
    </row>
    <row r="582" spans="2:25">
      <c r="B582" s="16" t="s">
        <v>74</v>
      </c>
      <c r="C582" s="46" t="s">
        <v>28</v>
      </c>
      <c r="D582" s="47">
        <v>45688</v>
      </c>
      <c r="F582" s="22" t="s">
        <v>41</v>
      </c>
      <c r="G582" s="277">
        <v>282501</v>
      </c>
      <c r="H582" s="230" t="s">
        <v>836</v>
      </c>
      <c r="I582" s="22"/>
      <c r="J582" s="22"/>
      <c r="N582" s="46"/>
      <c r="O582" s="39"/>
      <c r="P582" s="16"/>
      <c r="Q582" s="39"/>
      <c r="R582" s="34"/>
      <c r="S582" s="34"/>
      <c r="T582" s="34"/>
      <c r="U582" s="34"/>
      <c r="V582" s="34"/>
      <c r="W582" s="34"/>
      <c r="X582" s="34"/>
      <c r="Y582" s="34"/>
    </row>
    <row r="583" spans="2:25">
      <c r="B583" s="16" t="s">
        <v>74</v>
      </c>
      <c r="C583" s="46" t="s">
        <v>28</v>
      </c>
      <c r="D583" s="47">
        <v>45688</v>
      </c>
      <c r="F583" s="22" t="s">
        <v>41</v>
      </c>
      <c r="G583" s="277">
        <v>223301</v>
      </c>
      <c r="H583" s="230" t="s">
        <v>837</v>
      </c>
      <c r="I583" s="22"/>
      <c r="J583" s="22"/>
      <c r="N583" s="46"/>
      <c r="O583" s="39"/>
      <c r="P583" s="16"/>
      <c r="Q583" s="39"/>
      <c r="R583" s="34"/>
      <c r="S583" s="34"/>
      <c r="T583" s="34"/>
      <c r="U583" s="34"/>
      <c r="V583" s="34"/>
      <c r="W583" s="34"/>
      <c r="X583" s="34"/>
      <c r="Y583" s="34"/>
    </row>
    <row r="584" spans="2:25">
      <c r="B584" s="16" t="s">
        <v>74</v>
      </c>
      <c r="C584" s="46" t="s">
        <v>28</v>
      </c>
      <c r="D584" s="47">
        <v>45688</v>
      </c>
      <c r="F584" s="22" t="s">
        <v>57</v>
      </c>
      <c r="G584" s="277">
        <v>485505</v>
      </c>
      <c r="H584" s="230" t="s">
        <v>535</v>
      </c>
      <c r="I584" s="16"/>
      <c r="J584" s="39"/>
      <c r="N584" s="46"/>
      <c r="O584" s="39"/>
      <c r="P584" s="16"/>
      <c r="Q584" s="39"/>
      <c r="R584" s="34"/>
      <c r="S584" s="34"/>
      <c r="T584" s="34"/>
      <c r="U584" s="34"/>
      <c r="V584" s="34"/>
      <c r="W584" s="34"/>
      <c r="X584" s="34"/>
      <c r="Y584" s="34"/>
    </row>
    <row r="585" spans="2:25">
      <c r="B585" s="16" t="s">
        <v>74</v>
      </c>
      <c r="C585" s="46" t="s">
        <v>28</v>
      </c>
      <c r="D585" s="47">
        <v>45688</v>
      </c>
      <c r="F585" s="22" t="s">
        <v>57</v>
      </c>
      <c r="G585" s="334">
        <v>1775218</v>
      </c>
      <c r="H585" s="56" t="s">
        <v>838</v>
      </c>
      <c r="I585" s="230"/>
      <c r="J585" s="22"/>
      <c r="N585" s="46"/>
      <c r="O585" s="39"/>
      <c r="P585" s="16"/>
      <c r="Q585" s="39"/>
      <c r="R585" s="34"/>
      <c r="S585" s="34"/>
      <c r="T585" s="34"/>
      <c r="U585" s="34"/>
      <c r="V585" s="34"/>
      <c r="W585" s="34"/>
      <c r="X585" s="34"/>
      <c r="Y585" s="34"/>
    </row>
    <row r="586" spans="2:25">
      <c r="B586" s="16" t="s">
        <v>74</v>
      </c>
      <c r="C586" s="46" t="s">
        <v>28</v>
      </c>
      <c r="D586" s="47">
        <v>45695</v>
      </c>
      <c r="F586" s="22" t="s">
        <v>64</v>
      </c>
      <c r="G586" s="334">
        <v>1561402</v>
      </c>
      <c r="H586" s="56" t="s">
        <v>697</v>
      </c>
      <c r="I586" s="230"/>
      <c r="J586" s="22"/>
      <c r="N586" s="46"/>
      <c r="O586" s="39"/>
      <c r="P586" s="16"/>
      <c r="Q586" s="39"/>
      <c r="R586" s="34"/>
      <c r="S586" s="34"/>
      <c r="T586" s="34"/>
      <c r="U586" s="34"/>
      <c r="V586" s="34"/>
      <c r="W586" s="34"/>
      <c r="X586" s="34"/>
      <c r="Y586" s="34"/>
    </row>
    <row r="587" spans="2:25">
      <c r="B587" s="16" t="s">
        <v>74</v>
      </c>
      <c r="C587" s="46" t="s">
        <v>28</v>
      </c>
      <c r="D587" s="47">
        <v>45695</v>
      </c>
      <c r="F587" s="22" t="s">
        <v>41</v>
      </c>
      <c r="G587" s="334">
        <v>859001</v>
      </c>
      <c r="H587" s="56" t="s">
        <v>839</v>
      </c>
      <c r="I587" s="16"/>
      <c r="J587" s="39"/>
      <c r="N587" s="46"/>
      <c r="O587" s="39"/>
      <c r="P587" s="16"/>
      <c r="Q587" s="39"/>
      <c r="R587" s="34"/>
      <c r="S587" s="34"/>
      <c r="T587" s="34"/>
      <c r="U587" s="34"/>
      <c r="V587" s="34"/>
      <c r="W587" s="34"/>
      <c r="X587" s="34"/>
      <c r="Y587" s="34"/>
    </row>
    <row r="588" spans="2:25">
      <c r="B588" s="16" t="s">
        <v>74</v>
      </c>
      <c r="C588" s="46" t="s">
        <v>28</v>
      </c>
      <c r="D588" s="47">
        <v>45695</v>
      </c>
      <c r="F588" s="22" t="s">
        <v>41</v>
      </c>
      <c r="G588" s="334">
        <v>511601</v>
      </c>
      <c r="H588" s="56" t="s">
        <v>840</v>
      </c>
      <c r="I588" s="16"/>
      <c r="J588" s="39"/>
      <c r="N588" s="46"/>
      <c r="O588" s="39"/>
      <c r="P588" s="16"/>
      <c r="Q588" s="39"/>
      <c r="R588" s="34"/>
      <c r="S588" s="34"/>
      <c r="T588" s="34"/>
      <c r="U588" s="34"/>
      <c r="V588" s="34"/>
      <c r="W588" s="34"/>
      <c r="X588" s="34"/>
      <c r="Y588" s="34"/>
    </row>
    <row r="589" spans="2:25">
      <c r="B589" s="16" t="s">
        <v>47</v>
      </c>
      <c r="C589" s="46" t="s">
        <v>28</v>
      </c>
      <c r="D589" s="47">
        <v>45709</v>
      </c>
      <c r="F589" s="46"/>
      <c r="G589" s="106"/>
      <c r="H589" s="16"/>
      <c r="I589" s="16"/>
      <c r="J589" s="39"/>
      <c r="N589" s="91" t="s">
        <v>48</v>
      </c>
      <c r="O589" s="91">
        <v>1963405</v>
      </c>
      <c r="P589" s="92" t="s">
        <v>841</v>
      </c>
      <c r="Q589" s="39"/>
      <c r="R589" s="34"/>
      <c r="S589" s="34"/>
      <c r="T589" s="34"/>
      <c r="U589" s="34" t="s">
        <v>94</v>
      </c>
      <c r="V589" s="34" t="s">
        <v>94</v>
      </c>
      <c r="W589" s="34" t="s">
        <v>35</v>
      </c>
      <c r="X589" s="34" t="s">
        <v>36</v>
      </c>
      <c r="Y589" s="255" t="s">
        <v>772</v>
      </c>
    </row>
    <row r="590" spans="2:25">
      <c r="B590" s="16" t="s">
        <v>47</v>
      </c>
      <c r="C590" s="46" t="s">
        <v>28</v>
      </c>
      <c r="D590" s="47">
        <v>45709</v>
      </c>
      <c r="F590" s="46"/>
      <c r="G590" s="106"/>
      <c r="H590" s="16"/>
      <c r="I590" s="16"/>
      <c r="J590" s="39"/>
      <c r="N590" s="39" t="s">
        <v>69</v>
      </c>
      <c r="O590" s="39">
        <v>2648102</v>
      </c>
      <c r="P590" s="16" t="s">
        <v>842</v>
      </c>
      <c r="Q590" s="39"/>
      <c r="R590" s="34"/>
      <c r="S590" s="34" t="s">
        <v>121</v>
      </c>
      <c r="T590" s="34"/>
      <c r="U590" s="34" t="s">
        <v>94</v>
      </c>
      <c r="V590" s="34" t="s">
        <v>94</v>
      </c>
      <c r="W590" s="34" t="s">
        <v>35</v>
      </c>
      <c r="X590" s="34" t="s">
        <v>36</v>
      </c>
      <c r="Y590" s="255" t="s">
        <v>843</v>
      </c>
    </row>
    <row r="591" spans="2:25">
      <c r="B591" s="16" t="s">
        <v>74</v>
      </c>
      <c r="C591" s="46" t="s">
        <v>28</v>
      </c>
      <c r="D591" s="47">
        <v>45709</v>
      </c>
      <c r="F591" s="22" t="s">
        <v>48</v>
      </c>
      <c r="G591" s="334">
        <v>1785805</v>
      </c>
      <c r="H591" s="56" t="s">
        <v>515</v>
      </c>
      <c r="I591" s="16"/>
      <c r="J591" s="39"/>
      <c r="N591" s="46"/>
      <c r="O591" s="39"/>
      <c r="P591" s="16"/>
      <c r="Q591" s="39"/>
      <c r="R591" s="34"/>
      <c r="S591" s="34"/>
      <c r="T591" s="34"/>
      <c r="U591" s="34"/>
      <c r="V591" s="34"/>
      <c r="W591" s="34"/>
      <c r="X591" s="34"/>
      <c r="Y591" s="34"/>
    </row>
    <row r="592" spans="2:25">
      <c r="B592" s="16" t="s">
        <v>74</v>
      </c>
      <c r="C592" s="46" t="s">
        <v>28</v>
      </c>
      <c r="D592" s="47">
        <v>45709</v>
      </c>
      <c r="F592" s="22" t="s">
        <v>492</v>
      </c>
      <c r="G592" s="334">
        <v>491401</v>
      </c>
      <c r="H592" s="56" t="s">
        <v>844</v>
      </c>
      <c r="I592" s="16"/>
      <c r="J592" s="39"/>
      <c r="N592" s="46"/>
      <c r="O592" s="39"/>
      <c r="P592" s="16"/>
      <c r="Q592" s="39"/>
      <c r="R592" s="34"/>
      <c r="S592" s="34"/>
      <c r="T592" s="34"/>
      <c r="U592" s="34"/>
      <c r="V592" s="34"/>
      <c r="W592" s="34"/>
      <c r="X592" s="34"/>
      <c r="Y592" s="34"/>
    </row>
    <row r="593" spans="2:25">
      <c r="B593" s="16" t="s">
        <v>74</v>
      </c>
      <c r="C593" s="46" t="s">
        <v>28</v>
      </c>
      <c r="D593" s="47">
        <v>45709</v>
      </c>
      <c r="F593" s="22" t="s">
        <v>48</v>
      </c>
      <c r="G593" s="334">
        <v>2286902</v>
      </c>
      <c r="H593" s="56" t="s">
        <v>525</v>
      </c>
      <c r="I593" s="16"/>
      <c r="J593" s="39"/>
      <c r="N593" s="46"/>
      <c r="O593" s="39"/>
      <c r="P593" s="16"/>
      <c r="Q593" s="39"/>
      <c r="R593" s="34"/>
      <c r="S593" s="34"/>
      <c r="T593" s="34"/>
      <c r="U593" s="34"/>
      <c r="V593" s="34"/>
      <c r="W593" s="34"/>
      <c r="X593" s="34"/>
      <c r="Y593" s="34"/>
    </row>
    <row r="594" spans="2:25">
      <c r="B594" s="16" t="s">
        <v>47</v>
      </c>
      <c r="C594" s="46" t="s">
        <v>28</v>
      </c>
      <c r="D594" s="47">
        <v>45716</v>
      </c>
      <c r="F594" s="46"/>
      <c r="G594" s="106"/>
      <c r="H594" s="16"/>
      <c r="I594" s="16"/>
      <c r="J594" s="39"/>
      <c r="N594" s="39" t="s">
        <v>203</v>
      </c>
      <c r="O594" s="39">
        <v>2672201</v>
      </c>
      <c r="P594" s="16" t="s">
        <v>845</v>
      </c>
      <c r="Q594" s="39"/>
      <c r="R594" s="34"/>
      <c r="S594" s="34"/>
      <c r="T594" s="34"/>
      <c r="U594" s="34" t="s">
        <v>94</v>
      </c>
      <c r="V594" s="34" t="s">
        <v>94</v>
      </c>
      <c r="W594" s="34" t="s">
        <v>35</v>
      </c>
      <c r="X594" s="34" t="s">
        <v>36</v>
      </c>
      <c r="Y594" s="255" t="s">
        <v>846</v>
      </c>
    </row>
    <row r="595" spans="2:25">
      <c r="B595" s="16" t="s">
        <v>74</v>
      </c>
      <c r="C595" s="46" t="s">
        <v>28</v>
      </c>
      <c r="D595" s="47">
        <v>45716</v>
      </c>
      <c r="F595" s="22" t="s">
        <v>64</v>
      </c>
      <c r="G595" s="334">
        <v>1561421</v>
      </c>
      <c r="H595" s="287" t="s">
        <v>698</v>
      </c>
      <c r="I595" s="16"/>
      <c r="J595" s="39"/>
      <c r="N595" s="46"/>
      <c r="O595" s="39"/>
      <c r="P595" s="16"/>
      <c r="Q595" s="39"/>
      <c r="R595" s="34"/>
      <c r="S595" s="34"/>
      <c r="T595" s="34"/>
      <c r="U595" s="34"/>
      <c r="V595" s="34"/>
      <c r="W595" s="34"/>
      <c r="X595" s="34"/>
      <c r="Y595" s="34"/>
    </row>
    <row r="596" spans="2:25">
      <c r="B596" s="16" t="s">
        <v>47</v>
      </c>
      <c r="C596" s="46" t="s">
        <v>28</v>
      </c>
      <c r="D596" s="47">
        <v>45730</v>
      </c>
      <c r="F596" s="46"/>
      <c r="G596" s="106"/>
      <c r="H596" s="16"/>
      <c r="I596" s="16"/>
      <c r="J596" s="39"/>
      <c r="N596" s="39" t="s">
        <v>203</v>
      </c>
      <c r="O596" s="39">
        <v>2191002</v>
      </c>
      <c r="P596" s="16" t="s">
        <v>847</v>
      </c>
      <c r="Q596" s="39"/>
      <c r="R596" s="34"/>
      <c r="S596" s="34"/>
      <c r="T596" s="34"/>
      <c r="U596" s="34" t="s">
        <v>94</v>
      </c>
      <c r="V596" s="34" t="s">
        <v>94</v>
      </c>
      <c r="W596" s="34" t="s">
        <v>35</v>
      </c>
      <c r="X596" s="34" t="s">
        <v>36</v>
      </c>
      <c r="Y596" s="34"/>
    </row>
    <row r="597" spans="2:25">
      <c r="B597" s="16" t="s">
        <v>74</v>
      </c>
      <c r="C597" s="46" t="s">
        <v>28</v>
      </c>
      <c r="D597" s="47">
        <v>45730</v>
      </c>
      <c r="F597" s="22" t="s">
        <v>64</v>
      </c>
      <c r="G597" s="334">
        <v>1591001</v>
      </c>
      <c r="H597" s="287" t="s">
        <v>848</v>
      </c>
      <c r="I597" s="16"/>
      <c r="J597" s="39"/>
      <c r="N597" s="46"/>
      <c r="O597" s="39"/>
      <c r="P597" s="16"/>
      <c r="Q597" s="39"/>
      <c r="R597" s="34"/>
      <c r="S597" s="34"/>
      <c r="T597" s="34"/>
      <c r="U597" s="34"/>
      <c r="V597" s="34"/>
      <c r="W597" s="34"/>
      <c r="X597" s="34"/>
      <c r="Y597" s="34"/>
    </row>
    <row r="598" spans="2:25">
      <c r="B598" s="16" t="s">
        <v>74</v>
      </c>
      <c r="C598" s="46" t="s">
        <v>28</v>
      </c>
      <c r="D598" s="47">
        <v>45730</v>
      </c>
      <c r="F598" s="22" t="s">
        <v>64</v>
      </c>
      <c r="G598" s="334">
        <v>2205303</v>
      </c>
      <c r="H598" s="287" t="s">
        <v>441</v>
      </c>
      <c r="I598" s="16"/>
      <c r="J598" s="39"/>
      <c r="N598" s="46"/>
      <c r="O598" s="39"/>
      <c r="P598" s="16"/>
      <c r="Q598" s="39"/>
      <c r="R598" s="34"/>
      <c r="S598" s="34"/>
      <c r="T598" s="34"/>
      <c r="U598" s="34"/>
      <c r="V598" s="34"/>
      <c r="W598" s="34"/>
      <c r="X598" s="34"/>
      <c r="Y598" s="34"/>
    </row>
    <row r="599" spans="2:25">
      <c r="B599" s="16" t="s">
        <v>47</v>
      </c>
      <c r="C599" s="46" t="s">
        <v>28</v>
      </c>
      <c r="D599" s="47">
        <v>45730</v>
      </c>
      <c r="F599" s="46"/>
      <c r="G599" s="106"/>
      <c r="H599" s="16"/>
      <c r="I599" s="16"/>
      <c r="J599" s="39"/>
      <c r="N599" s="39" t="s">
        <v>64</v>
      </c>
      <c r="O599" s="39">
        <v>2563409</v>
      </c>
      <c r="P599" s="16" t="s">
        <v>849</v>
      </c>
      <c r="Q599" s="39"/>
      <c r="R599" s="34"/>
      <c r="S599" s="156" t="s">
        <v>121</v>
      </c>
      <c r="T599" s="34"/>
      <c r="U599" s="34" t="s">
        <v>94</v>
      </c>
      <c r="V599" s="34" t="s">
        <v>94</v>
      </c>
      <c r="W599" s="34" t="s">
        <v>35</v>
      </c>
      <c r="X599" s="34" t="s">
        <v>36</v>
      </c>
      <c r="Y599" s="153" t="s">
        <v>850</v>
      </c>
    </row>
    <row r="600" spans="2:25">
      <c r="B600" s="16" t="s">
        <v>74</v>
      </c>
      <c r="C600" s="46" t="s">
        <v>28</v>
      </c>
      <c r="D600" s="47">
        <v>45737</v>
      </c>
      <c r="F600" s="22" t="s">
        <v>64</v>
      </c>
      <c r="G600" s="334">
        <v>2109410</v>
      </c>
      <c r="H600" s="287" t="s">
        <v>692</v>
      </c>
      <c r="I600" s="16"/>
      <c r="J600" s="39"/>
      <c r="N600" s="46"/>
      <c r="O600" s="39"/>
      <c r="P600" s="16"/>
      <c r="Q600" s="39"/>
      <c r="R600" s="34"/>
      <c r="S600" s="34"/>
      <c r="T600" s="34"/>
      <c r="U600" s="34"/>
      <c r="V600" s="34"/>
      <c r="W600" s="34"/>
      <c r="X600" s="34"/>
      <c r="Y600" s="34"/>
    </row>
    <row r="601" spans="2:25">
      <c r="B601" s="16" t="s">
        <v>74</v>
      </c>
      <c r="C601" s="46" t="s">
        <v>28</v>
      </c>
      <c r="D601" s="47">
        <v>45737</v>
      </c>
      <c r="F601" s="39" t="s">
        <v>69</v>
      </c>
      <c r="G601" s="334">
        <v>2274703</v>
      </c>
      <c r="H601" s="287" t="s">
        <v>851</v>
      </c>
      <c r="I601" s="16"/>
      <c r="J601" s="39"/>
      <c r="N601" s="46"/>
      <c r="O601" s="39"/>
      <c r="P601" s="16"/>
      <c r="Q601" s="39"/>
      <c r="R601" s="34"/>
      <c r="S601" s="34"/>
      <c r="T601" s="34"/>
      <c r="U601" s="34"/>
      <c r="V601" s="34"/>
      <c r="W601" s="34"/>
      <c r="X601" s="34"/>
      <c r="Y601" s="34"/>
    </row>
    <row r="602" spans="2:25">
      <c r="B602" s="16" t="s">
        <v>47</v>
      </c>
      <c r="C602" s="46" t="s">
        <v>28</v>
      </c>
      <c r="D602" s="47">
        <v>45744</v>
      </c>
      <c r="F602" s="46"/>
      <c r="G602" s="106"/>
      <c r="H602" s="16"/>
      <c r="I602" s="16"/>
      <c r="J602" s="39"/>
      <c r="N602" s="39" t="s">
        <v>492</v>
      </c>
      <c r="O602" s="39">
        <v>958509</v>
      </c>
      <c r="P602" s="16" t="s">
        <v>852</v>
      </c>
      <c r="Q602" s="39"/>
      <c r="R602" s="34"/>
      <c r="S602" s="34" t="s">
        <v>853</v>
      </c>
      <c r="T602" s="34"/>
      <c r="U602" s="34" t="s">
        <v>94</v>
      </c>
      <c r="V602" s="34" t="s">
        <v>94</v>
      </c>
      <c r="W602" s="34" t="s">
        <v>35</v>
      </c>
      <c r="X602" s="34" t="s">
        <v>36</v>
      </c>
      <c r="Y602" s="153" t="s">
        <v>854</v>
      </c>
    </row>
    <row r="603" spans="2:25">
      <c r="B603" s="16" t="s">
        <v>74</v>
      </c>
      <c r="C603" s="46" t="s">
        <v>28</v>
      </c>
      <c r="D603" s="47">
        <v>45744</v>
      </c>
      <c r="F603" s="22" t="s">
        <v>64</v>
      </c>
      <c r="G603" s="334">
        <v>1545117</v>
      </c>
      <c r="H603" s="287" t="s">
        <v>702</v>
      </c>
      <c r="I603" s="16"/>
      <c r="J603" s="39"/>
      <c r="N603" s="46"/>
      <c r="O603" s="39"/>
      <c r="P603" s="16"/>
      <c r="Q603" s="39"/>
      <c r="R603" s="34"/>
      <c r="S603" s="34"/>
      <c r="T603" s="34"/>
      <c r="U603" s="34"/>
      <c r="V603" s="34"/>
      <c r="W603" s="34"/>
      <c r="X603" s="34"/>
      <c r="Y603" s="34"/>
    </row>
    <row r="604" spans="2:25">
      <c r="B604" s="16" t="s">
        <v>47</v>
      </c>
      <c r="C604" s="46" t="s">
        <v>28</v>
      </c>
      <c r="D604" s="47">
        <v>45744</v>
      </c>
      <c r="F604" s="46"/>
      <c r="G604" s="106"/>
      <c r="H604" s="16"/>
      <c r="I604" s="16"/>
      <c r="J604" s="39"/>
      <c r="N604" s="39" t="s">
        <v>86</v>
      </c>
      <c r="O604" s="39">
        <v>2558302</v>
      </c>
      <c r="P604" s="16" t="s">
        <v>855</v>
      </c>
      <c r="Q604" s="39"/>
      <c r="R604" s="34"/>
      <c r="S604" s="34" t="s">
        <v>121</v>
      </c>
      <c r="T604" s="34"/>
      <c r="U604" s="34" t="s">
        <v>94</v>
      </c>
      <c r="V604" s="34" t="s">
        <v>94</v>
      </c>
      <c r="W604" s="34" t="s">
        <v>35</v>
      </c>
      <c r="X604" s="34" t="s">
        <v>36</v>
      </c>
      <c r="Y604" s="153" t="s">
        <v>665</v>
      </c>
    </row>
    <row r="605" spans="2:25">
      <c r="B605" s="16" t="s">
        <v>47</v>
      </c>
      <c r="C605" s="46" t="s">
        <v>28</v>
      </c>
      <c r="D605" s="47">
        <v>45758</v>
      </c>
      <c r="F605" s="46"/>
      <c r="G605" s="39"/>
      <c r="H605" s="16"/>
      <c r="I605" s="16"/>
      <c r="J605" s="39"/>
      <c r="N605" s="39" t="s">
        <v>64</v>
      </c>
      <c r="O605" s="39">
        <v>2633908</v>
      </c>
      <c r="P605" s="16" t="s">
        <v>856</v>
      </c>
      <c r="Q605" s="39"/>
      <c r="R605" s="34"/>
      <c r="S605" s="34" t="s">
        <v>282</v>
      </c>
      <c r="T605" s="34"/>
      <c r="U605" s="34" t="s">
        <v>94</v>
      </c>
      <c r="V605" s="34" t="s">
        <v>94</v>
      </c>
      <c r="W605" s="34" t="s">
        <v>35</v>
      </c>
      <c r="X605" s="34" t="s">
        <v>36</v>
      </c>
      <c r="Y605" s="153" t="s">
        <v>857</v>
      </c>
    </row>
    <row r="606" spans="2:25">
      <c r="B606" s="16" t="s">
        <v>47</v>
      </c>
      <c r="C606" s="46" t="s">
        <v>28</v>
      </c>
      <c r="D606" s="47">
        <v>45764</v>
      </c>
      <c r="F606" s="46"/>
      <c r="G606" s="39"/>
      <c r="H606" s="16"/>
      <c r="I606" s="16"/>
      <c r="J606" s="39"/>
      <c r="N606" s="39" t="s">
        <v>64</v>
      </c>
      <c r="O606" s="39">
        <v>2605809</v>
      </c>
      <c r="P606" s="16" t="s">
        <v>858</v>
      </c>
      <c r="Q606" s="39"/>
      <c r="R606" s="34"/>
      <c r="S606" s="141" t="s">
        <v>859</v>
      </c>
      <c r="T606" s="34"/>
      <c r="U606" s="34" t="s">
        <v>94</v>
      </c>
      <c r="V606" s="34" t="s">
        <v>94</v>
      </c>
      <c r="W606" s="34" t="s">
        <v>35</v>
      </c>
      <c r="X606" s="34" t="s">
        <v>36</v>
      </c>
      <c r="Y606" s="153" t="s">
        <v>860</v>
      </c>
    </row>
    <row r="607" spans="2:25">
      <c r="B607" s="16" t="s">
        <v>47</v>
      </c>
      <c r="C607" s="46" t="s">
        <v>28</v>
      </c>
      <c r="D607" s="47">
        <v>45772</v>
      </c>
      <c r="F607" s="46"/>
      <c r="G607" s="39"/>
      <c r="H607" s="16"/>
      <c r="I607" s="16"/>
      <c r="J607" s="39"/>
      <c r="N607" s="39" t="s">
        <v>368</v>
      </c>
      <c r="O607" s="39" t="s">
        <v>861</v>
      </c>
      <c r="P607" s="16" t="s">
        <v>862</v>
      </c>
      <c r="Q607" s="39"/>
      <c r="R607" s="34"/>
      <c r="S607" s="111" t="s">
        <v>664</v>
      </c>
      <c r="T607" s="34"/>
      <c r="U607" s="34" t="s">
        <v>94</v>
      </c>
      <c r="V607" s="34" t="s">
        <v>94</v>
      </c>
      <c r="W607" s="34" t="s">
        <v>35</v>
      </c>
      <c r="X607" s="34" t="s">
        <v>36</v>
      </c>
      <c r="Y607" s="153" t="s">
        <v>863</v>
      </c>
    </row>
    <row r="608" spans="2:25">
      <c r="B608" s="16" t="s">
        <v>47</v>
      </c>
      <c r="C608" s="46" t="s">
        <v>28</v>
      </c>
      <c r="D608" s="47">
        <v>45772</v>
      </c>
      <c r="F608" s="46"/>
      <c r="G608" s="39"/>
      <c r="H608" s="16"/>
      <c r="I608" s="16"/>
      <c r="J608" s="39"/>
      <c r="N608" s="39" t="s">
        <v>368</v>
      </c>
      <c r="O608" s="39" t="s">
        <v>864</v>
      </c>
      <c r="P608" s="16" t="s">
        <v>865</v>
      </c>
      <c r="Q608" s="39"/>
      <c r="R608" s="34"/>
      <c r="S608" s="111" t="s">
        <v>664</v>
      </c>
      <c r="T608" s="34"/>
      <c r="U608" s="34" t="s">
        <v>94</v>
      </c>
      <c r="V608" s="34" t="s">
        <v>94</v>
      </c>
      <c r="W608" s="34" t="s">
        <v>35</v>
      </c>
      <c r="X608" s="34" t="s">
        <v>36</v>
      </c>
      <c r="Y608" s="153" t="s">
        <v>866</v>
      </c>
    </row>
    <row r="609" spans="2:25">
      <c r="B609" s="16" t="s">
        <v>47</v>
      </c>
      <c r="C609" s="46" t="s">
        <v>28</v>
      </c>
      <c r="D609" s="47">
        <v>45772</v>
      </c>
      <c r="F609" s="46"/>
      <c r="G609" s="39"/>
      <c r="H609" s="16"/>
      <c r="I609" s="16"/>
      <c r="J609" s="39"/>
      <c r="N609" s="22" t="s">
        <v>738</v>
      </c>
      <c r="O609" s="39" t="s">
        <v>867</v>
      </c>
      <c r="P609" s="16" t="s">
        <v>868</v>
      </c>
      <c r="Q609" s="39"/>
      <c r="R609" s="34"/>
      <c r="S609" s="34" t="s">
        <v>869</v>
      </c>
      <c r="T609" s="34"/>
      <c r="U609" s="34" t="s">
        <v>94</v>
      </c>
      <c r="V609" s="34" t="s">
        <v>94</v>
      </c>
      <c r="W609" s="34" t="s">
        <v>35</v>
      </c>
      <c r="X609" s="34" t="s">
        <v>36</v>
      </c>
      <c r="Y609" s="153" t="s">
        <v>870</v>
      </c>
    </row>
    <row r="610" spans="2:25">
      <c r="B610" s="16" t="s">
        <v>74</v>
      </c>
      <c r="C610" s="46" t="s">
        <v>28</v>
      </c>
      <c r="D610" s="47">
        <v>45772</v>
      </c>
      <c r="F610" s="22" t="s">
        <v>48</v>
      </c>
      <c r="G610" s="334">
        <v>1785704</v>
      </c>
      <c r="H610" s="287" t="s">
        <v>871</v>
      </c>
      <c r="I610" s="16"/>
      <c r="J610" s="39"/>
      <c r="N610" s="46"/>
      <c r="O610" s="39"/>
      <c r="P610" s="16"/>
      <c r="Q610" s="39"/>
      <c r="R610" s="34"/>
      <c r="S610" s="34"/>
      <c r="T610" s="34"/>
      <c r="U610" s="34"/>
      <c r="V610" s="34"/>
      <c r="W610" s="34"/>
      <c r="X610" s="34"/>
      <c r="Y610" s="34"/>
    </row>
    <row r="611" spans="2:25">
      <c r="B611" s="16" t="s">
        <v>74</v>
      </c>
      <c r="C611" s="46" t="s">
        <v>28</v>
      </c>
      <c r="D611" s="47">
        <v>45779</v>
      </c>
      <c r="F611" s="22" t="s">
        <v>673</v>
      </c>
      <c r="G611" s="334">
        <v>989116</v>
      </c>
      <c r="H611" s="287" t="s">
        <v>872</v>
      </c>
      <c r="I611" s="16"/>
      <c r="J611" s="39"/>
      <c r="N611" s="46"/>
      <c r="O611" s="39"/>
      <c r="P611" s="16"/>
      <c r="Q611" s="39"/>
      <c r="R611" s="34"/>
      <c r="S611" s="34"/>
      <c r="T611" s="34"/>
      <c r="U611" s="34"/>
      <c r="V611" s="34"/>
      <c r="W611" s="34"/>
      <c r="X611" s="34"/>
      <c r="Y611" s="34"/>
    </row>
    <row r="612" spans="2:25">
      <c r="B612" s="16" t="s">
        <v>74</v>
      </c>
      <c r="C612" s="46" t="s">
        <v>28</v>
      </c>
      <c r="D612" s="47">
        <v>45786</v>
      </c>
      <c r="F612" s="22" t="s">
        <v>48</v>
      </c>
      <c r="G612" s="334">
        <v>1718105</v>
      </c>
      <c r="H612" s="287" t="s">
        <v>873</v>
      </c>
      <c r="I612" s="16"/>
      <c r="J612" s="39"/>
      <c r="N612" s="46"/>
      <c r="O612" s="39"/>
      <c r="P612" s="16"/>
      <c r="Q612" s="39"/>
      <c r="R612" s="34"/>
      <c r="S612" s="34"/>
      <c r="T612" s="34"/>
      <c r="U612" s="34"/>
      <c r="V612" s="34"/>
      <c r="W612" s="34"/>
      <c r="X612" s="34"/>
      <c r="Y612" s="34"/>
    </row>
    <row r="613" spans="2:25">
      <c r="B613" s="16" t="s">
        <v>74</v>
      </c>
      <c r="C613" s="46" t="s">
        <v>28</v>
      </c>
      <c r="D613" s="47">
        <v>45786</v>
      </c>
      <c r="F613" s="22" t="s">
        <v>64</v>
      </c>
      <c r="G613" s="334">
        <v>2431319</v>
      </c>
      <c r="H613" s="287" t="s">
        <v>705</v>
      </c>
      <c r="I613" s="16"/>
      <c r="J613" s="39"/>
      <c r="N613" s="46"/>
      <c r="O613" s="39"/>
      <c r="P613" s="16"/>
      <c r="Q613" s="39"/>
      <c r="R613" s="34"/>
      <c r="S613" s="34"/>
      <c r="T613" s="34"/>
      <c r="U613" s="34"/>
      <c r="V613" s="34"/>
      <c r="W613" s="34"/>
      <c r="X613" s="34"/>
      <c r="Y613" s="34"/>
    </row>
    <row r="614" spans="2:25">
      <c r="B614" s="16" t="s">
        <v>74</v>
      </c>
      <c r="C614" s="46" t="s">
        <v>28</v>
      </c>
      <c r="D614" s="47">
        <v>45793</v>
      </c>
      <c r="F614" s="22" t="s">
        <v>57</v>
      </c>
      <c r="G614" s="334">
        <v>132802</v>
      </c>
      <c r="H614" s="287" t="s">
        <v>874</v>
      </c>
      <c r="I614" s="16"/>
      <c r="J614" s="39"/>
      <c r="N614" s="46"/>
      <c r="O614" s="39"/>
      <c r="P614" s="16"/>
      <c r="Q614" s="39"/>
      <c r="R614" s="34"/>
      <c r="S614" s="34"/>
      <c r="T614" s="34"/>
      <c r="U614" s="34"/>
      <c r="V614" s="34"/>
      <c r="W614" s="34"/>
      <c r="X614" s="34"/>
      <c r="Y614" s="34"/>
    </row>
    <row r="615" spans="2:25">
      <c r="B615" s="16" t="s">
        <v>74</v>
      </c>
      <c r="C615" s="46" t="s">
        <v>28</v>
      </c>
      <c r="D615" s="47">
        <v>45793</v>
      </c>
      <c r="F615" s="22" t="s">
        <v>64</v>
      </c>
      <c r="G615" s="334">
        <v>2403806</v>
      </c>
      <c r="H615" s="287" t="s">
        <v>695</v>
      </c>
      <c r="I615" s="16"/>
      <c r="J615" s="39"/>
      <c r="N615" s="39"/>
      <c r="O615" s="39"/>
      <c r="P615" s="16"/>
      <c r="Q615" s="39"/>
      <c r="R615" s="34"/>
      <c r="S615" s="34"/>
      <c r="T615" s="34"/>
      <c r="U615" s="34"/>
      <c r="V615" s="34"/>
      <c r="W615" s="34"/>
      <c r="X615" s="34"/>
      <c r="Y615" s="34"/>
    </row>
    <row r="616" spans="2:25">
      <c r="B616" s="16" t="s">
        <v>47</v>
      </c>
      <c r="C616" s="46" t="s">
        <v>28</v>
      </c>
      <c r="D616" s="47">
        <v>45800</v>
      </c>
      <c r="F616" s="46"/>
      <c r="G616" s="39"/>
      <c r="H616" s="16"/>
      <c r="I616" s="16"/>
      <c r="J616" s="39"/>
      <c r="N616" s="39" t="s">
        <v>48</v>
      </c>
      <c r="O616" s="39">
        <v>2687201</v>
      </c>
      <c r="P616" s="16" t="s">
        <v>875</v>
      </c>
      <c r="Q616" s="39"/>
      <c r="R616" s="34"/>
      <c r="S616" s="34" t="s">
        <v>67</v>
      </c>
      <c r="T616" s="34"/>
      <c r="U616" s="34" t="s">
        <v>94</v>
      </c>
      <c r="V616" s="34" t="s">
        <v>94</v>
      </c>
      <c r="W616" s="34" t="s">
        <v>35</v>
      </c>
      <c r="X616" s="34" t="s">
        <v>36</v>
      </c>
      <c r="Y616" s="153" t="s">
        <v>876</v>
      </c>
    </row>
    <row r="617" spans="2:25">
      <c r="B617" s="16" t="s">
        <v>74</v>
      </c>
      <c r="C617" s="46" t="s">
        <v>28</v>
      </c>
      <c r="D617" s="47">
        <v>45814</v>
      </c>
      <c r="F617" s="22" t="s">
        <v>48</v>
      </c>
      <c r="G617" s="334">
        <v>2633101</v>
      </c>
      <c r="H617" s="287" t="s">
        <v>796</v>
      </c>
      <c r="I617" s="16"/>
      <c r="J617" s="39"/>
      <c r="N617" s="46"/>
      <c r="O617" s="39"/>
      <c r="P617" s="16"/>
      <c r="Q617" s="39"/>
      <c r="R617" s="34"/>
      <c r="S617" s="34"/>
      <c r="T617" s="34"/>
      <c r="U617" s="34"/>
      <c r="V617" s="34"/>
      <c r="W617" s="34"/>
      <c r="X617" s="34"/>
      <c r="Y617" s="34"/>
    </row>
    <row r="618" spans="2:25">
      <c r="B618" s="16" t="s">
        <v>47</v>
      </c>
      <c r="C618" s="46" t="s">
        <v>28</v>
      </c>
      <c r="D618" s="47">
        <v>45821</v>
      </c>
      <c r="F618" s="46"/>
      <c r="G618" s="39"/>
      <c r="H618" s="16"/>
      <c r="I618" s="16"/>
      <c r="J618" s="39"/>
      <c r="N618" s="39" t="s">
        <v>64</v>
      </c>
      <c r="O618" s="39" t="s">
        <v>877</v>
      </c>
      <c r="P618" s="16" t="s">
        <v>878</v>
      </c>
      <c r="Q618" s="39"/>
      <c r="R618" s="34"/>
      <c r="S618" s="34" t="s">
        <v>879</v>
      </c>
      <c r="T618" s="34"/>
      <c r="U618" s="34" t="s">
        <v>94</v>
      </c>
      <c r="V618" s="34" t="s">
        <v>94</v>
      </c>
      <c r="W618" s="34" t="s">
        <v>35</v>
      </c>
      <c r="X618" s="34" t="s">
        <v>36</v>
      </c>
      <c r="Y618" s="153" t="s">
        <v>699</v>
      </c>
    </row>
    <row r="619" spans="2:25">
      <c r="B619" s="16" t="s">
        <v>47</v>
      </c>
      <c r="C619" s="46" t="s">
        <v>28</v>
      </c>
      <c r="D619" s="47">
        <v>45821</v>
      </c>
      <c r="F619" s="46"/>
      <c r="G619" s="39"/>
      <c r="H619" s="16"/>
      <c r="I619" s="16"/>
      <c r="J619" s="39"/>
      <c r="N619" s="39" t="s">
        <v>64</v>
      </c>
      <c r="O619" s="39" t="s">
        <v>880</v>
      </c>
      <c r="P619" s="16" t="s">
        <v>881</v>
      </c>
      <c r="Q619" s="39"/>
      <c r="R619" s="34"/>
      <c r="S619" s="34" t="s">
        <v>879</v>
      </c>
      <c r="T619" s="34"/>
      <c r="U619" s="34" t="s">
        <v>94</v>
      </c>
      <c r="V619" s="34" t="s">
        <v>94</v>
      </c>
      <c r="W619" s="34" t="s">
        <v>35</v>
      </c>
      <c r="X619" s="34" t="s">
        <v>36</v>
      </c>
      <c r="Y619" s="153" t="s">
        <v>691</v>
      </c>
    </row>
    <row r="620" spans="2:25">
      <c r="B620" s="16" t="s">
        <v>47</v>
      </c>
      <c r="C620" s="46" t="s">
        <v>28</v>
      </c>
      <c r="D620" s="47">
        <v>45821</v>
      </c>
      <c r="F620" s="46"/>
      <c r="G620" s="39"/>
      <c r="H620" s="16"/>
      <c r="I620" s="16"/>
      <c r="J620" s="39"/>
      <c r="N620" s="39" t="s">
        <v>64</v>
      </c>
      <c r="O620" s="39" t="s">
        <v>882</v>
      </c>
      <c r="P620" s="16" t="s">
        <v>883</v>
      </c>
      <c r="Q620" s="39"/>
      <c r="R620" s="34"/>
      <c r="S620" s="34" t="s">
        <v>879</v>
      </c>
      <c r="T620" s="34"/>
      <c r="U620" s="34" t="s">
        <v>94</v>
      </c>
      <c r="V620" s="34" t="s">
        <v>94</v>
      </c>
      <c r="W620" s="34" t="s">
        <v>35</v>
      </c>
      <c r="X620" s="34" t="s">
        <v>36</v>
      </c>
      <c r="Y620" s="153" t="s">
        <v>884</v>
      </c>
    </row>
    <row r="621" spans="2:25">
      <c r="B621" s="16" t="s">
        <v>74</v>
      </c>
      <c r="C621" s="46" t="s">
        <v>28</v>
      </c>
      <c r="D621" s="47">
        <v>45821</v>
      </c>
      <c r="F621" s="22"/>
      <c r="G621" s="334">
        <v>2310006</v>
      </c>
      <c r="H621" s="287" t="s">
        <v>585</v>
      </c>
      <c r="I621" s="16"/>
      <c r="J621" s="39"/>
      <c r="N621" s="46"/>
      <c r="O621" s="39"/>
      <c r="P621" s="16"/>
      <c r="Q621" s="39"/>
      <c r="R621" s="34"/>
      <c r="S621" s="34"/>
      <c r="T621" s="34"/>
      <c r="U621" s="34"/>
      <c r="V621" s="34"/>
      <c r="W621" s="34"/>
      <c r="X621" s="34"/>
      <c r="Y621" s="34"/>
    </row>
    <row r="622" spans="2:25">
      <c r="B622" s="16" t="s">
        <v>74</v>
      </c>
      <c r="C622" s="46" t="s">
        <v>28</v>
      </c>
      <c r="D622" s="47">
        <v>45835</v>
      </c>
      <c r="F622" s="22" t="s">
        <v>41</v>
      </c>
      <c r="G622" s="334">
        <v>1920203</v>
      </c>
      <c r="H622" s="287" t="s">
        <v>885</v>
      </c>
      <c r="I622" s="16"/>
      <c r="J622" s="39"/>
      <c r="N622" s="46"/>
      <c r="O622" s="39"/>
      <c r="P622" s="16"/>
      <c r="Q622" s="39"/>
      <c r="R622" s="34"/>
      <c r="S622" s="34"/>
      <c r="T622" s="34"/>
      <c r="U622" s="34"/>
      <c r="V622" s="34"/>
      <c r="W622" s="34"/>
      <c r="X622" s="34"/>
      <c r="Y622" s="34"/>
    </row>
    <row r="623" spans="2:25">
      <c r="B623" s="16" t="s">
        <v>74</v>
      </c>
      <c r="C623" s="46" t="s">
        <v>28</v>
      </c>
      <c r="D623" s="47">
        <v>45849</v>
      </c>
      <c r="F623" s="22" t="s">
        <v>41</v>
      </c>
      <c r="G623" s="334">
        <v>1858606</v>
      </c>
      <c r="H623" s="287" t="s">
        <v>886</v>
      </c>
      <c r="I623" s="16"/>
      <c r="J623" s="39"/>
      <c r="N623" s="46"/>
      <c r="O623" s="39"/>
      <c r="P623" s="16"/>
      <c r="Q623" s="39"/>
      <c r="R623" s="34"/>
      <c r="S623" s="34"/>
      <c r="T623" s="34"/>
      <c r="U623" s="34"/>
      <c r="V623" s="34"/>
      <c r="W623" s="34"/>
      <c r="X623" s="34"/>
      <c r="Y623" s="34"/>
    </row>
    <row r="624" spans="2:25">
      <c r="B624" s="16" t="s">
        <v>47</v>
      </c>
      <c r="C624" s="46" t="s">
        <v>28</v>
      </c>
      <c r="D624" s="47">
        <v>45896</v>
      </c>
      <c r="F624" s="22"/>
      <c r="G624" s="334"/>
      <c r="H624" s="287"/>
      <c r="I624" s="16"/>
      <c r="J624" s="39"/>
      <c r="N624" s="39" t="s">
        <v>57</v>
      </c>
      <c r="O624" s="39">
        <v>1188088</v>
      </c>
      <c r="P624" s="16" t="s">
        <v>887</v>
      </c>
      <c r="Q624" s="39"/>
      <c r="R624" s="34"/>
      <c r="S624" s="141" t="s">
        <v>888</v>
      </c>
      <c r="T624" s="34"/>
      <c r="U624" s="34" t="s">
        <v>94</v>
      </c>
      <c r="V624" s="34" t="s">
        <v>94</v>
      </c>
      <c r="W624" s="34" t="s">
        <v>35</v>
      </c>
      <c r="X624" s="34" t="s">
        <v>36</v>
      </c>
      <c r="Y624" s="153" t="s">
        <v>889</v>
      </c>
    </row>
    <row r="625" spans="2:25">
      <c r="B625" s="16" t="s">
        <v>47</v>
      </c>
      <c r="C625" s="46" t="s">
        <v>28</v>
      </c>
      <c r="D625" s="47">
        <v>45896</v>
      </c>
      <c r="F625" s="22"/>
      <c r="G625" s="334"/>
      <c r="H625" s="287"/>
      <c r="I625" s="16"/>
      <c r="J625" s="39"/>
      <c r="N625" s="39" t="s">
        <v>103</v>
      </c>
      <c r="O625" s="217">
        <v>2660802</v>
      </c>
      <c r="P625" s="16" t="s">
        <v>890</v>
      </c>
      <c r="Q625" s="39"/>
      <c r="R625" s="34"/>
      <c r="S625" s="34" t="s">
        <v>891</v>
      </c>
      <c r="T625" s="34"/>
      <c r="U625" s="34" t="s">
        <v>94</v>
      </c>
      <c r="V625" s="34" t="s">
        <v>94</v>
      </c>
      <c r="W625" s="34" t="s">
        <v>35</v>
      </c>
      <c r="X625" s="34" t="s">
        <v>36</v>
      </c>
      <c r="Y625" s="153" t="s">
        <v>892</v>
      </c>
    </row>
    <row r="626" spans="2:25">
      <c r="B626" s="16" t="s">
        <v>74</v>
      </c>
      <c r="C626" s="46" t="s">
        <v>28</v>
      </c>
      <c r="D626" s="47">
        <v>45896</v>
      </c>
      <c r="F626" s="22" t="s">
        <v>41</v>
      </c>
      <c r="G626" s="334">
        <v>1920103</v>
      </c>
      <c r="H626" s="334" t="s">
        <v>893</v>
      </c>
      <c r="I626" s="16"/>
      <c r="J626" s="39"/>
      <c r="N626" s="46"/>
      <c r="O626" s="39"/>
      <c r="P626" s="16"/>
      <c r="Q626" s="39"/>
      <c r="R626" s="34"/>
      <c r="S626" s="34"/>
      <c r="T626" s="34"/>
      <c r="U626" s="34"/>
      <c r="V626" s="34"/>
      <c r="W626" s="34"/>
      <c r="X626" s="34"/>
      <c r="Y626" s="34"/>
    </row>
    <row r="627" spans="2:25">
      <c r="B627" s="16" t="s">
        <v>47</v>
      </c>
      <c r="C627" s="46" t="s">
        <v>28</v>
      </c>
      <c r="D627" s="47">
        <v>45905</v>
      </c>
      <c r="F627" s="46"/>
      <c r="G627" s="39"/>
      <c r="H627" s="16"/>
      <c r="I627" s="16"/>
      <c r="J627" s="39"/>
      <c r="N627" s="39" t="s">
        <v>57</v>
      </c>
      <c r="O627" s="39" t="s">
        <v>894</v>
      </c>
      <c r="P627" s="16" t="s">
        <v>895</v>
      </c>
      <c r="Q627" s="39"/>
      <c r="R627" s="34"/>
      <c r="S627" s="141" t="s">
        <v>888</v>
      </c>
      <c r="T627" s="34"/>
      <c r="U627" s="34" t="s">
        <v>94</v>
      </c>
      <c r="V627" s="34" t="s">
        <v>94</v>
      </c>
      <c r="W627" s="34" t="s">
        <v>35</v>
      </c>
      <c r="X627" s="34" t="s">
        <v>36</v>
      </c>
      <c r="Y627" s="153" t="s">
        <v>896</v>
      </c>
    </row>
    <row r="628" spans="2:25">
      <c r="B628" s="16" t="s">
        <v>47</v>
      </c>
      <c r="C628" s="46" t="s">
        <v>28</v>
      </c>
      <c r="D628" s="47">
        <v>45905</v>
      </c>
      <c r="F628" s="46"/>
      <c r="G628" s="39"/>
      <c r="H628" s="16"/>
      <c r="I628" s="16"/>
      <c r="J628" s="39"/>
      <c r="N628" s="39" t="s">
        <v>57</v>
      </c>
      <c r="O628" s="39" t="s">
        <v>897</v>
      </c>
      <c r="P628" s="16" t="s">
        <v>898</v>
      </c>
      <c r="Q628" s="39"/>
      <c r="R628" s="34"/>
      <c r="S628" s="141" t="s">
        <v>888</v>
      </c>
      <c r="T628" s="34"/>
      <c r="U628" s="34" t="s">
        <v>94</v>
      </c>
      <c r="V628" s="34" t="s">
        <v>94</v>
      </c>
      <c r="W628" s="34" t="s">
        <v>35</v>
      </c>
      <c r="X628" s="34" t="s">
        <v>36</v>
      </c>
      <c r="Y628" s="153" t="s">
        <v>899</v>
      </c>
    </row>
    <row r="629" spans="2:25">
      <c r="B629" s="16" t="s">
        <v>47</v>
      </c>
      <c r="C629" s="46" t="s">
        <v>28</v>
      </c>
      <c r="D629" s="47">
        <v>45905</v>
      </c>
      <c r="F629" s="46"/>
      <c r="G629" s="39"/>
      <c r="H629" s="16"/>
      <c r="I629" s="16"/>
      <c r="J629" s="39"/>
      <c r="N629" s="39" t="s">
        <v>48</v>
      </c>
      <c r="O629" s="39" t="s">
        <v>900</v>
      </c>
      <c r="P629" s="16" t="s">
        <v>901</v>
      </c>
      <c r="Q629" s="39"/>
      <c r="R629" s="34"/>
      <c r="S629" s="141" t="s">
        <v>888</v>
      </c>
      <c r="T629" s="34"/>
      <c r="U629" s="34" t="s">
        <v>94</v>
      </c>
      <c r="V629" s="34" t="s">
        <v>94</v>
      </c>
      <c r="W629" s="34" t="s">
        <v>35</v>
      </c>
      <c r="X629" s="34" t="s">
        <v>36</v>
      </c>
      <c r="Y629" s="153" t="s">
        <v>902</v>
      </c>
    </row>
    <row r="630" spans="2:25">
      <c r="B630" s="16" t="s">
        <v>47</v>
      </c>
      <c r="C630" s="46" t="s">
        <v>28</v>
      </c>
      <c r="D630" s="47">
        <v>45905</v>
      </c>
      <c r="F630" s="46"/>
      <c r="G630" s="39"/>
      <c r="H630" s="16"/>
      <c r="I630" s="16"/>
      <c r="J630" s="39"/>
      <c r="N630" s="39" t="s">
        <v>112</v>
      </c>
      <c r="O630" s="39" t="s">
        <v>903</v>
      </c>
      <c r="P630" s="16" t="s">
        <v>904</v>
      </c>
      <c r="Q630" s="39"/>
      <c r="R630" s="34"/>
      <c r="S630" s="141" t="s">
        <v>888</v>
      </c>
      <c r="T630" s="34"/>
      <c r="U630" s="34" t="s">
        <v>94</v>
      </c>
      <c r="V630" s="34" t="s">
        <v>94</v>
      </c>
      <c r="W630" s="34" t="s">
        <v>35</v>
      </c>
      <c r="X630" s="34" t="s">
        <v>36</v>
      </c>
      <c r="Y630" s="153" t="s">
        <v>905</v>
      </c>
    </row>
    <row r="631" spans="2:25">
      <c r="B631" s="16" t="s">
        <v>47</v>
      </c>
      <c r="C631" s="46" t="s">
        <v>28</v>
      </c>
      <c r="D631" s="47">
        <v>45912</v>
      </c>
      <c r="F631" s="46"/>
      <c r="G631" s="39"/>
      <c r="H631" s="16"/>
      <c r="I631" s="16"/>
      <c r="J631" s="39"/>
      <c r="N631" s="39" t="s">
        <v>310</v>
      </c>
      <c r="O631" s="39" t="s">
        <v>906</v>
      </c>
      <c r="P631" s="16" t="s">
        <v>907</v>
      </c>
      <c r="Q631" s="39"/>
      <c r="R631" s="34"/>
      <c r="S631" s="34"/>
      <c r="T631" s="34"/>
      <c r="U631" s="34" t="s">
        <v>94</v>
      </c>
      <c r="V631" s="34" t="s">
        <v>94</v>
      </c>
      <c r="W631" s="34" t="s">
        <v>35</v>
      </c>
      <c r="X631" s="34" t="s">
        <v>36</v>
      </c>
      <c r="Y631" s="153" t="s">
        <v>908</v>
      </c>
    </row>
    <row r="632" spans="2:25">
      <c r="B632" s="16" t="s">
        <v>27</v>
      </c>
      <c r="C632" s="46" t="s">
        <v>28</v>
      </c>
      <c r="D632" s="47">
        <v>45912</v>
      </c>
      <c r="F632" s="39" t="s">
        <v>95</v>
      </c>
      <c r="G632" s="39">
        <v>2358701</v>
      </c>
      <c r="H632" s="16" t="s">
        <v>909</v>
      </c>
      <c r="I632" s="16"/>
      <c r="J632" s="39"/>
      <c r="N632" s="39" t="s">
        <v>95</v>
      </c>
      <c r="O632" s="39">
        <v>2685701</v>
      </c>
      <c r="P632" s="16" t="s">
        <v>910</v>
      </c>
      <c r="Q632" s="39"/>
      <c r="R632" s="34"/>
      <c r="S632" s="34"/>
      <c r="T632" s="34"/>
      <c r="U632" s="34" t="s">
        <v>94</v>
      </c>
      <c r="V632" s="34" t="s">
        <v>94</v>
      </c>
      <c r="W632" s="34" t="s">
        <v>35</v>
      </c>
      <c r="X632" s="34" t="s">
        <v>36</v>
      </c>
      <c r="Y632" s="153" t="s">
        <v>911</v>
      </c>
    </row>
    <row r="633" spans="2:25">
      <c r="B633" s="16" t="s">
        <v>27</v>
      </c>
      <c r="C633" s="46" t="s">
        <v>28</v>
      </c>
      <c r="D633" s="47">
        <v>45912</v>
      </c>
      <c r="F633" s="39" t="s">
        <v>95</v>
      </c>
      <c r="G633" s="39">
        <v>2358501</v>
      </c>
      <c r="H633" s="16" t="s">
        <v>912</v>
      </c>
      <c r="I633" s="16"/>
      <c r="J633" s="39"/>
      <c r="N633" s="39" t="s">
        <v>95</v>
      </c>
      <c r="O633" s="39">
        <v>2685501</v>
      </c>
      <c r="P633" s="16" t="s">
        <v>913</v>
      </c>
      <c r="Q633" s="39"/>
      <c r="R633" s="34"/>
      <c r="S633" s="34"/>
      <c r="T633" s="34"/>
      <c r="U633" s="34" t="s">
        <v>94</v>
      </c>
      <c r="V633" s="34" t="s">
        <v>94</v>
      </c>
      <c r="W633" s="34" t="s">
        <v>35</v>
      </c>
      <c r="X633" s="34" t="s">
        <v>36</v>
      </c>
      <c r="Y633" s="153" t="s">
        <v>914</v>
      </c>
    </row>
    <row r="634" spans="2:25">
      <c r="B634" s="16" t="s">
        <v>47</v>
      </c>
      <c r="C634" s="46" t="s">
        <v>28</v>
      </c>
      <c r="D634" s="47">
        <v>45919</v>
      </c>
      <c r="F634" s="46"/>
      <c r="G634" s="39"/>
      <c r="H634" s="16"/>
      <c r="I634" s="16"/>
      <c r="J634" s="39"/>
      <c r="N634" s="39" t="s">
        <v>57</v>
      </c>
      <c r="O634" s="39" t="s">
        <v>915</v>
      </c>
      <c r="P634" s="16" t="s">
        <v>916</v>
      </c>
      <c r="Q634" s="39"/>
      <c r="R634" s="34"/>
      <c r="S634" s="141" t="s">
        <v>888</v>
      </c>
      <c r="T634" s="34"/>
      <c r="U634" s="34" t="s">
        <v>94</v>
      </c>
      <c r="V634" s="34" t="s">
        <v>94</v>
      </c>
      <c r="W634" s="34" t="s">
        <v>35</v>
      </c>
      <c r="X634" s="34" t="s">
        <v>36</v>
      </c>
      <c r="Y634" s="153" t="s">
        <v>917</v>
      </c>
    </row>
    <row r="635" spans="2:25">
      <c r="B635" s="16" t="s">
        <v>47</v>
      </c>
      <c r="C635" s="46" t="s">
        <v>28</v>
      </c>
      <c r="D635" s="47">
        <v>45919</v>
      </c>
      <c r="F635" s="46"/>
      <c r="G635" s="39"/>
      <c r="H635" s="16"/>
      <c r="I635" s="16"/>
      <c r="J635" s="39"/>
      <c r="N635" s="39" t="s">
        <v>57</v>
      </c>
      <c r="O635" s="39" t="s">
        <v>918</v>
      </c>
      <c r="P635" s="16" t="s">
        <v>919</v>
      </c>
      <c r="Q635" s="39"/>
      <c r="R635" s="34"/>
      <c r="S635" s="141" t="s">
        <v>888</v>
      </c>
      <c r="T635" s="34"/>
      <c r="U635" s="34" t="s">
        <v>94</v>
      </c>
      <c r="V635" s="34" t="s">
        <v>94</v>
      </c>
      <c r="W635" s="34" t="s">
        <v>35</v>
      </c>
      <c r="X635" s="34" t="s">
        <v>36</v>
      </c>
      <c r="Y635" s="153" t="s">
        <v>920</v>
      </c>
    </row>
    <row r="636" spans="2:25">
      <c r="B636" s="16" t="s">
        <v>47</v>
      </c>
      <c r="C636" s="46" t="s">
        <v>28</v>
      </c>
      <c r="D636" s="47">
        <v>45919</v>
      </c>
      <c r="F636" s="46"/>
      <c r="G636" s="39"/>
      <c r="H636" s="16"/>
      <c r="I636" s="16"/>
      <c r="J636" s="39"/>
      <c r="N636" s="39" t="s">
        <v>57</v>
      </c>
      <c r="O636" s="39" t="s">
        <v>921</v>
      </c>
      <c r="P636" s="16" t="s">
        <v>922</v>
      </c>
      <c r="Q636" s="39"/>
      <c r="R636" s="34"/>
      <c r="S636" s="141" t="s">
        <v>888</v>
      </c>
      <c r="T636" s="34"/>
      <c r="U636" s="34" t="s">
        <v>94</v>
      </c>
      <c r="V636" s="34" t="s">
        <v>94</v>
      </c>
      <c r="W636" s="34" t="s">
        <v>35</v>
      </c>
      <c r="X636" s="34" t="s">
        <v>36</v>
      </c>
      <c r="Y636" s="153" t="s">
        <v>923</v>
      </c>
    </row>
    <row r="637" spans="2:25">
      <c r="B637" s="16" t="s">
        <v>47</v>
      </c>
      <c r="C637" s="46" t="s">
        <v>28</v>
      </c>
      <c r="D637" s="47">
        <v>45919</v>
      </c>
      <c r="F637" s="46"/>
      <c r="G637" s="39"/>
      <c r="H637" s="16"/>
      <c r="I637" s="16"/>
      <c r="J637" s="39"/>
      <c r="N637" s="39" t="s">
        <v>310</v>
      </c>
      <c r="O637" s="39" t="s">
        <v>924</v>
      </c>
      <c r="P637" s="16" t="s">
        <v>925</v>
      </c>
      <c r="Q637" s="39"/>
      <c r="R637" s="34"/>
      <c r="S637" s="34"/>
      <c r="T637" s="34"/>
      <c r="U637" s="34" t="s">
        <v>94</v>
      </c>
      <c r="V637" s="34" t="s">
        <v>94</v>
      </c>
      <c r="W637" s="34" t="s">
        <v>35</v>
      </c>
      <c r="X637" s="34" t="s">
        <v>36</v>
      </c>
      <c r="Y637" s="153" t="s">
        <v>926</v>
      </c>
    </row>
    <row r="638" spans="2:25">
      <c r="B638" s="16" t="s">
        <v>47</v>
      </c>
      <c r="C638" s="46" t="s">
        <v>28</v>
      </c>
      <c r="D638" s="47">
        <v>45954</v>
      </c>
      <c r="F638" s="46"/>
      <c r="G638" s="39"/>
      <c r="H638" s="16"/>
      <c r="I638" s="16"/>
      <c r="J638" s="39"/>
      <c r="N638" s="39" t="s">
        <v>112</v>
      </c>
      <c r="O638" s="39">
        <v>37504</v>
      </c>
      <c r="P638" s="16" t="s">
        <v>927</v>
      </c>
      <c r="Q638" s="39"/>
      <c r="R638" s="34"/>
      <c r="S638" s="34" t="s">
        <v>928</v>
      </c>
      <c r="T638" s="34"/>
      <c r="U638" s="34" t="s">
        <v>94</v>
      </c>
      <c r="V638" s="34" t="s">
        <v>94</v>
      </c>
      <c r="W638" s="34" t="s">
        <v>35</v>
      </c>
      <c r="X638" s="34" t="s">
        <v>36</v>
      </c>
      <c r="Y638" s="153" t="s">
        <v>929</v>
      </c>
    </row>
    <row r="639" spans="2:25">
      <c r="B639" s="16" t="s">
        <v>47</v>
      </c>
      <c r="C639" s="46" t="s">
        <v>28</v>
      </c>
      <c r="D639" s="47">
        <v>45954</v>
      </c>
      <c r="F639" s="46"/>
      <c r="G639" s="39"/>
      <c r="H639" s="16"/>
      <c r="I639" s="16"/>
      <c r="J639" s="39"/>
      <c r="N639" s="39" t="s">
        <v>112</v>
      </c>
      <c r="O639" s="39">
        <v>504802</v>
      </c>
      <c r="P639" s="16" t="s">
        <v>930</v>
      </c>
      <c r="Q639" s="39"/>
      <c r="R639" s="34"/>
      <c r="S639" s="34" t="s">
        <v>931</v>
      </c>
      <c r="T639" s="34"/>
      <c r="U639" s="34" t="s">
        <v>94</v>
      </c>
      <c r="V639" s="34" t="s">
        <v>94</v>
      </c>
      <c r="W639" s="34" t="s">
        <v>35</v>
      </c>
      <c r="X639" s="34" t="s">
        <v>36</v>
      </c>
      <c r="Y639" s="153" t="s">
        <v>932</v>
      </c>
    </row>
    <row r="640" spans="2:25">
      <c r="B640" s="16" t="s">
        <v>47</v>
      </c>
      <c r="C640" s="46" t="s">
        <v>28</v>
      </c>
      <c r="D640" s="47">
        <v>45954</v>
      </c>
      <c r="F640" s="46"/>
      <c r="G640" s="39"/>
      <c r="H640" s="16"/>
      <c r="I640" s="16"/>
      <c r="J640" s="39"/>
      <c r="N640" s="39" t="s">
        <v>112</v>
      </c>
      <c r="O640" s="39">
        <v>57907</v>
      </c>
      <c r="P640" s="16" t="s">
        <v>933</v>
      </c>
      <c r="Q640" s="39"/>
      <c r="R640" s="34"/>
      <c r="S640" s="34" t="s">
        <v>931</v>
      </c>
      <c r="T640" s="34"/>
      <c r="U640" s="34" t="s">
        <v>94</v>
      </c>
      <c r="V640" s="34" t="s">
        <v>94</v>
      </c>
      <c r="W640" s="34" t="s">
        <v>35</v>
      </c>
      <c r="X640" s="34" t="s">
        <v>36</v>
      </c>
      <c r="Y640" s="153" t="s">
        <v>934</v>
      </c>
    </row>
    <row r="641" spans="2:25">
      <c r="B641" s="16" t="s">
        <v>47</v>
      </c>
      <c r="C641" s="46" t="s">
        <v>28</v>
      </c>
      <c r="D641" s="47">
        <v>45961</v>
      </c>
      <c r="F641" s="46"/>
      <c r="G641" s="39"/>
      <c r="H641" s="16"/>
      <c r="I641" s="16"/>
      <c r="J641" s="39"/>
      <c r="N641" s="39" t="s">
        <v>310</v>
      </c>
      <c r="O641" s="39">
        <v>2231202</v>
      </c>
      <c r="P641" s="16" t="s">
        <v>935</v>
      </c>
      <c r="Q641" s="39"/>
      <c r="R641" s="34"/>
      <c r="S641" s="34"/>
      <c r="T641" s="34"/>
      <c r="U641" s="34" t="s">
        <v>94</v>
      </c>
      <c r="V641" s="34" t="s">
        <v>94</v>
      </c>
      <c r="W641" s="34" t="s">
        <v>35</v>
      </c>
      <c r="X641" s="34" t="s">
        <v>36</v>
      </c>
      <c r="Y641" s="153" t="s">
        <v>936</v>
      </c>
    </row>
    <row r="642" spans="2:25">
      <c r="B642" s="16" t="s">
        <v>47</v>
      </c>
      <c r="C642" s="46" t="s">
        <v>28</v>
      </c>
      <c r="D642" s="47">
        <v>45961</v>
      </c>
      <c r="F642" s="46"/>
      <c r="G642" s="39"/>
      <c r="H642" s="16"/>
      <c r="I642" s="16"/>
      <c r="J642" s="39"/>
      <c r="N642" s="39" t="s">
        <v>310</v>
      </c>
      <c r="O642" s="39">
        <v>2231302</v>
      </c>
      <c r="P642" s="16" t="s">
        <v>937</v>
      </c>
      <c r="Q642" s="39"/>
      <c r="R642" s="34"/>
      <c r="S642" s="34"/>
      <c r="T642" s="34"/>
      <c r="U642" s="34" t="s">
        <v>94</v>
      </c>
      <c r="V642" s="34" t="s">
        <v>94</v>
      </c>
      <c r="W642" s="34" t="s">
        <v>35</v>
      </c>
      <c r="X642" s="34" t="s">
        <v>36</v>
      </c>
      <c r="Y642" s="153" t="s">
        <v>938</v>
      </c>
    </row>
    <row r="643" spans="2:25">
      <c r="B643" s="16" t="s">
        <v>74</v>
      </c>
      <c r="C643" s="46" t="s">
        <v>28</v>
      </c>
      <c r="D643" s="47">
        <v>45961</v>
      </c>
      <c r="F643" s="39" t="s">
        <v>103</v>
      </c>
      <c r="G643" s="39">
        <v>2515602</v>
      </c>
      <c r="H643" s="16" t="s">
        <v>632</v>
      </c>
      <c r="I643" s="16"/>
      <c r="J643" s="39"/>
      <c r="N643" s="46"/>
      <c r="O643" s="39"/>
      <c r="P643" s="16"/>
      <c r="Q643" s="39"/>
      <c r="R643" s="34"/>
      <c r="S643" s="34"/>
      <c r="T643" s="34"/>
      <c r="U643" s="34"/>
      <c r="V643" s="34"/>
      <c r="W643" s="34"/>
      <c r="X643" s="34"/>
      <c r="Y643" s="34"/>
    </row>
    <row r="644" spans="2:25">
      <c r="B644" s="16" t="s">
        <v>47</v>
      </c>
      <c r="C644" s="46" t="s">
        <v>28</v>
      </c>
      <c r="D644" s="47">
        <v>45975</v>
      </c>
      <c r="F644" s="46"/>
      <c r="G644" s="39"/>
      <c r="H644" s="16"/>
      <c r="I644" s="16"/>
      <c r="J644" s="39"/>
      <c r="N644" s="39" t="s">
        <v>492</v>
      </c>
      <c r="O644" s="39">
        <v>2708102</v>
      </c>
      <c r="P644" s="16" t="s">
        <v>939</v>
      </c>
      <c r="Q644" s="39"/>
      <c r="R644" s="34"/>
      <c r="S644" s="34" t="s">
        <v>940</v>
      </c>
      <c r="T644" s="34"/>
      <c r="U644" s="34" t="s">
        <v>94</v>
      </c>
      <c r="V644" s="34" t="s">
        <v>94</v>
      </c>
      <c r="W644" s="34" t="s">
        <v>35</v>
      </c>
      <c r="X644" s="34" t="s">
        <v>36</v>
      </c>
      <c r="Y644" s="153" t="s">
        <v>941</v>
      </c>
    </row>
    <row r="645" spans="2:25">
      <c r="B645" s="16" t="s">
        <v>47</v>
      </c>
      <c r="C645" s="46" t="s">
        <v>28</v>
      </c>
      <c r="D645" s="47">
        <v>45975</v>
      </c>
      <c r="F645" s="46"/>
      <c r="G645" s="39"/>
      <c r="H645" s="16"/>
      <c r="I645" s="16"/>
      <c r="J645" s="39"/>
      <c r="N645" s="39" t="s">
        <v>492</v>
      </c>
      <c r="O645" s="39">
        <v>2708202</v>
      </c>
      <c r="P645" s="16" t="s">
        <v>942</v>
      </c>
      <c r="Q645" s="39"/>
      <c r="R645" s="34"/>
      <c r="S645" s="34" t="s">
        <v>940</v>
      </c>
      <c r="T645" s="34"/>
      <c r="U645" s="34" t="s">
        <v>94</v>
      </c>
      <c r="V645" s="34" t="s">
        <v>94</v>
      </c>
      <c r="W645" s="34" t="s">
        <v>35</v>
      </c>
      <c r="X645" s="34" t="s">
        <v>36</v>
      </c>
      <c r="Y645" s="153" t="s">
        <v>943</v>
      </c>
    </row>
    <row r="646" spans="2:25">
      <c r="B646" s="16" t="s">
        <v>47</v>
      </c>
      <c r="C646" s="46" t="s">
        <v>28</v>
      </c>
      <c r="D646" s="47">
        <v>45975</v>
      </c>
      <c r="F646" s="46"/>
      <c r="G646" s="39"/>
      <c r="H646" s="16"/>
      <c r="I646" s="16"/>
      <c r="J646" s="39"/>
      <c r="N646" s="39" t="s">
        <v>492</v>
      </c>
      <c r="O646" s="39">
        <v>2707602</v>
      </c>
      <c r="P646" s="16" t="s">
        <v>944</v>
      </c>
      <c r="Q646" s="39"/>
      <c r="R646" s="34"/>
      <c r="S646" s="34" t="s">
        <v>121</v>
      </c>
      <c r="T646" s="34"/>
      <c r="U646" s="34" t="s">
        <v>94</v>
      </c>
      <c r="V646" s="34" t="s">
        <v>94</v>
      </c>
      <c r="W646" s="34" t="s">
        <v>35</v>
      </c>
      <c r="X646" s="34" t="s">
        <v>36</v>
      </c>
      <c r="Y646" s="153" t="s">
        <v>945</v>
      </c>
    </row>
    <row r="647" spans="2:25">
      <c r="B647" s="16" t="s">
        <v>47</v>
      </c>
      <c r="C647" s="46" t="s">
        <v>28</v>
      </c>
      <c r="D647" s="47">
        <v>45975</v>
      </c>
      <c r="F647" s="46"/>
      <c r="G647" s="39"/>
      <c r="H647" s="16"/>
      <c r="I647" s="16"/>
      <c r="J647" s="39"/>
      <c r="N647" s="39" t="s">
        <v>492</v>
      </c>
      <c r="O647" s="39">
        <v>2707702</v>
      </c>
      <c r="P647" s="16" t="s">
        <v>946</v>
      </c>
      <c r="Q647" s="39"/>
      <c r="R647" s="34"/>
      <c r="S647" s="34" t="s">
        <v>121</v>
      </c>
      <c r="T647" s="34"/>
      <c r="U647" s="34" t="s">
        <v>94</v>
      </c>
      <c r="V647" s="34" t="s">
        <v>94</v>
      </c>
      <c r="W647" s="34" t="s">
        <v>35</v>
      </c>
      <c r="X647" s="34" t="s">
        <v>36</v>
      </c>
      <c r="Y647" s="153" t="s">
        <v>947</v>
      </c>
    </row>
    <row r="648" spans="2:25">
      <c r="B648" s="16" t="s">
        <v>47</v>
      </c>
      <c r="C648" s="46" t="s">
        <v>28</v>
      </c>
      <c r="D648" s="47">
        <v>45975</v>
      </c>
      <c r="F648" s="46"/>
      <c r="G648" s="39"/>
      <c r="H648" s="16"/>
      <c r="I648" s="16"/>
      <c r="J648" s="39"/>
      <c r="N648" s="39" t="s">
        <v>492</v>
      </c>
      <c r="O648" s="39">
        <v>2707802</v>
      </c>
      <c r="P648" s="16" t="s">
        <v>948</v>
      </c>
      <c r="Q648" s="39"/>
      <c r="R648" s="34"/>
      <c r="S648" s="34" t="s">
        <v>121</v>
      </c>
      <c r="T648" s="34"/>
      <c r="U648" s="34" t="s">
        <v>94</v>
      </c>
      <c r="V648" s="34" t="s">
        <v>94</v>
      </c>
      <c r="W648" s="34" t="s">
        <v>35</v>
      </c>
      <c r="X648" s="34" t="s">
        <v>36</v>
      </c>
      <c r="Y648" s="153" t="s">
        <v>949</v>
      </c>
    </row>
    <row r="649" spans="2:25">
      <c r="B649" s="16" t="s">
        <v>47</v>
      </c>
      <c r="C649" s="46" t="s">
        <v>28</v>
      </c>
      <c r="D649" s="47">
        <v>45975</v>
      </c>
      <c r="F649" s="46"/>
      <c r="G649" s="39"/>
      <c r="H649" s="16"/>
      <c r="I649" s="16"/>
      <c r="J649" s="39"/>
      <c r="N649" s="39" t="s">
        <v>492</v>
      </c>
      <c r="O649" s="39">
        <v>2706102</v>
      </c>
      <c r="P649" s="16" t="s">
        <v>950</v>
      </c>
      <c r="Q649" s="39"/>
      <c r="R649" s="34"/>
      <c r="S649" s="34" t="s">
        <v>121</v>
      </c>
      <c r="T649" s="34"/>
      <c r="U649" s="34" t="s">
        <v>94</v>
      </c>
      <c r="V649" s="34" t="s">
        <v>94</v>
      </c>
      <c r="W649" s="34" t="s">
        <v>35</v>
      </c>
      <c r="X649" s="34" t="s">
        <v>36</v>
      </c>
      <c r="Y649" s="153" t="s">
        <v>951</v>
      </c>
    </row>
    <row r="650" spans="2:25">
      <c r="B650" s="16" t="s">
        <v>47</v>
      </c>
      <c r="C650" s="46" t="s">
        <v>28</v>
      </c>
      <c r="D650" s="47">
        <v>45975</v>
      </c>
      <c r="F650" s="46"/>
      <c r="G650" s="39"/>
      <c r="H650" s="16"/>
      <c r="I650" s="16"/>
      <c r="J650" s="39"/>
      <c r="N650" s="91" t="s">
        <v>57</v>
      </c>
      <c r="O650" s="91">
        <v>2603502</v>
      </c>
      <c r="P650" s="92" t="s">
        <v>952</v>
      </c>
      <c r="Q650" s="39"/>
      <c r="R650" s="34"/>
      <c r="S650" s="34"/>
      <c r="T650" s="34"/>
      <c r="U650" s="34" t="s">
        <v>94</v>
      </c>
      <c r="V650" s="34" t="s">
        <v>94</v>
      </c>
      <c r="W650" s="34" t="s">
        <v>35</v>
      </c>
      <c r="X650" s="34" t="s">
        <v>36</v>
      </c>
      <c r="Y650" s="141" t="s">
        <v>953</v>
      </c>
    </row>
    <row r="651" spans="2:25">
      <c r="B651" s="16" t="s">
        <v>47</v>
      </c>
      <c r="C651" s="46" t="s">
        <v>28</v>
      </c>
      <c r="D651" s="47">
        <v>45975</v>
      </c>
      <c r="F651" s="46"/>
      <c r="G651" s="39"/>
      <c r="H651" s="16"/>
      <c r="I651" s="16"/>
      <c r="J651" s="39"/>
      <c r="N651" s="91" t="s">
        <v>57</v>
      </c>
      <c r="O651" s="91">
        <v>2723301</v>
      </c>
      <c r="P651" s="92" t="s">
        <v>954</v>
      </c>
      <c r="Q651" s="39"/>
      <c r="R651" s="34"/>
      <c r="S651" s="34"/>
      <c r="T651" s="34"/>
      <c r="U651" s="34" t="s">
        <v>94</v>
      </c>
      <c r="V651" s="34" t="s">
        <v>94</v>
      </c>
      <c r="W651" s="34" t="s">
        <v>35</v>
      </c>
      <c r="X651" s="34" t="s">
        <v>36</v>
      </c>
      <c r="Y651" s="141" t="s">
        <v>953</v>
      </c>
    </row>
    <row r="652" spans="2:25">
      <c r="B652" s="16" t="s">
        <v>47</v>
      </c>
      <c r="C652" s="46" t="s">
        <v>28</v>
      </c>
      <c r="D652" s="47">
        <v>45975</v>
      </c>
      <c r="F652" s="46"/>
      <c r="G652" s="39"/>
      <c r="H652" s="16"/>
      <c r="I652" s="16"/>
      <c r="J652" s="39"/>
      <c r="N652" s="39" t="s">
        <v>86</v>
      </c>
      <c r="O652" s="39">
        <v>1929602</v>
      </c>
      <c r="P652" s="16" t="s">
        <v>955</v>
      </c>
      <c r="Q652" s="39"/>
      <c r="R652" s="34"/>
      <c r="S652" s="34" t="s">
        <v>121</v>
      </c>
      <c r="T652" s="34"/>
      <c r="U652" s="34" t="s">
        <v>94</v>
      </c>
      <c r="V652" s="34" t="s">
        <v>94</v>
      </c>
      <c r="W652" s="34" t="s">
        <v>35</v>
      </c>
      <c r="X652" s="34" t="s">
        <v>36</v>
      </c>
      <c r="Y652" s="153" t="s">
        <v>956</v>
      </c>
    </row>
    <row r="653" spans="2:25">
      <c r="B653" s="16" t="s">
        <v>47</v>
      </c>
      <c r="C653" s="46" t="s">
        <v>28</v>
      </c>
      <c r="D653" s="47">
        <v>45975</v>
      </c>
      <c r="F653" s="46"/>
      <c r="G653" s="39"/>
      <c r="H653" s="16"/>
      <c r="I653" s="16"/>
      <c r="J653" s="39"/>
      <c r="N653" s="39" t="s">
        <v>86</v>
      </c>
      <c r="O653" s="39">
        <v>2723201</v>
      </c>
      <c r="P653" s="16" t="s">
        <v>957</v>
      </c>
      <c r="Q653" s="39"/>
      <c r="R653" s="34"/>
      <c r="S653" s="34" t="s">
        <v>121</v>
      </c>
      <c r="T653" s="34"/>
      <c r="U653" s="34" t="s">
        <v>94</v>
      </c>
      <c r="V653" s="34" t="s">
        <v>94</v>
      </c>
      <c r="W653" s="34" t="s">
        <v>35</v>
      </c>
      <c r="X653" s="34" t="s">
        <v>36</v>
      </c>
      <c r="Y653" s="153" t="s">
        <v>958</v>
      </c>
    </row>
    <row r="654" spans="2:25">
      <c r="B654" s="16" t="s">
        <v>47</v>
      </c>
      <c r="C654" s="46" t="s">
        <v>28</v>
      </c>
      <c r="D654" s="47">
        <v>45975</v>
      </c>
      <c r="F654" s="46"/>
      <c r="G654" s="39"/>
      <c r="H654" s="16"/>
      <c r="I654" s="16"/>
      <c r="J654" s="39"/>
      <c r="N654" s="106" t="s">
        <v>69</v>
      </c>
      <c r="O654" s="39">
        <v>2708009</v>
      </c>
      <c r="P654" s="16" t="s">
        <v>959</v>
      </c>
      <c r="Q654" s="39"/>
      <c r="R654" s="34"/>
      <c r="S654" s="34" t="s">
        <v>121</v>
      </c>
      <c r="T654" s="34"/>
      <c r="U654" s="34" t="s">
        <v>94</v>
      </c>
      <c r="V654" s="34" t="s">
        <v>94</v>
      </c>
      <c r="W654" s="34" t="s">
        <v>35</v>
      </c>
      <c r="X654" s="34" t="s">
        <v>36</v>
      </c>
      <c r="Y654" s="153" t="s">
        <v>960</v>
      </c>
    </row>
    <row r="655" spans="2:25">
      <c r="B655" s="16" t="s">
        <v>47</v>
      </c>
      <c r="C655" s="46" t="s">
        <v>28</v>
      </c>
      <c r="D655" s="47">
        <v>45975</v>
      </c>
      <c r="F655" s="46"/>
      <c r="G655" s="39"/>
      <c r="H655" s="16"/>
      <c r="I655" s="16"/>
      <c r="J655" s="39"/>
      <c r="N655" s="106" t="s">
        <v>48</v>
      </c>
      <c r="O655" s="39">
        <v>2711504</v>
      </c>
      <c r="P655" s="16" t="s">
        <v>961</v>
      </c>
      <c r="Q655" s="39"/>
      <c r="R655" s="34"/>
      <c r="S655" s="34" t="s">
        <v>940</v>
      </c>
      <c r="T655" s="34"/>
      <c r="U655" s="34" t="s">
        <v>94</v>
      </c>
      <c r="V655" s="34" t="s">
        <v>94</v>
      </c>
      <c r="W655" s="34" t="s">
        <v>35</v>
      </c>
      <c r="X655" s="34" t="s">
        <v>36</v>
      </c>
      <c r="Y655" s="153" t="s">
        <v>962</v>
      </c>
    </row>
    <row r="656" spans="2:25">
      <c r="B656" s="16" t="s">
        <v>47</v>
      </c>
      <c r="C656" s="46" t="s">
        <v>28</v>
      </c>
      <c r="D656" s="47">
        <v>45975</v>
      </c>
      <c r="F656" s="46"/>
      <c r="G656" s="39"/>
      <c r="H656" s="16"/>
      <c r="I656" s="16"/>
      <c r="J656" s="39"/>
      <c r="N656" s="106" t="s">
        <v>48</v>
      </c>
      <c r="O656" s="39">
        <v>2705604</v>
      </c>
      <c r="P656" s="16" t="s">
        <v>963</v>
      </c>
      <c r="Q656" s="39"/>
      <c r="R656" s="34"/>
      <c r="S656" s="34" t="s">
        <v>940</v>
      </c>
      <c r="T656" s="34"/>
      <c r="U656" s="34" t="s">
        <v>94</v>
      </c>
      <c r="V656" s="34" t="s">
        <v>94</v>
      </c>
      <c r="W656" s="34" t="s">
        <v>35</v>
      </c>
      <c r="X656" s="34" t="s">
        <v>36</v>
      </c>
      <c r="Y656" s="153" t="s">
        <v>964</v>
      </c>
    </row>
    <row r="657" spans="2:25">
      <c r="B657" s="16" t="s">
        <v>47</v>
      </c>
      <c r="C657" s="46" t="s">
        <v>28</v>
      </c>
      <c r="D657" s="47">
        <v>45975</v>
      </c>
      <c r="F657" s="46"/>
      <c r="G657" s="39"/>
      <c r="H657" s="16"/>
      <c r="I657" s="16"/>
      <c r="J657" s="39"/>
      <c r="N657" s="106" t="s">
        <v>112</v>
      </c>
      <c r="O657" s="39">
        <v>2712004</v>
      </c>
      <c r="P657" s="16" t="s">
        <v>965</v>
      </c>
      <c r="Q657" s="39"/>
      <c r="R657" s="38"/>
      <c r="S657" s="34" t="s">
        <v>966</v>
      </c>
      <c r="T657" s="34"/>
      <c r="U657" s="34" t="s">
        <v>94</v>
      </c>
      <c r="V657" s="34" t="s">
        <v>94</v>
      </c>
      <c r="W657" s="34" t="s">
        <v>35</v>
      </c>
      <c r="X657" s="34" t="s">
        <v>36</v>
      </c>
      <c r="Y657" s="153" t="s">
        <v>967</v>
      </c>
    </row>
    <row r="658" spans="2:25">
      <c r="B658" s="16" t="s">
        <v>47</v>
      </c>
      <c r="C658" s="46" t="s">
        <v>28</v>
      </c>
      <c r="D658" s="47">
        <v>45975</v>
      </c>
      <c r="F658" s="46"/>
      <c r="G658" s="39"/>
      <c r="H658" s="16"/>
      <c r="I658" s="16"/>
      <c r="J658" s="39"/>
      <c r="N658" s="106" t="s">
        <v>112</v>
      </c>
      <c r="O658" s="39">
        <v>2706004</v>
      </c>
      <c r="P658" s="16" t="s">
        <v>968</v>
      </c>
      <c r="Q658" s="39"/>
      <c r="R658" s="38"/>
      <c r="S658" s="34" t="s">
        <v>966</v>
      </c>
      <c r="T658" s="34"/>
      <c r="U658" s="34" t="s">
        <v>94</v>
      </c>
      <c r="V658" s="34" t="s">
        <v>94</v>
      </c>
      <c r="W658" s="34" t="s">
        <v>35</v>
      </c>
      <c r="X658" s="34" t="s">
        <v>36</v>
      </c>
      <c r="Y658" s="153" t="s">
        <v>969</v>
      </c>
    </row>
    <row r="659" spans="2:25">
      <c r="B659" s="16" t="s">
        <v>47</v>
      </c>
      <c r="C659" s="46" t="s">
        <v>28</v>
      </c>
      <c r="D659" s="47">
        <v>45975</v>
      </c>
      <c r="F659" s="46"/>
      <c r="G659" s="39"/>
      <c r="H659" s="16"/>
      <c r="I659" s="16"/>
      <c r="J659" s="39"/>
      <c r="N659" s="106" t="s">
        <v>48</v>
      </c>
      <c r="O659" s="39">
        <v>729513</v>
      </c>
      <c r="P659" s="16" t="s">
        <v>970</v>
      </c>
      <c r="Q659" s="39"/>
      <c r="R659" s="34"/>
      <c r="S659" s="34" t="s">
        <v>121</v>
      </c>
      <c r="T659" s="34"/>
      <c r="U659" s="34" t="s">
        <v>94</v>
      </c>
      <c r="V659" s="34" t="s">
        <v>94</v>
      </c>
      <c r="W659" s="34" t="s">
        <v>35</v>
      </c>
      <c r="X659" s="34" t="s">
        <v>36</v>
      </c>
      <c r="Y659" s="153" t="s">
        <v>971</v>
      </c>
    </row>
    <row r="660" spans="2:25">
      <c r="B660" s="16" t="s">
        <v>47</v>
      </c>
      <c r="C660" s="46" t="s">
        <v>28</v>
      </c>
      <c r="D660" s="47">
        <v>45975</v>
      </c>
      <c r="F660" s="46"/>
      <c r="G660" s="39"/>
      <c r="H660" s="16"/>
      <c r="I660" s="16"/>
      <c r="J660" s="39"/>
      <c r="N660" s="106" t="s">
        <v>48</v>
      </c>
      <c r="O660" s="39">
        <v>478724</v>
      </c>
      <c r="P660" s="16" t="s">
        <v>972</v>
      </c>
      <c r="Q660" s="39"/>
      <c r="R660" s="34"/>
      <c r="S660" s="34" t="s">
        <v>121</v>
      </c>
      <c r="T660" s="34"/>
      <c r="U660" s="34" t="s">
        <v>94</v>
      </c>
      <c r="V660" s="34" t="s">
        <v>94</v>
      </c>
      <c r="W660" s="34" t="s">
        <v>35</v>
      </c>
      <c r="X660" s="34" t="s">
        <v>36</v>
      </c>
      <c r="Y660" s="153" t="s">
        <v>973</v>
      </c>
    </row>
    <row r="661" spans="2:25">
      <c r="B661" s="16" t="s">
        <v>47</v>
      </c>
      <c r="C661" s="46" t="s">
        <v>28</v>
      </c>
      <c r="D661" s="47">
        <v>45975</v>
      </c>
      <c r="F661" s="46"/>
      <c r="G661" s="39"/>
      <c r="H661" s="16"/>
      <c r="I661" s="16"/>
      <c r="J661" s="39"/>
      <c r="N661" s="362" t="s">
        <v>216</v>
      </c>
      <c r="O661" s="91">
        <v>2743801</v>
      </c>
      <c r="P661" s="92" t="s">
        <v>974</v>
      </c>
      <c r="Q661" s="91"/>
      <c r="R661" s="162"/>
      <c r="S661" s="34" t="s">
        <v>975</v>
      </c>
      <c r="T661" s="162"/>
      <c r="U661" s="162" t="s">
        <v>94</v>
      </c>
      <c r="V661" s="162" t="s">
        <v>94</v>
      </c>
      <c r="W661" s="162" t="s">
        <v>35</v>
      </c>
      <c r="X661" s="162" t="s">
        <v>36</v>
      </c>
      <c r="Y661" s="331" t="s">
        <v>976</v>
      </c>
    </row>
    <row r="662" spans="2:25">
      <c r="B662" s="16" t="s">
        <v>47</v>
      </c>
      <c r="C662" s="46" t="s">
        <v>28</v>
      </c>
      <c r="D662" s="47">
        <v>45975</v>
      </c>
      <c r="F662" s="46"/>
      <c r="G662" s="39"/>
      <c r="H662" s="16"/>
      <c r="I662" s="16"/>
      <c r="J662" s="39"/>
      <c r="N662" s="39" t="s">
        <v>57</v>
      </c>
      <c r="O662" s="39">
        <v>2701106</v>
      </c>
      <c r="P662" s="16" t="s">
        <v>977</v>
      </c>
      <c r="Q662" s="39"/>
      <c r="R662" s="34"/>
      <c r="S662" s="141" t="s">
        <v>978</v>
      </c>
      <c r="T662" s="34"/>
      <c r="U662" s="34" t="s">
        <v>94</v>
      </c>
      <c r="V662" s="34" t="s">
        <v>94</v>
      </c>
      <c r="W662" s="34" t="s">
        <v>35</v>
      </c>
      <c r="X662" s="34" t="s">
        <v>36</v>
      </c>
      <c r="Y662" s="153" t="s">
        <v>979</v>
      </c>
    </row>
    <row r="663" spans="2:25">
      <c r="B663" s="16" t="s">
        <v>47</v>
      </c>
      <c r="C663" s="46" t="s">
        <v>28</v>
      </c>
      <c r="D663" s="47">
        <v>45975</v>
      </c>
      <c r="F663" s="46"/>
      <c r="G663" s="39"/>
      <c r="H663" s="16"/>
      <c r="I663" s="16"/>
      <c r="J663" s="39"/>
      <c r="N663" s="39" t="s">
        <v>103</v>
      </c>
      <c r="O663" s="39">
        <v>2702511</v>
      </c>
      <c r="P663" s="16" t="s">
        <v>980</v>
      </c>
      <c r="Q663" s="39"/>
      <c r="R663" s="34"/>
      <c r="S663" s="34" t="s">
        <v>73</v>
      </c>
      <c r="T663" s="34"/>
      <c r="U663" s="34" t="s">
        <v>94</v>
      </c>
      <c r="V663" s="34" t="s">
        <v>94</v>
      </c>
      <c r="W663" s="34" t="s">
        <v>35</v>
      </c>
      <c r="X663" s="34" t="s">
        <v>36</v>
      </c>
      <c r="Y663" s="153" t="s">
        <v>981</v>
      </c>
    </row>
    <row r="664" spans="2:25">
      <c r="B664" s="16" t="s">
        <v>47</v>
      </c>
      <c r="C664" s="46" t="s">
        <v>28</v>
      </c>
      <c r="D664" s="47">
        <v>45982</v>
      </c>
      <c r="F664" s="46"/>
      <c r="G664" s="39"/>
      <c r="H664" s="16"/>
      <c r="I664" s="16"/>
      <c r="J664" s="39"/>
      <c r="N664" s="39" t="s">
        <v>64</v>
      </c>
      <c r="O664" s="39">
        <v>2687821</v>
      </c>
      <c r="P664" s="16" t="s">
        <v>982</v>
      </c>
      <c r="Q664" s="39"/>
      <c r="R664" s="34"/>
      <c r="S664" s="34" t="s">
        <v>121</v>
      </c>
      <c r="T664" s="34"/>
      <c r="U664" s="34" t="s">
        <v>94</v>
      </c>
      <c r="V664" s="34" t="s">
        <v>94</v>
      </c>
      <c r="W664" s="34" t="s">
        <v>35</v>
      </c>
      <c r="X664" s="34" t="s">
        <v>36</v>
      </c>
      <c r="Y664" s="153" t="s">
        <v>983</v>
      </c>
    </row>
    <row r="665" spans="2:25">
      <c r="B665" s="16" t="s">
        <v>47</v>
      </c>
      <c r="C665" s="46" t="s">
        <v>28</v>
      </c>
      <c r="D665" s="47">
        <v>45982</v>
      </c>
      <c r="F665" s="46"/>
      <c r="G665" s="39"/>
      <c r="H665" s="16"/>
      <c r="I665" s="16"/>
      <c r="J665" s="39"/>
      <c r="N665" s="39" t="s">
        <v>64</v>
      </c>
      <c r="O665" s="39">
        <v>2698905</v>
      </c>
      <c r="P665" s="16" t="s">
        <v>984</v>
      </c>
      <c r="Q665" s="39"/>
      <c r="R665" s="34"/>
      <c r="S665" s="34" t="s">
        <v>121</v>
      </c>
      <c r="T665" s="34"/>
      <c r="U665" s="34" t="s">
        <v>94</v>
      </c>
      <c r="V665" s="34" t="s">
        <v>94</v>
      </c>
      <c r="W665" s="34" t="s">
        <v>35</v>
      </c>
      <c r="X665" s="34" t="s">
        <v>36</v>
      </c>
      <c r="Y665" s="153" t="s">
        <v>985</v>
      </c>
    </row>
    <row r="666" spans="2:25">
      <c r="B666" s="16" t="s">
        <v>47</v>
      </c>
      <c r="C666" s="46" t="s">
        <v>28</v>
      </c>
      <c r="D666" s="47">
        <v>45982</v>
      </c>
      <c r="F666" s="46"/>
      <c r="G666" s="39"/>
      <c r="H666" s="16"/>
      <c r="I666" s="16"/>
      <c r="J666" s="39"/>
      <c r="N666" s="39" t="s">
        <v>64</v>
      </c>
      <c r="O666" s="39">
        <v>2626910</v>
      </c>
      <c r="P666" s="16" t="s">
        <v>986</v>
      </c>
      <c r="Q666" s="39"/>
      <c r="R666" s="34"/>
      <c r="S666" s="34" t="s">
        <v>121</v>
      </c>
      <c r="T666" s="34"/>
      <c r="U666" s="34" t="s">
        <v>94</v>
      </c>
      <c r="V666" s="34" t="s">
        <v>94</v>
      </c>
      <c r="W666" s="34" t="s">
        <v>35</v>
      </c>
      <c r="X666" s="34" t="s">
        <v>36</v>
      </c>
      <c r="Y666" s="153" t="s">
        <v>987</v>
      </c>
    </row>
    <row r="667" spans="2:25">
      <c r="B667" s="16" t="s">
        <v>47</v>
      </c>
      <c r="C667" s="46" t="s">
        <v>28</v>
      </c>
      <c r="D667" s="47">
        <v>45982</v>
      </c>
      <c r="F667" s="46"/>
      <c r="G667" s="39"/>
      <c r="H667" s="16"/>
      <c r="I667" s="16"/>
      <c r="J667" s="39"/>
      <c r="N667" s="39" t="s">
        <v>203</v>
      </c>
      <c r="O667" s="39">
        <v>2723401</v>
      </c>
      <c r="P667" s="16" t="s">
        <v>988</v>
      </c>
      <c r="Q667" s="39"/>
      <c r="R667" s="34"/>
      <c r="S667" s="34"/>
      <c r="T667" s="34"/>
      <c r="U667" s="34" t="s">
        <v>94</v>
      </c>
      <c r="V667" s="34" t="s">
        <v>94</v>
      </c>
      <c r="W667" s="34" t="s">
        <v>35</v>
      </c>
      <c r="X667" s="34" t="s">
        <v>36</v>
      </c>
      <c r="Y667" s="153" t="s">
        <v>989</v>
      </c>
    </row>
    <row r="668" spans="2:25">
      <c r="B668" s="16" t="s">
        <v>47</v>
      </c>
      <c r="C668" s="46" t="s">
        <v>28</v>
      </c>
      <c r="D668" s="47">
        <v>45989</v>
      </c>
      <c r="F668" s="46"/>
      <c r="G668" s="39"/>
      <c r="H668" s="16"/>
      <c r="I668" s="16"/>
      <c r="J668" s="39"/>
      <c r="N668" s="22" t="s">
        <v>738</v>
      </c>
      <c r="O668" s="39">
        <v>2692803</v>
      </c>
      <c r="P668" s="16" t="s">
        <v>990</v>
      </c>
      <c r="Q668" s="39"/>
      <c r="R668" s="34"/>
      <c r="S668" s="34"/>
      <c r="T668" s="34"/>
      <c r="U668" s="34" t="s">
        <v>94</v>
      </c>
      <c r="V668" s="34" t="s">
        <v>94</v>
      </c>
      <c r="W668" s="34" t="s">
        <v>35</v>
      </c>
      <c r="X668" s="34" t="s">
        <v>36</v>
      </c>
      <c r="Y668" s="153" t="s">
        <v>991</v>
      </c>
    </row>
    <row r="669" spans="2:25">
      <c r="B669" s="16" t="s">
        <v>47</v>
      </c>
      <c r="C669" s="46" t="s">
        <v>28</v>
      </c>
      <c r="D669" s="47">
        <v>45989</v>
      </c>
      <c r="F669" s="46"/>
      <c r="G669" s="39"/>
      <c r="H669" s="16"/>
      <c r="I669" s="16"/>
      <c r="J669" s="39"/>
      <c r="N669" s="39" t="s">
        <v>48</v>
      </c>
      <c r="O669" s="39">
        <v>2058507</v>
      </c>
      <c r="P669" s="16" t="s">
        <v>992</v>
      </c>
      <c r="Q669" s="39"/>
      <c r="R669" s="34"/>
      <c r="S669" s="34"/>
      <c r="T669" s="34"/>
      <c r="U669" s="34" t="s">
        <v>94</v>
      </c>
      <c r="V669" s="34" t="s">
        <v>94</v>
      </c>
      <c r="W669" s="34" t="s">
        <v>35</v>
      </c>
      <c r="X669" s="34" t="s">
        <v>36</v>
      </c>
      <c r="Y669" s="153" t="s">
        <v>993</v>
      </c>
    </row>
    <row r="670" spans="2:25">
      <c r="B670" s="16" t="s">
        <v>47</v>
      </c>
      <c r="C670" s="46" t="s">
        <v>28</v>
      </c>
      <c r="D670" s="47">
        <v>45989</v>
      </c>
      <c r="F670" s="46"/>
      <c r="G670" s="39"/>
      <c r="H670" s="16"/>
      <c r="I670" s="16"/>
      <c r="J670" s="39"/>
      <c r="N670" s="39" t="s">
        <v>57</v>
      </c>
      <c r="O670" s="39">
        <v>2701006</v>
      </c>
      <c r="P670" s="16" t="s">
        <v>994</v>
      </c>
      <c r="Q670" s="39"/>
      <c r="R670" s="34"/>
      <c r="S670" s="34" t="s">
        <v>121</v>
      </c>
      <c r="T670" s="34"/>
      <c r="U670" s="34" t="s">
        <v>94</v>
      </c>
      <c r="V670" s="34" t="s">
        <v>94</v>
      </c>
      <c r="W670" s="34" t="s">
        <v>35</v>
      </c>
      <c r="X670" s="34" t="s">
        <v>36</v>
      </c>
      <c r="Y670" s="153" t="s">
        <v>995</v>
      </c>
    </row>
    <row r="671" spans="2:25">
      <c r="B671" s="16" t="s">
        <v>47</v>
      </c>
      <c r="C671" s="46" t="s">
        <v>28</v>
      </c>
      <c r="D671" s="47">
        <v>46008</v>
      </c>
      <c r="F671" s="46"/>
      <c r="G671" s="39"/>
      <c r="H671" s="16"/>
      <c r="I671" s="16"/>
      <c r="J671" s="39"/>
      <c r="N671" s="39" t="s">
        <v>57</v>
      </c>
      <c r="O671" s="39">
        <v>2122608</v>
      </c>
      <c r="P671" s="16" t="s">
        <v>996</v>
      </c>
      <c r="Q671" s="39"/>
      <c r="R671" s="34"/>
      <c r="S671" s="34" t="s">
        <v>121</v>
      </c>
      <c r="T671" s="34"/>
      <c r="U671" s="34" t="s">
        <v>94</v>
      </c>
      <c r="V671" s="34" t="s">
        <v>94</v>
      </c>
      <c r="W671" s="34" t="s">
        <v>35</v>
      </c>
      <c r="X671" s="34" t="s">
        <v>36</v>
      </c>
      <c r="Y671" s="153" t="s">
        <v>997</v>
      </c>
    </row>
    <row r="672" spans="2:25">
      <c r="B672" s="16" t="s">
        <v>47</v>
      </c>
      <c r="C672" s="46" t="s">
        <v>28</v>
      </c>
      <c r="D672" s="47">
        <v>46008</v>
      </c>
      <c r="F672" s="46"/>
      <c r="G672" s="39"/>
      <c r="H672" s="16"/>
      <c r="I672" s="16"/>
      <c r="J672" s="39"/>
      <c r="N672" s="39" t="s">
        <v>57</v>
      </c>
      <c r="O672" s="39">
        <v>2122620</v>
      </c>
      <c r="P672" s="16" t="s">
        <v>998</v>
      </c>
      <c r="Q672" s="39"/>
      <c r="R672" s="34"/>
      <c r="S672" s="34" t="s">
        <v>121</v>
      </c>
      <c r="T672" s="34"/>
      <c r="U672" s="34" t="s">
        <v>94</v>
      </c>
      <c r="V672" s="34" t="s">
        <v>94</v>
      </c>
      <c r="W672" s="34" t="s">
        <v>35</v>
      </c>
      <c r="X672" s="34" t="s">
        <v>36</v>
      </c>
      <c r="Y672" s="153" t="s">
        <v>997</v>
      </c>
    </row>
    <row r="673" spans="2:25">
      <c r="B673" s="16" t="s">
        <v>47</v>
      </c>
      <c r="C673" s="46" t="s">
        <v>28</v>
      </c>
      <c r="D673" s="47">
        <v>46031</v>
      </c>
      <c r="F673" s="46"/>
      <c r="G673" s="39"/>
      <c r="H673" s="16"/>
      <c r="I673" s="16"/>
      <c r="J673" s="39"/>
      <c r="N673" s="39" t="s">
        <v>86</v>
      </c>
      <c r="O673" s="39">
        <v>2765001</v>
      </c>
      <c r="P673" s="16" t="s">
        <v>999</v>
      </c>
      <c r="Q673" s="39"/>
      <c r="R673" s="34"/>
      <c r="S673" s="34" t="s">
        <v>1000</v>
      </c>
      <c r="T673" s="34"/>
      <c r="U673" s="34" t="s">
        <v>94</v>
      </c>
      <c r="V673" s="34" t="s">
        <v>94</v>
      </c>
      <c r="W673" s="34" t="s">
        <v>35</v>
      </c>
      <c r="X673" s="34" t="s">
        <v>36</v>
      </c>
      <c r="Y673" s="153" t="s">
        <v>1001</v>
      </c>
    </row>
    <row r="674" spans="2:25">
      <c r="B674" s="16" t="s">
        <v>47</v>
      </c>
      <c r="C674" s="46" t="s">
        <v>28</v>
      </c>
      <c r="D674" s="47">
        <v>46031</v>
      </c>
      <c r="F674" s="46"/>
      <c r="G674" s="39"/>
      <c r="H674" s="16"/>
      <c r="I674" s="16"/>
      <c r="J674" s="39"/>
      <c r="N674" s="39" t="s">
        <v>615</v>
      </c>
      <c r="O674" s="39">
        <v>2462649</v>
      </c>
      <c r="P674" s="16" t="s">
        <v>1002</v>
      </c>
      <c r="Q674" s="39"/>
      <c r="R674" s="34"/>
      <c r="S674" s="34" t="s">
        <v>121</v>
      </c>
      <c r="T674" s="34"/>
      <c r="U674" s="34" t="s">
        <v>94</v>
      </c>
      <c r="V674" s="34" t="s">
        <v>94</v>
      </c>
      <c r="W674" s="34" t="s">
        <v>35</v>
      </c>
      <c r="X674" s="34" t="s">
        <v>36</v>
      </c>
      <c r="Y674" s="153" t="s">
        <v>617</v>
      </c>
    </row>
    <row r="675" spans="2:25">
      <c r="B675" s="21" t="s">
        <v>47</v>
      </c>
      <c r="C675" s="31" t="s">
        <v>28</v>
      </c>
      <c r="D675" s="29">
        <v>46031</v>
      </c>
      <c r="E675" s="23"/>
      <c r="F675" s="31"/>
      <c r="G675" s="22"/>
      <c r="H675" s="21"/>
      <c r="I675" s="21"/>
      <c r="J675" s="22"/>
      <c r="K675" s="65"/>
      <c r="L675" s="65"/>
      <c r="M675" s="23"/>
      <c r="N675" s="397" t="s">
        <v>48</v>
      </c>
      <c r="O675" s="22">
        <v>2757401</v>
      </c>
      <c r="P675" s="21" t="s">
        <v>1003</v>
      </c>
      <c r="Q675" s="39"/>
      <c r="R675" s="34"/>
      <c r="S675" s="34" t="s">
        <v>1004</v>
      </c>
      <c r="T675" s="34"/>
      <c r="U675" s="34" t="s">
        <v>94</v>
      </c>
      <c r="V675" s="34" t="s">
        <v>94</v>
      </c>
      <c r="W675" s="34" t="s">
        <v>35</v>
      </c>
      <c r="X675" s="38" t="s">
        <v>102</v>
      </c>
      <c r="Y675" s="153" t="s">
        <v>1005</v>
      </c>
    </row>
    <row r="676" spans="2:25">
      <c r="B676" s="21" t="s">
        <v>47</v>
      </c>
      <c r="C676" s="31" t="s">
        <v>28</v>
      </c>
      <c r="D676" s="29">
        <v>46031</v>
      </c>
      <c r="E676" s="23"/>
      <c r="F676" s="31"/>
      <c r="G676" s="22"/>
      <c r="H676" s="21"/>
      <c r="I676" s="21"/>
      <c r="J676" s="22"/>
      <c r="K676" s="65"/>
      <c r="L676" s="65"/>
      <c r="M676" s="23"/>
      <c r="N676" s="22" t="s">
        <v>57</v>
      </c>
      <c r="O676" s="22">
        <v>1630204</v>
      </c>
      <c r="P676" s="21" t="s">
        <v>1006</v>
      </c>
      <c r="Q676" s="39"/>
      <c r="R676" s="34"/>
      <c r="S676" s="34" t="s">
        <v>1004</v>
      </c>
      <c r="T676" s="34"/>
      <c r="U676" s="34" t="s">
        <v>94</v>
      </c>
      <c r="V676" s="34" t="s">
        <v>94</v>
      </c>
      <c r="W676" s="34" t="s">
        <v>35</v>
      </c>
      <c r="X676" s="38" t="s">
        <v>102</v>
      </c>
      <c r="Y676" s="153" t="s">
        <v>1007</v>
      </c>
    </row>
    <row r="677" spans="2:25">
      <c r="B677" s="21" t="s">
        <v>47</v>
      </c>
      <c r="C677" s="31" t="s">
        <v>28</v>
      </c>
      <c r="D677" s="29">
        <v>46031</v>
      </c>
      <c r="E677" s="23"/>
      <c r="F677" s="31"/>
      <c r="G677" s="22"/>
      <c r="H677" s="21"/>
      <c r="I677" s="21"/>
      <c r="J677" s="22"/>
      <c r="K677" s="65"/>
      <c r="L677" s="65"/>
      <c r="M677" s="23"/>
      <c r="N677" s="22" t="s">
        <v>57</v>
      </c>
      <c r="O677" s="22">
        <v>1131803</v>
      </c>
      <c r="P677" s="21" t="s">
        <v>1008</v>
      </c>
      <c r="Q677" s="39"/>
      <c r="R677" s="34"/>
      <c r="S677" s="34" t="s">
        <v>1004</v>
      </c>
      <c r="T677" s="34"/>
      <c r="U677" s="34" t="s">
        <v>94</v>
      </c>
      <c r="V677" s="34" t="s">
        <v>94</v>
      </c>
      <c r="W677" s="34" t="s">
        <v>35</v>
      </c>
      <c r="X677" s="38" t="s">
        <v>102</v>
      </c>
      <c r="Y677" s="153" t="s">
        <v>1009</v>
      </c>
    </row>
    <row r="678" spans="2:25">
      <c r="B678" s="21" t="s">
        <v>47</v>
      </c>
      <c r="C678" s="31" t="s">
        <v>28</v>
      </c>
      <c r="D678" s="29">
        <v>46031</v>
      </c>
      <c r="E678" s="23"/>
      <c r="F678" s="31"/>
      <c r="G678" s="22"/>
      <c r="H678" s="21"/>
      <c r="I678" s="21"/>
      <c r="J678" s="22"/>
      <c r="K678" s="65"/>
      <c r="L678" s="65"/>
      <c r="M678" s="23"/>
      <c r="N678" s="22" t="s">
        <v>57</v>
      </c>
      <c r="O678" s="22">
        <v>401092</v>
      </c>
      <c r="P678" s="21" t="s">
        <v>1010</v>
      </c>
      <c r="Q678" s="39"/>
      <c r="R678" s="34"/>
      <c r="S678" s="34" t="s">
        <v>1004</v>
      </c>
      <c r="T678" s="34"/>
      <c r="U678" s="34" t="s">
        <v>94</v>
      </c>
      <c r="V678" s="34" t="s">
        <v>94</v>
      </c>
      <c r="W678" s="34" t="s">
        <v>35</v>
      </c>
      <c r="X678" s="38" t="s">
        <v>102</v>
      </c>
      <c r="Y678" s="153" t="s">
        <v>1011</v>
      </c>
    </row>
    <row r="679" spans="2:25">
      <c r="B679" s="21" t="s">
        <v>47</v>
      </c>
      <c r="C679" s="31" t="s">
        <v>28</v>
      </c>
      <c r="D679" s="29">
        <v>46031</v>
      </c>
      <c r="E679" s="23"/>
      <c r="F679" s="398"/>
      <c r="G679" s="22"/>
      <c r="H679" s="399"/>
      <c r="I679" s="21"/>
      <c r="J679" s="22"/>
      <c r="K679" s="65"/>
      <c r="L679" s="65"/>
      <c r="M679" s="23"/>
      <c r="N679" s="22" t="s">
        <v>57</v>
      </c>
      <c r="O679" s="22">
        <v>826652</v>
      </c>
      <c r="P679" s="21" t="s">
        <v>1012</v>
      </c>
      <c r="Q679" s="39"/>
      <c r="R679" s="34"/>
      <c r="S679" s="34" t="s">
        <v>1004</v>
      </c>
      <c r="T679" s="34"/>
      <c r="U679" s="34" t="s">
        <v>94</v>
      </c>
      <c r="V679" s="34" t="s">
        <v>94</v>
      </c>
      <c r="W679" s="34" t="s">
        <v>35</v>
      </c>
      <c r="X679" s="38" t="s">
        <v>102</v>
      </c>
      <c r="Y679" s="153" t="s">
        <v>1013</v>
      </c>
    </row>
    <row r="680" spans="2:25">
      <c r="B680" s="16" t="s">
        <v>74</v>
      </c>
      <c r="C680" s="46" t="s">
        <v>1014</v>
      </c>
      <c r="D680" s="47">
        <v>46031</v>
      </c>
      <c r="F680" s="366" t="s">
        <v>41</v>
      </c>
      <c r="G680" s="39">
        <v>2141801</v>
      </c>
      <c r="H680" s="368" t="s">
        <v>167</v>
      </c>
      <c r="I680" s="16"/>
      <c r="J680" s="39"/>
      <c r="N680" s="46"/>
      <c r="O680" s="39"/>
      <c r="P680" s="16"/>
      <c r="Q680" s="39"/>
      <c r="R680" s="34"/>
      <c r="S680" s="34"/>
      <c r="T680" s="34"/>
      <c r="U680" s="34"/>
      <c r="V680" s="34"/>
      <c r="W680" s="34"/>
      <c r="X680" s="34"/>
      <c r="Y680" s="34"/>
    </row>
    <row r="681" spans="2:25">
      <c r="B681" s="16" t="s">
        <v>47</v>
      </c>
      <c r="C681" s="46" t="s">
        <v>28</v>
      </c>
      <c r="D681" s="47">
        <v>46038</v>
      </c>
      <c r="F681" s="367"/>
      <c r="G681" s="39"/>
      <c r="H681" s="368"/>
      <c r="I681" s="16"/>
      <c r="J681" s="39"/>
      <c r="N681" s="39" t="s">
        <v>57</v>
      </c>
      <c r="O681" s="39">
        <v>256557</v>
      </c>
      <c r="P681" s="16" t="s">
        <v>1015</v>
      </c>
      <c r="Q681" s="39"/>
      <c r="R681" s="34"/>
      <c r="S681" s="34" t="s">
        <v>287</v>
      </c>
      <c r="T681" s="34"/>
      <c r="U681" s="34" t="s">
        <v>94</v>
      </c>
      <c r="V681" s="34" t="s">
        <v>94</v>
      </c>
      <c r="W681" s="34" t="s">
        <v>35</v>
      </c>
      <c r="X681" s="34" t="s">
        <v>36</v>
      </c>
      <c r="Y681" s="153" t="s">
        <v>1016</v>
      </c>
    </row>
    <row r="682" spans="2:25">
      <c r="B682" s="16" t="s">
        <v>47</v>
      </c>
      <c r="C682" s="46" t="s">
        <v>28</v>
      </c>
      <c r="D682" s="47">
        <v>46038</v>
      </c>
      <c r="F682" s="367"/>
      <c r="G682" s="39"/>
      <c r="H682" s="368"/>
      <c r="I682" s="16"/>
      <c r="J682" s="39"/>
      <c r="N682" s="39" t="s">
        <v>57</v>
      </c>
      <c r="O682" s="39">
        <v>225263</v>
      </c>
      <c r="P682" s="16" t="s">
        <v>1017</v>
      </c>
      <c r="Q682" s="39"/>
      <c r="R682" s="34"/>
      <c r="S682" s="34" t="s">
        <v>287</v>
      </c>
      <c r="T682" s="34"/>
      <c r="U682" s="34" t="s">
        <v>94</v>
      </c>
      <c r="V682" s="34" t="s">
        <v>94</v>
      </c>
      <c r="W682" s="34" t="s">
        <v>35</v>
      </c>
      <c r="X682" s="34" t="s">
        <v>36</v>
      </c>
      <c r="Y682" s="153" t="s">
        <v>1018</v>
      </c>
    </row>
    <row r="683" spans="2:25">
      <c r="B683" s="16" t="s">
        <v>74</v>
      </c>
      <c r="C683" s="46" t="s">
        <v>28</v>
      </c>
      <c r="D683" s="47">
        <v>46038</v>
      </c>
      <c r="F683" s="366" t="s">
        <v>64</v>
      </c>
      <c r="G683" s="39">
        <v>1938219</v>
      </c>
      <c r="H683" s="368" t="s">
        <v>883</v>
      </c>
      <c r="I683" s="16"/>
      <c r="J683" s="39"/>
      <c r="N683" s="46"/>
      <c r="O683" s="39"/>
      <c r="P683" s="16"/>
      <c r="Q683" s="39"/>
      <c r="R683" s="34"/>
      <c r="S683" s="34"/>
      <c r="T683" s="34"/>
      <c r="U683" s="34"/>
      <c r="V683" s="34"/>
      <c r="W683" s="34"/>
      <c r="X683" s="34"/>
      <c r="Y683" s="34"/>
    </row>
    <row r="684" spans="2:25">
      <c r="B684" s="16" t="s">
        <v>47</v>
      </c>
      <c r="C684" s="46" t="s">
        <v>28</v>
      </c>
      <c r="D684" s="47">
        <v>46045</v>
      </c>
      <c r="F684" s="367"/>
      <c r="G684" s="39"/>
      <c r="H684" s="368"/>
      <c r="I684" s="16"/>
      <c r="J684" s="39"/>
      <c r="N684" s="39" t="s">
        <v>48</v>
      </c>
      <c r="O684" s="39">
        <v>2058508</v>
      </c>
      <c r="P684" s="16" t="s">
        <v>1019</v>
      </c>
      <c r="Q684" s="39"/>
      <c r="R684" s="34"/>
      <c r="S684" s="34"/>
      <c r="T684" s="34"/>
      <c r="U684" s="34" t="s">
        <v>94</v>
      </c>
      <c r="V684" s="34" t="s">
        <v>94</v>
      </c>
      <c r="W684" s="34" t="s">
        <v>35</v>
      </c>
      <c r="X684" s="34" t="s">
        <v>36</v>
      </c>
      <c r="Y684" s="153" t="s">
        <v>993</v>
      </c>
    </row>
    <row r="685" spans="2:25">
      <c r="B685" s="16" t="s">
        <v>74</v>
      </c>
      <c r="C685" s="46" t="s">
        <v>1014</v>
      </c>
      <c r="D685" s="47">
        <v>46059</v>
      </c>
      <c r="F685" s="366" t="s">
        <v>103</v>
      </c>
      <c r="G685" s="39">
        <v>1374906</v>
      </c>
      <c r="H685" s="368" t="s">
        <v>1020</v>
      </c>
      <c r="I685" s="16"/>
      <c r="J685" s="39"/>
      <c r="N685" s="46"/>
      <c r="O685" s="39"/>
      <c r="P685" s="16"/>
      <c r="Q685" s="39"/>
      <c r="R685" s="34"/>
      <c r="S685" s="34"/>
      <c r="T685" s="34"/>
      <c r="U685" s="34"/>
      <c r="V685" s="34"/>
      <c r="W685" s="34"/>
      <c r="X685" s="34"/>
      <c r="Y685" s="34"/>
    </row>
    <row r="686" spans="2:25">
      <c r="B686" s="16" t="s">
        <v>74</v>
      </c>
      <c r="C686" s="46" t="s">
        <v>1014</v>
      </c>
      <c r="D686" s="47">
        <v>46072</v>
      </c>
      <c r="F686" s="366" t="s">
        <v>48</v>
      </c>
      <c r="G686" s="39">
        <v>280509</v>
      </c>
      <c r="H686" s="368" t="s">
        <v>1021</v>
      </c>
      <c r="I686" s="16"/>
      <c r="J686" s="39"/>
      <c r="N686" s="46"/>
      <c r="O686" s="39"/>
      <c r="P686" s="16"/>
      <c r="Q686" s="39"/>
      <c r="R686" s="34"/>
      <c r="S686" s="34"/>
      <c r="T686" s="34"/>
      <c r="U686" s="34"/>
      <c r="V686" s="34"/>
      <c r="W686" s="34"/>
      <c r="X686" s="34"/>
      <c r="Y686" s="34"/>
    </row>
    <row r="687" spans="2:25">
      <c r="B687" s="16" t="s">
        <v>47</v>
      </c>
      <c r="C687" s="46" t="s">
        <v>28</v>
      </c>
      <c r="D687" s="47">
        <v>46080</v>
      </c>
      <c r="F687" s="367"/>
      <c r="G687" s="39"/>
      <c r="H687" s="368"/>
      <c r="I687" s="16"/>
      <c r="J687" s="39"/>
      <c r="N687" s="39" t="s">
        <v>297</v>
      </c>
      <c r="O687" s="39">
        <v>250145</v>
      </c>
      <c r="P687" s="16" t="s">
        <v>1022</v>
      </c>
      <c r="Q687" s="39"/>
      <c r="R687" s="34"/>
      <c r="S687" s="34" t="s">
        <v>1023</v>
      </c>
      <c r="T687" s="34"/>
      <c r="U687" s="34" t="s">
        <v>94</v>
      </c>
      <c r="V687" s="34" t="s">
        <v>94</v>
      </c>
      <c r="W687" s="34" t="s">
        <v>35</v>
      </c>
      <c r="X687" s="34" t="s">
        <v>36</v>
      </c>
      <c r="Y687" s="153" t="s">
        <v>1024</v>
      </c>
    </row>
    <row r="688" spans="2:25">
      <c r="B688" s="16" t="s">
        <v>74</v>
      </c>
      <c r="C688" s="46" t="s">
        <v>1014</v>
      </c>
      <c r="D688" s="47">
        <v>46080</v>
      </c>
      <c r="F688" s="366" t="s">
        <v>492</v>
      </c>
      <c r="G688" s="39">
        <v>1142408</v>
      </c>
      <c r="H688" s="369" t="s">
        <v>1025</v>
      </c>
      <c r="I688" s="16"/>
      <c r="J688" s="39"/>
      <c r="N688" s="46"/>
      <c r="O688" s="39"/>
      <c r="P688" s="16"/>
      <c r="Q688" s="39"/>
      <c r="R688" s="34"/>
      <c r="S688" s="34"/>
      <c r="T688" s="34"/>
      <c r="U688" s="34"/>
      <c r="V688" s="34"/>
      <c r="W688" s="34"/>
      <c r="X688" s="34"/>
      <c r="Y688" s="34"/>
    </row>
    <row r="689" spans="2:25">
      <c r="B689" s="16" t="s">
        <v>74</v>
      </c>
      <c r="C689" s="46" t="s">
        <v>28</v>
      </c>
      <c r="D689" s="47">
        <v>46080</v>
      </c>
      <c r="F689" s="366" t="s">
        <v>41</v>
      </c>
      <c r="G689" s="39">
        <v>2141901</v>
      </c>
      <c r="H689" s="369" t="s">
        <v>1026</v>
      </c>
      <c r="I689" s="16"/>
      <c r="J689" s="39"/>
      <c r="N689" s="46"/>
      <c r="O689" s="39"/>
      <c r="P689" s="16"/>
      <c r="Q689" s="39"/>
      <c r="R689" s="34"/>
      <c r="S689" s="34"/>
      <c r="T689" s="34"/>
      <c r="U689" s="34"/>
      <c r="V689" s="34"/>
      <c r="W689" s="34"/>
      <c r="X689" s="34"/>
      <c r="Y689" s="34"/>
    </row>
    <row r="690" spans="2:25">
      <c r="B690" s="16" t="s">
        <v>74</v>
      </c>
      <c r="C690" s="46" t="s">
        <v>28</v>
      </c>
      <c r="D690" s="47">
        <v>46080</v>
      </c>
      <c r="F690" s="366" t="s">
        <v>64</v>
      </c>
      <c r="G690" s="39">
        <v>1527224</v>
      </c>
      <c r="H690" s="369" t="s">
        <v>881</v>
      </c>
      <c r="I690" s="16"/>
      <c r="J690" s="39"/>
      <c r="N690" s="46"/>
      <c r="O690" s="39"/>
      <c r="P690" s="16"/>
      <c r="Q690" s="39"/>
      <c r="R690" s="34"/>
      <c r="S690" s="34"/>
      <c r="T690" s="34"/>
      <c r="U690" s="34"/>
      <c r="V690" s="34"/>
      <c r="W690" s="34"/>
      <c r="X690" s="34"/>
      <c r="Y690" s="34"/>
    </row>
    <row r="691" spans="2:25">
      <c r="B691" s="16" t="s">
        <v>47</v>
      </c>
      <c r="C691" s="46" t="s">
        <v>28</v>
      </c>
      <c r="D691" s="47">
        <v>46087</v>
      </c>
      <c r="F691" s="367"/>
      <c r="G691" s="39"/>
      <c r="H691" s="368"/>
      <c r="I691" s="16"/>
      <c r="J691" s="39"/>
      <c r="N691" s="39" t="s">
        <v>48</v>
      </c>
      <c r="O691" s="39">
        <v>1461405</v>
      </c>
      <c r="P691" s="16" t="s">
        <v>1027</v>
      </c>
      <c r="Q691" s="39"/>
      <c r="R691" s="34"/>
      <c r="S691" s="34"/>
      <c r="T691" s="34"/>
      <c r="U691" s="34" t="s">
        <v>94</v>
      </c>
      <c r="V691" s="34" t="s">
        <v>94</v>
      </c>
      <c r="W691" s="34" t="s">
        <v>35</v>
      </c>
      <c r="X691" s="34" t="s">
        <v>36</v>
      </c>
      <c r="Y691" s="153" t="s">
        <v>1028</v>
      </c>
    </row>
    <row r="692" spans="2:25">
      <c r="B692" s="16" t="s">
        <v>74</v>
      </c>
      <c r="C692" s="46" t="s">
        <v>1014</v>
      </c>
      <c r="D692" s="47">
        <v>46087</v>
      </c>
      <c r="F692" s="22" t="s">
        <v>48</v>
      </c>
      <c r="G692" s="39">
        <v>1011036</v>
      </c>
      <c r="H692" s="368" t="s">
        <v>783</v>
      </c>
      <c r="I692" s="16"/>
      <c r="J692" s="39"/>
      <c r="N692" s="46"/>
      <c r="O692" s="39"/>
      <c r="P692" s="16"/>
      <c r="Q692" s="39"/>
      <c r="R692" s="34"/>
      <c r="S692" s="34"/>
      <c r="T692" s="34"/>
      <c r="U692" s="34"/>
      <c r="V692" s="34"/>
      <c r="W692" s="34"/>
      <c r="X692" s="34"/>
      <c r="Y692" s="34"/>
    </row>
    <row r="693" spans="2:25">
      <c r="B693" s="16" t="s">
        <v>74</v>
      </c>
      <c r="C693" s="46" t="s">
        <v>1014</v>
      </c>
      <c r="D693" s="47">
        <v>46087</v>
      </c>
      <c r="F693" s="22" t="s">
        <v>57</v>
      </c>
      <c r="G693" s="39">
        <v>1180848</v>
      </c>
      <c r="H693" s="368" t="s">
        <v>781</v>
      </c>
      <c r="I693" s="16"/>
      <c r="J693" s="39"/>
      <c r="N693" s="46"/>
      <c r="O693" s="39"/>
      <c r="P693" s="16"/>
      <c r="Q693" s="39"/>
      <c r="R693" s="34"/>
      <c r="S693" s="34"/>
      <c r="T693" s="34"/>
      <c r="U693" s="34"/>
      <c r="V693" s="34"/>
      <c r="W693" s="34"/>
      <c r="X693" s="34"/>
      <c r="Y693" s="34"/>
    </row>
    <row r="694" spans="2:25">
      <c r="B694" s="16" t="s">
        <v>74</v>
      </c>
      <c r="C694" s="46" t="s">
        <v>1014</v>
      </c>
      <c r="D694" s="47">
        <v>46087</v>
      </c>
      <c r="F694" s="22" t="s">
        <v>57</v>
      </c>
      <c r="G694" s="39">
        <v>1257235</v>
      </c>
      <c r="H694" s="368" t="s">
        <v>779</v>
      </c>
      <c r="I694" s="16"/>
      <c r="J694" s="39"/>
      <c r="N694" s="46"/>
      <c r="O694" s="39"/>
      <c r="P694" s="16"/>
      <c r="Q694" s="39"/>
      <c r="R694" s="34"/>
      <c r="S694" s="34"/>
      <c r="T694" s="34"/>
      <c r="U694" s="34"/>
      <c r="V694" s="34"/>
      <c r="W694" s="34"/>
      <c r="X694" s="34"/>
      <c r="Y694" s="34"/>
    </row>
    <row r="695" spans="2:25">
      <c r="B695" s="16" t="s">
        <v>74</v>
      </c>
      <c r="C695" s="46" t="s">
        <v>1014</v>
      </c>
      <c r="D695" s="47">
        <v>46094</v>
      </c>
      <c r="F695" s="22" t="s">
        <v>112</v>
      </c>
      <c r="G695" s="39">
        <v>37501</v>
      </c>
      <c r="H695" s="368" t="s">
        <v>1029</v>
      </c>
      <c r="I695" s="16"/>
      <c r="J695" s="39"/>
      <c r="N695" s="46"/>
      <c r="O695" s="39"/>
      <c r="P695" s="16"/>
      <c r="Q695" s="39"/>
      <c r="R695" s="34"/>
      <c r="S695" s="34"/>
      <c r="T695" s="34"/>
      <c r="U695" s="34"/>
      <c r="V695" s="34"/>
      <c r="W695" s="34"/>
      <c r="X695" s="34"/>
      <c r="Y695" s="34"/>
    </row>
    <row r="696" spans="2:25">
      <c r="B696" s="16" t="s">
        <v>47</v>
      </c>
      <c r="C696" s="123" t="s">
        <v>606</v>
      </c>
      <c r="D696" s="47">
        <v>46114</v>
      </c>
      <c r="F696" s="46"/>
      <c r="G696" s="39"/>
      <c r="H696" s="16"/>
      <c r="I696" s="16"/>
      <c r="J696" s="39"/>
      <c r="N696" s="91" t="s">
        <v>1030</v>
      </c>
      <c r="O696" s="91">
        <v>2295801</v>
      </c>
      <c r="P696" s="92" t="s">
        <v>1031</v>
      </c>
      <c r="Q696" s="39"/>
      <c r="R696" s="34"/>
      <c r="S696" s="34"/>
      <c r="T696" s="34"/>
      <c r="U696" s="162" t="s">
        <v>92</v>
      </c>
      <c r="V696" s="162" t="s">
        <v>92</v>
      </c>
      <c r="W696" s="162" t="s">
        <v>35</v>
      </c>
      <c r="X696" s="162" t="s">
        <v>102</v>
      </c>
      <c r="Y696" s="34"/>
    </row>
    <row r="697" spans="2:25">
      <c r="B697" s="16" t="s">
        <v>47</v>
      </c>
      <c r="C697" s="46" t="s">
        <v>28</v>
      </c>
      <c r="D697" s="47">
        <v>46114</v>
      </c>
      <c r="F697" s="46"/>
      <c r="G697" s="39"/>
      <c r="H697" s="16"/>
      <c r="I697" s="16"/>
      <c r="J697" s="39"/>
      <c r="N697" s="39" t="s">
        <v>1030</v>
      </c>
      <c r="O697" s="39">
        <v>2481201</v>
      </c>
      <c r="P697" s="16" t="s">
        <v>1032</v>
      </c>
      <c r="Q697" s="39"/>
      <c r="R697" s="34"/>
      <c r="S697" s="34"/>
      <c r="T697" s="34"/>
      <c r="U697" s="34" t="s">
        <v>94</v>
      </c>
      <c r="V697" s="34" t="s">
        <v>94</v>
      </c>
      <c r="W697" s="34" t="s">
        <v>35</v>
      </c>
      <c r="X697" s="34" t="s">
        <v>36</v>
      </c>
      <c r="Y697" s="34"/>
    </row>
    <row r="698" spans="2:25">
      <c r="B698" s="16" t="s">
        <v>47</v>
      </c>
      <c r="C698" s="46" t="s">
        <v>28</v>
      </c>
      <c r="D698" s="47">
        <v>46129</v>
      </c>
      <c r="F698" s="46"/>
      <c r="G698" s="39"/>
      <c r="H698" s="16"/>
      <c r="I698" s="16"/>
      <c r="J698" s="39"/>
      <c r="N698" s="39" t="s">
        <v>615</v>
      </c>
      <c r="O698" s="39">
        <v>2757308</v>
      </c>
      <c r="P698" s="16" t="s">
        <v>1033</v>
      </c>
      <c r="Q698" s="39"/>
      <c r="R698" s="34"/>
      <c r="S698" s="34"/>
      <c r="T698" s="34"/>
      <c r="U698" s="34" t="s">
        <v>94</v>
      </c>
      <c r="V698" s="34" t="s">
        <v>94</v>
      </c>
      <c r="W698" s="34" t="s">
        <v>35</v>
      </c>
      <c r="X698" s="34" t="s">
        <v>36</v>
      </c>
      <c r="Y698" s="34" t="s">
        <v>1034</v>
      </c>
    </row>
    <row r="699" spans="2:25">
      <c r="B699" s="16" t="s">
        <v>47</v>
      </c>
      <c r="C699" s="46" t="s">
        <v>28</v>
      </c>
      <c r="D699" s="47">
        <v>46129</v>
      </c>
      <c r="F699" s="46"/>
      <c r="G699" s="39"/>
      <c r="H699" s="16"/>
      <c r="I699" s="16"/>
      <c r="J699" s="39"/>
      <c r="N699" s="39" t="s">
        <v>615</v>
      </c>
      <c r="O699" s="39">
        <v>2463141</v>
      </c>
      <c r="P699" s="16" t="s">
        <v>1035</v>
      </c>
      <c r="Q699" s="39"/>
      <c r="R699" s="34"/>
      <c r="S699" s="34"/>
      <c r="T699" s="34"/>
      <c r="U699" s="34" t="s">
        <v>94</v>
      </c>
      <c r="V699" s="34" t="s">
        <v>94</v>
      </c>
      <c r="W699" s="34" t="s">
        <v>35</v>
      </c>
      <c r="X699" s="34" t="s">
        <v>36</v>
      </c>
      <c r="Y699" s="34" t="s">
        <v>1034</v>
      </c>
    </row>
    <row r="700" spans="2:25">
      <c r="B700" s="16" t="s">
        <v>74</v>
      </c>
      <c r="C700" s="46" t="s">
        <v>28</v>
      </c>
      <c r="D700" s="47">
        <v>46129</v>
      </c>
      <c r="F700" s="366" t="s">
        <v>1036</v>
      </c>
      <c r="G700" s="39">
        <v>1123278</v>
      </c>
      <c r="H700" s="369" t="s">
        <v>289</v>
      </c>
      <c r="I700" s="16"/>
      <c r="J700" s="39"/>
      <c r="N700" s="46"/>
      <c r="O700" s="39"/>
      <c r="P700" s="16"/>
      <c r="Q700" s="39"/>
      <c r="R700" s="34"/>
      <c r="S700" s="34"/>
      <c r="T700" s="34"/>
      <c r="U700" s="34"/>
      <c r="V700" s="34"/>
      <c r="W700" s="34"/>
      <c r="X700" s="34"/>
      <c r="Y700" s="34"/>
    </row>
    <row r="701" spans="2:25">
      <c r="B701" s="16" t="s">
        <v>74</v>
      </c>
      <c r="C701" s="423" t="s">
        <v>28</v>
      </c>
      <c r="D701" s="47">
        <v>46129</v>
      </c>
      <c r="F701" s="366" t="s">
        <v>492</v>
      </c>
      <c r="G701" s="39">
        <v>2631703</v>
      </c>
      <c r="H701" s="369" t="s">
        <v>785</v>
      </c>
      <c r="I701" s="16"/>
      <c r="J701" s="39"/>
      <c r="N701" s="46"/>
      <c r="O701" s="39"/>
      <c r="P701" s="16"/>
      <c r="Q701" s="39"/>
      <c r="R701" s="34"/>
      <c r="S701" s="34"/>
      <c r="T701" s="34"/>
      <c r="U701" s="34"/>
      <c r="V701" s="34"/>
      <c r="W701" s="34"/>
      <c r="X701" s="34"/>
      <c r="Y701" s="34"/>
    </row>
    <row r="702" spans="2:25">
      <c r="B702" s="16" t="s">
        <v>74</v>
      </c>
      <c r="C702" s="46" t="s">
        <v>28</v>
      </c>
      <c r="D702" s="47">
        <v>46142</v>
      </c>
      <c r="F702" s="366" t="s">
        <v>297</v>
      </c>
      <c r="G702" s="39">
        <v>250142</v>
      </c>
      <c r="H702" s="369" t="s">
        <v>1037</v>
      </c>
      <c r="I702" s="16"/>
      <c r="J702" s="39"/>
      <c r="N702" s="46"/>
      <c r="O702" s="39"/>
      <c r="P702" s="16"/>
      <c r="Q702" s="39"/>
      <c r="R702" s="34"/>
      <c r="S702" s="34"/>
      <c r="T702" s="34"/>
      <c r="U702" s="34"/>
      <c r="V702" s="34"/>
      <c r="W702" s="34"/>
      <c r="X702" s="34"/>
      <c r="Y702" s="34"/>
    </row>
    <row r="703" spans="2:25">
      <c r="B703" s="16" t="s">
        <v>74</v>
      </c>
      <c r="C703" s="46" t="s">
        <v>28</v>
      </c>
      <c r="D703" s="47">
        <v>46142</v>
      </c>
      <c r="F703" s="366" t="s">
        <v>69</v>
      </c>
      <c r="G703" s="39">
        <v>2648102</v>
      </c>
      <c r="H703" s="369" t="s">
        <v>1038</v>
      </c>
      <c r="I703" s="16"/>
      <c r="J703" s="39"/>
      <c r="N703" s="46"/>
      <c r="O703" s="39"/>
      <c r="P703" s="16"/>
      <c r="Q703" s="39"/>
      <c r="R703" s="34"/>
      <c r="S703" s="34"/>
      <c r="T703" s="34"/>
      <c r="U703" s="34"/>
      <c r="V703" s="34"/>
      <c r="W703" s="34"/>
      <c r="X703" s="34"/>
      <c r="Y703" s="34"/>
    </row>
    <row r="704" spans="2:25">
      <c r="B704" s="16" t="s">
        <v>47</v>
      </c>
      <c r="C704" s="46" t="s">
        <v>28</v>
      </c>
      <c r="D704" s="47">
        <v>46150</v>
      </c>
      <c r="F704" s="46"/>
      <c r="G704" s="39"/>
      <c r="H704" s="16"/>
      <c r="I704" s="16"/>
      <c r="J704" s="39"/>
      <c r="N704" s="106" t="s">
        <v>297</v>
      </c>
      <c r="O704" s="106">
        <v>279046</v>
      </c>
      <c r="P704" s="115" t="s">
        <v>1039</v>
      </c>
      <c r="Q704" s="39"/>
      <c r="R704" s="34"/>
      <c r="S704" s="34" t="s">
        <v>1000</v>
      </c>
      <c r="T704" s="34"/>
      <c r="U704" s="34" t="s">
        <v>94</v>
      </c>
      <c r="V704" s="34" t="s">
        <v>94</v>
      </c>
      <c r="W704" s="34" t="s">
        <v>35</v>
      </c>
      <c r="X704" s="34" t="s">
        <v>36</v>
      </c>
      <c r="Y704" s="34" t="s">
        <v>1040</v>
      </c>
    </row>
    <row r="705" spans="2:25">
      <c r="B705" s="16" t="s">
        <v>74</v>
      </c>
      <c r="C705" s="46" t="s">
        <v>28</v>
      </c>
      <c r="D705" s="47">
        <v>46150</v>
      </c>
      <c r="F705" s="366" t="s">
        <v>615</v>
      </c>
      <c r="G705" s="39">
        <v>2462629</v>
      </c>
      <c r="H705" s="16" t="s">
        <v>1041</v>
      </c>
      <c r="I705" s="16"/>
      <c r="J705" s="39"/>
      <c r="N705" s="46"/>
      <c r="O705" s="39"/>
      <c r="P705" s="16"/>
      <c r="Q705" s="39"/>
      <c r="R705" s="34"/>
      <c r="S705" s="34"/>
      <c r="T705" s="34"/>
      <c r="U705" s="34"/>
      <c r="V705" s="34"/>
      <c r="W705" s="34"/>
      <c r="X705" s="34"/>
      <c r="Y705" s="34"/>
    </row>
    <row r="706" spans="2:25">
      <c r="B706" s="16" t="s">
        <v>74</v>
      </c>
      <c r="C706" s="46" t="s">
        <v>1014</v>
      </c>
      <c r="D706" s="47">
        <v>46164</v>
      </c>
      <c r="F706" s="22" t="s">
        <v>112</v>
      </c>
      <c r="G706" s="39">
        <v>504801</v>
      </c>
      <c r="H706" s="16" t="s">
        <v>1042</v>
      </c>
      <c r="I706" s="16"/>
      <c r="J706" s="39"/>
      <c r="N706" s="46"/>
      <c r="O706" s="39"/>
      <c r="P706" s="16"/>
      <c r="Q706" s="39"/>
      <c r="R706" s="34"/>
      <c r="S706" s="34"/>
      <c r="T706" s="34"/>
      <c r="U706" s="34"/>
      <c r="V706" s="34"/>
      <c r="W706" s="34"/>
      <c r="X706" s="34"/>
      <c r="Y706" s="34"/>
    </row>
    <row r="707" spans="2:25">
      <c r="B707" s="16" t="s">
        <v>74</v>
      </c>
      <c r="C707" s="46" t="s">
        <v>1014</v>
      </c>
      <c r="D707" s="47">
        <v>46164</v>
      </c>
      <c r="F707" s="22" t="s">
        <v>112</v>
      </c>
      <c r="G707" s="39">
        <v>57902</v>
      </c>
      <c r="H707" s="16" t="s">
        <v>1043</v>
      </c>
      <c r="I707" s="16"/>
      <c r="J707" s="39"/>
      <c r="N707" s="46"/>
      <c r="O707" s="39"/>
      <c r="P707" s="16"/>
      <c r="Q707" s="39"/>
      <c r="R707" s="34"/>
      <c r="S707" s="34"/>
      <c r="T707" s="34"/>
      <c r="U707" s="34"/>
      <c r="V707" s="34"/>
      <c r="W707" s="34"/>
      <c r="X707" s="34"/>
      <c r="Y707" s="34"/>
    </row>
    <row r="708" spans="2:25">
      <c r="B708" s="16" t="s">
        <v>74</v>
      </c>
      <c r="C708" s="46" t="s">
        <v>1014</v>
      </c>
      <c r="D708" s="47">
        <v>46164</v>
      </c>
      <c r="F708" s="22" t="s">
        <v>48</v>
      </c>
      <c r="G708" s="39">
        <v>1963403</v>
      </c>
      <c r="H708" s="16" t="s">
        <v>771</v>
      </c>
      <c r="I708" s="16"/>
      <c r="J708" s="39"/>
      <c r="N708" s="46"/>
      <c r="O708" s="39"/>
      <c r="P708" s="16"/>
      <c r="Q708" s="39"/>
      <c r="R708" s="34"/>
      <c r="S708" s="34"/>
      <c r="T708" s="34"/>
      <c r="U708" s="34"/>
      <c r="V708" s="34"/>
      <c r="W708" s="34"/>
      <c r="X708" s="34"/>
      <c r="Y708" s="34"/>
    </row>
    <row r="709" spans="2:25">
      <c r="B709" s="16" t="s">
        <v>74</v>
      </c>
      <c r="C709" s="46" t="s">
        <v>1014</v>
      </c>
      <c r="D709" s="47">
        <v>46164</v>
      </c>
      <c r="F709" s="22" t="s">
        <v>48</v>
      </c>
      <c r="G709" s="39">
        <v>501326</v>
      </c>
      <c r="H709" s="16" t="s">
        <v>767</v>
      </c>
      <c r="I709" s="16"/>
      <c r="J709" s="39"/>
      <c r="N709" s="46"/>
      <c r="O709" s="39"/>
      <c r="P709" s="16"/>
      <c r="Q709" s="39"/>
      <c r="R709" s="34"/>
      <c r="S709" s="34"/>
      <c r="T709" s="34"/>
      <c r="U709" s="34"/>
      <c r="V709" s="34"/>
      <c r="W709" s="34"/>
      <c r="X709" s="34"/>
      <c r="Y709" s="34"/>
    </row>
    <row r="710" spans="2:25">
      <c r="B710" s="16" t="s">
        <v>74</v>
      </c>
      <c r="C710" s="46" t="s">
        <v>1014</v>
      </c>
      <c r="D710" s="47">
        <v>46164</v>
      </c>
      <c r="F710" s="22" t="s">
        <v>48</v>
      </c>
      <c r="G710" s="39">
        <v>16209</v>
      </c>
      <c r="H710" s="16" t="s">
        <v>1044</v>
      </c>
      <c r="I710" s="16"/>
      <c r="J710" s="39"/>
      <c r="N710" s="46"/>
      <c r="O710" s="39"/>
      <c r="P710" s="16"/>
      <c r="Q710" s="39"/>
      <c r="R710" s="34"/>
      <c r="S710" s="34"/>
      <c r="T710" s="34"/>
      <c r="U710" s="34"/>
      <c r="V710" s="34"/>
      <c r="W710" s="34"/>
      <c r="X710" s="34"/>
      <c r="Y710" s="34"/>
    </row>
    <row r="711" spans="2:25">
      <c r="B711" s="16" t="s">
        <v>74</v>
      </c>
      <c r="C711" s="46" t="s">
        <v>1014</v>
      </c>
      <c r="D711" s="47">
        <v>46185</v>
      </c>
      <c r="F711" s="22" t="s">
        <v>41</v>
      </c>
      <c r="G711" s="39">
        <v>2450401</v>
      </c>
      <c r="H711" s="16" t="s">
        <v>1045</v>
      </c>
      <c r="I711" s="16"/>
      <c r="J711" s="39"/>
      <c r="N711" s="46"/>
      <c r="O711" s="39"/>
      <c r="P711" s="16"/>
      <c r="Q711" s="39"/>
      <c r="R711" s="34"/>
      <c r="S711" s="34"/>
      <c r="T711" s="34"/>
      <c r="U711" s="34"/>
      <c r="V711" s="34"/>
      <c r="W711" s="34"/>
      <c r="X711" s="34"/>
      <c r="Y711" s="34"/>
    </row>
    <row r="712" spans="2:25">
      <c r="B712" s="16" t="s">
        <v>74</v>
      </c>
      <c r="C712" s="46" t="s">
        <v>1014</v>
      </c>
      <c r="D712" s="47">
        <v>46185</v>
      </c>
      <c r="F712" s="22" t="s">
        <v>64</v>
      </c>
      <c r="G712" s="39">
        <v>2431907</v>
      </c>
      <c r="H712" s="16" t="s">
        <v>1046</v>
      </c>
      <c r="I712" s="16"/>
      <c r="J712" s="39"/>
      <c r="N712" s="46"/>
      <c r="O712" s="39"/>
      <c r="P712" s="16"/>
      <c r="Q712" s="39"/>
      <c r="R712" s="34"/>
      <c r="S712" s="34"/>
      <c r="T712" s="34"/>
      <c r="U712" s="34"/>
      <c r="V712" s="34"/>
      <c r="W712" s="34"/>
      <c r="X712" s="34"/>
      <c r="Y712" s="34"/>
    </row>
    <row r="1047955" spans="2:2">
      <c r="B1047955" s="16"/>
    </row>
  </sheetData>
  <conditionalFormatting sqref="B3:B71 B102:B1048576">
    <cfRule type="beginsWith" dxfId="123" priority="533" operator="beginsWith" text="Abtausch">
      <formula>LEFT(B3,8)="Abtausch"</formula>
    </cfRule>
    <cfRule type="beginsWith" dxfId="122" priority="534" operator="beginsWith" text="Auslistung">
      <formula>LEFT(B3,10)="Auslistung"</formula>
    </cfRule>
    <cfRule type="beginsWith" dxfId="121" priority="535" operator="beginsWith" text="Listung">
      <formula>LEFT(B3,7)="Listung"</formula>
    </cfRule>
  </conditionalFormatting>
  <conditionalFormatting sqref="B71:B80">
    <cfRule type="beginsWith" dxfId="120" priority="506" operator="beginsWith" text="Abtausch">
      <formula>LEFT(B71,8)="Abtausch"</formula>
    </cfRule>
    <cfRule type="beginsWith" dxfId="119" priority="507" operator="beginsWith" text="Auslistung">
      <formula>LEFT(B71,10)="Auslistung"</formula>
    </cfRule>
    <cfRule type="beginsWith" dxfId="118" priority="508" operator="beginsWith" text="Listung">
      <formula>LEFT(B71,7)="Listung"</formula>
    </cfRule>
  </conditionalFormatting>
  <conditionalFormatting sqref="B78:B86">
    <cfRule type="beginsWith" dxfId="117" priority="500" operator="beginsWith" text="Abtausch">
      <formula>LEFT(B78,8)="Abtausch"</formula>
    </cfRule>
    <cfRule type="beginsWith" dxfId="116" priority="501" operator="beginsWith" text="Auslistung">
      <formula>LEFT(B78,10)="Auslistung"</formula>
    </cfRule>
    <cfRule type="beginsWith" dxfId="115" priority="502" operator="beginsWith" text="Listung">
      <formula>LEFT(B78,7)="Listung"</formula>
    </cfRule>
  </conditionalFormatting>
  <conditionalFormatting sqref="B81:B112">
    <cfRule type="beginsWith" dxfId="114" priority="449" operator="beginsWith" text="Abtausch">
      <formula>LEFT(B81,8)="Abtausch"</formula>
    </cfRule>
    <cfRule type="beginsWith" dxfId="113" priority="450" operator="beginsWith" text="Auslistung">
      <formula>LEFT(B81,10)="Auslistung"</formula>
    </cfRule>
    <cfRule type="beginsWith" dxfId="112" priority="451" operator="beginsWith" text="Listung">
      <formula>LEFT(B81,7)="Listung"</formula>
    </cfRule>
  </conditionalFormatting>
  <conditionalFormatting sqref="B578:C578">
    <cfRule type="duplicateValues" dxfId="11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U935"/>
  <sheetViews>
    <sheetView showGridLines="0" topLeftCell="A904" zoomScale="86" zoomScaleNormal="86" workbookViewId="0">
      <selection activeCell="B935" sqref="B935"/>
    </sheetView>
  </sheetViews>
  <sheetFormatPr defaultColWidth="9.28515625" defaultRowHeight="15" outlineLevelCol="1"/>
  <cols>
    <col min="1" max="1" width="2.28515625" customWidth="1"/>
    <col min="2" max="2" width="10.28515625" bestFit="1" customWidth="1"/>
    <col min="3" max="3" width="7.42578125" customWidth="1"/>
    <col min="4" max="4" width="14.7109375" customWidth="1" outlineLevel="1"/>
    <col min="5" max="5" width="3.28515625" customWidth="1"/>
    <col min="6" max="6" width="10.85546875" style="18" customWidth="1" outlineLevel="1"/>
    <col min="7" max="7" width="67.42578125" bestFit="1" customWidth="1" outlineLevel="1"/>
    <col min="8" max="8" width="26.7109375" style="18" customWidth="1" outlineLevel="1"/>
    <col min="9" max="9" width="11.28515625" style="18" customWidth="1" outlineLevel="1"/>
    <col min="10" max="10" width="17" customWidth="1"/>
    <col min="11" max="11" width="12.28515625" customWidth="1"/>
    <col min="12" max="12" width="51.28515625" customWidth="1"/>
    <col min="13" max="13" width="8.28515625" style="18" customWidth="1" outlineLevel="1"/>
    <col min="14" max="16" width="16.7109375" style="18" customWidth="1" outlineLevel="1"/>
    <col min="17" max="20" width="14.7109375" style="18" customWidth="1" outlineLevel="1"/>
    <col min="21" max="21" width="52.7109375" style="18" bestFit="1" customWidth="1"/>
    <col min="22" max="22" width="19.7109375" customWidth="1"/>
  </cols>
  <sheetData>
    <row r="1" spans="2:21" s="60" customFormat="1" ht="27" thickBot="1">
      <c r="B1" s="59" t="s">
        <v>0</v>
      </c>
      <c r="F1" s="61" t="s">
        <v>1</v>
      </c>
      <c r="H1" s="61"/>
      <c r="I1" s="61"/>
      <c r="K1" s="62" t="s">
        <v>2</v>
      </c>
      <c r="M1" s="61"/>
      <c r="N1" s="61"/>
      <c r="O1" s="61"/>
      <c r="P1" s="61"/>
      <c r="Q1" s="61"/>
      <c r="R1" s="61"/>
      <c r="S1" s="61"/>
      <c r="T1" s="61"/>
      <c r="U1" s="61"/>
    </row>
    <row r="2" spans="2:21" s="65" customFormat="1" ht="45">
      <c r="B2" s="63" t="s">
        <v>3</v>
      </c>
      <c r="C2" s="64" t="s">
        <v>4</v>
      </c>
      <c r="D2" s="63" t="s">
        <v>5</v>
      </c>
      <c r="F2" s="63" t="s">
        <v>7</v>
      </c>
      <c r="G2" s="66" t="s">
        <v>8</v>
      </c>
      <c r="H2" s="67" t="s">
        <v>11</v>
      </c>
      <c r="I2" s="67" t="s">
        <v>12</v>
      </c>
      <c r="K2" s="63" t="s">
        <v>7</v>
      </c>
      <c r="L2" s="66" t="s">
        <v>8</v>
      </c>
      <c r="M2" s="68" t="s">
        <v>10</v>
      </c>
      <c r="N2" s="67" t="s">
        <v>13</v>
      </c>
      <c r="O2" s="67" t="s">
        <v>14</v>
      </c>
      <c r="P2" s="67" t="s">
        <v>15</v>
      </c>
      <c r="Q2" s="67" t="s">
        <v>1047</v>
      </c>
      <c r="R2" s="67" t="s">
        <v>1048</v>
      </c>
      <c r="S2" s="69" t="s">
        <v>18</v>
      </c>
      <c r="T2" s="67" t="s">
        <v>19</v>
      </c>
      <c r="U2" s="67" t="s">
        <v>20</v>
      </c>
    </row>
    <row r="3" spans="2:21" s="65" customFormat="1" ht="15.75" thickBot="1">
      <c r="B3" s="70"/>
      <c r="C3" s="71"/>
      <c r="D3" s="71"/>
      <c r="F3" s="70"/>
      <c r="G3" s="71"/>
      <c r="H3" s="72" t="s">
        <v>22</v>
      </c>
      <c r="I3" s="73" t="s">
        <v>23</v>
      </c>
      <c r="K3" s="70"/>
      <c r="L3" s="71"/>
      <c r="M3" s="71" t="s">
        <v>21</v>
      </c>
      <c r="N3" s="74" t="s">
        <v>24</v>
      </c>
      <c r="O3" s="72" t="s">
        <v>25</v>
      </c>
      <c r="P3" s="73" t="s">
        <v>23</v>
      </c>
      <c r="Q3" s="75" t="s">
        <v>26</v>
      </c>
      <c r="R3" s="75" t="s">
        <v>26</v>
      </c>
      <c r="S3" s="75" t="s">
        <v>26</v>
      </c>
      <c r="T3" s="75" t="s">
        <v>26</v>
      </c>
      <c r="U3" s="76"/>
    </row>
    <row r="4" spans="2:21">
      <c r="B4" s="21" t="s">
        <v>47</v>
      </c>
      <c r="C4" s="31" t="s">
        <v>28</v>
      </c>
      <c r="D4" s="47">
        <v>43413</v>
      </c>
      <c r="F4" s="34"/>
      <c r="G4" s="46"/>
      <c r="H4" s="34"/>
      <c r="I4" s="34"/>
      <c r="K4" s="22">
        <v>1968701</v>
      </c>
      <c r="L4" s="16" t="s">
        <v>1049</v>
      </c>
      <c r="M4" s="22" t="s">
        <v>31</v>
      </c>
      <c r="N4" s="34"/>
      <c r="O4" s="34"/>
      <c r="P4" s="34"/>
      <c r="Q4" s="28" t="s">
        <v>33</v>
      </c>
      <c r="R4" s="40" t="s">
        <v>94</v>
      </c>
      <c r="S4" s="28" t="s">
        <v>35</v>
      </c>
      <c r="T4" s="40" t="s">
        <v>36</v>
      </c>
      <c r="U4" s="34" t="s">
        <v>1050</v>
      </c>
    </row>
    <row r="5" spans="2:21">
      <c r="B5" s="21" t="s">
        <v>47</v>
      </c>
      <c r="C5" s="31" t="s">
        <v>28</v>
      </c>
      <c r="D5" s="47">
        <v>43469</v>
      </c>
      <c r="F5" s="34"/>
      <c r="G5" s="46"/>
      <c r="H5" s="34"/>
      <c r="I5" s="34"/>
      <c r="K5" s="22">
        <v>1973001</v>
      </c>
      <c r="L5" s="16" t="s">
        <v>1051</v>
      </c>
      <c r="M5" s="22" t="s">
        <v>31</v>
      </c>
      <c r="N5" s="34"/>
      <c r="O5" s="34"/>
      <c r="P5" s="34"/>
      <c r="Q5" s="28" t="s">
        <v>33</v>
      </c>
      <c r="R5" s="40" t="s">
        <v>94</v>
      </c>
      <c r="S5" s="28" t="s">
        <v>35</v>
      </c>
      <c r="T5" s="40" t="s">
        <v>36</v>
      </c>
      <c r="U5" s="34"/>
    </row>
    <row r="6" spans="2:21">
      <c r="B6" s="21" t="s">
        <v>47</v>
      </c>
      <c r="C6" s="31" t="s">
        <v>28</v>
      </c>
      <c r="D6" s="47">
        <v>43469</v>
      </c>
      <c r="F6" s="34"/>
      <c r="G6" s="46"/>
      <c r="H6" s="34"/>
      <c r="I6" s="34"/>
      <c r="K6" s="22">
        <v>1973002</v>
      </c>
      <c r="L6" s="16" t="s">
        <v>1052</v>
      </c>
      <c r="M6" s="22" t="s">
        <v>31</v>
      </c>
      <c r="N6" s="34"/>
      <c r="O6" s="34"/>
      <c r="P6" s="34"/>
      <c r="Q6" s="28" t="s">
        <v>33</v>
      </c>
      <c r="R6" s="40" t="s">
        <v>94</v>
      </c>
      <c r="S6" s="28" t="s">
        <v>35</v>
      </c>
      <c r="T6" s="40" t="s">
        <v>36</v>
      </c>
      <c r="U6" s="34"/>
    </row>
    <row r="7" spans="2:21">
      <c r="B7" s="21" t="s">
        <v>47</v>
      </c>
      <c r="C7" s="31" t="s">
        <v>28</v>
      </c>
      <c r="D7" s="47">
        <v>43469</v>
      </c>
      <c r="F7" s="34"/>
      <c r="G7" s="46"/>
      <c r="H7" s="34"/>
      <c r="I7" s="34"/>
      <c r="K7" s="22">
        <v>1977001</v>
      </c>
      <c r="L7" s="16" t="s">
        <v>1053</v>
      </c>
      <c r="M7" s="22" t="s">
        <v>31</v>
      </c>
      <c r="N7" s="34"/>
      <c r="O7" s="34"/>
      <c r="P7" s="34"/>
      <c r="Q7" s="28" t="s">
        <v>33</v>
      </c>
      <c r="R7" s="40" t="s">
        <v>94</v>
      </c>
      <c r="S7" s="28" t="s">
        <v>35</v>
      </c>
      <c r="T7" s="40" t="s">
        <v>36</v>
      </c>
      <c r="U7" s="34"/>
    </row>
    <row r="8" spans="2:21">
      <c r="B8" s="21" t="s">
        <v>47</v>
      </c>
      <c r="C8" s="31" t="s">
        <v>28</v>
      </c>
      <c r="D8" s="47">
        <v>43469</v>
      </c>
      <c r="F8" s="34"/>
      <c r="G8" s="46"/>
      <c r="H8" s="34"/>
      <c r="I8" s="34"/>
      <c r="K8" s="22">
        <v>1977002</v>
      </c>
      <c r="L8" s="16" t="s">
        <v>1054</v>
      </c>
      <c r="M8" s="22" t="s">
        <v>31</v>
      </c>
      <c r="N8" s="34"/>
      <c r="O8" s="34"/>
      <c r="P8" s="34"/>
      <c r="Q8" s="28" t="s">
        <v>33</v>
      </c>
      <c r="R8" s="40" t="s">
        <v>94</v>
      </c>
      <c r="S8" s="28" t="s">
        <v>35</v>
      </c>
      <c r="T8" s="40" t="s">
        <v>36</v>
      </c>
      <c r="U8" s="34"/>
    </row>
    <row r="9" spans="2:21">
      <c r="B9" s="21" t="s">
        <v>47</v>
      </c>
      <c r="C9" s="31" t="s">
        <v>28</v>
      </c>
      <c r="D9" s="47">
        <v>43469</v>
      </c>
      <c r="F9" s="34"/>
      <c r="G9" s="46"/>
      <c r="H9" s="34"/>
      <c r="I9" s="34"/>
      <c r="K9" s="22">
        <v>1639212</v>
      </c>
      <c r="L9" s="16" t="s">
        <v>1055</v>
      </c>
      <c r="M9" s="22" t="s">
        <v>31</v>
      </c>
      <c r="N9" s="34"/>
      <c r="O9" s="34"/>
      <c r="P9" s="34"/>
      <c r="Q9" s="28" t="s">
        <v>33</v>
      </c>
      <c r="R9" s="40" t="s">
        <v>94</v>
      </c>
      <c r="S9" s="28" t="s">
        <v>35</v>
      </c>
      <c r="T9" s="40" t="s">
        <v>36</v>
      </c>
      <c r="U9" s="34"/>
    </row>
    <row r="10" spans="2:21">
      <c r="B10" s="21" t="s">
        <v>47</v>
      </c>
      <c r="C10" s="31" t="s">
        <v>28</v>
      </c>
      <c r="D10" s="47">
        <v>43469</v>
      </c>
      <c r="F10" s="34"/>
      <c r="G10" s="46"/>
      <c r="H10" s="34"/>
      <c r="I10" s="34"/>
      <c r="K10" s="22">
        <v>1463215</v>
      </c>
      <c r="L10" s="16" t="s">
        <v>1056</v>
      </c>
      <c r="M10" s="22" t="s">
        <v>31</v>
      </c>
      <c r="N10" s="34"/>
      <c r="O10" s="34"/>
      <c r="P10" s="34"/>
      <c r="Q10" s="28" t="s">
        <v>33</v>
      </c>
      <c r="R10" s="40" t="s">
        <v>94</v>
      </c>
      <c r="S10" s="28" t="s">
        <v>35</v>
      </c>
      <c r="T10" s="40" t="s">
        <v>36</v>
      </c>
      <c r="U10" s="34"/>
    </row>
    <row r="11" spans="2:21">
      <c r="B11" s="21" t="s">
        <v>47</v>
      </c>
      <c r="C11" s="31" t="s">
        <v>28</v>
      </c>
      <c r="D11" s="47">
        <v>43469</v>
      </c>
      <c r="F11" s="34"/>
      <c r="G11" s="46"/>
      <c r="H11" s="34"/>
      <c r="I11" s="34"/>
      <c r="K11" s="22">
        <v>1639214</v>
      </c>
      <c r="L11" s="16" t="s">
        <v>1057</v>
      </c>
      <c r="M11" s="22" t="s">
        <v>31</v>
      </c>
      <c r="N11" s="34"/>
      <c r="O11" s="34"/>
      <c r="P11" s="34"/>
      <c r="Q11" s="28" t="s">
        <v>33</v>
      </c>
      <c r="R11" s="40" t="s">
        <v>94</v>
      </c>
      <c r="S11" s="28" t="s">
        <v>35</v>
      </c>
      <c r="T11" s="40" t="s">
        <v>36</v>
      </c>
      <c r="U11" s="34"/>
    </row>
    <row r="12" spans="2:21">
      <c r="B12" s="21" t="s">
        <v>47</v>
      </c>
      <c r="C12" s="31" t="s">
        <v>28</v>
      </c>
      <c r="D12" s="47">
        <v>43469</v>
      </c>
      <c r="F12" s="34"/>
      <c r="G12" s="46"/>
      <c r="H12" s="34"/>
      <c r="I12" s="34"/>
      <c r="K12" s="22">
        <v>1639213</v>
      </c>
      <c r="L12" s="16" t="s">
        <v>1058</v>
      </c>
      <c r="M12" s="22" t="s">
        <v>31</v>
      </c>
      <c r="N12" s="34"/>
      <c r="O12" s="34"/>
      <c r="P12" s="34"/>
      <c r="Q12" s="28" t="s">
        <v>33</v>
      </c>
      <c r="R12" s="40" t="s">
        <v>94</v>
      </c>
      <c r="S12" s="28" t="s">
        <v>35</v>
      </c>
      <c r="T12" s="40" t="s">
        <v>36</v>
      </c>
      <c r="U12" s="34"/>
    </row>
    <row r="13" spans="2:21">
      <c r="B13" s="21" t="s">
        <v>47</v>
      </c>
      <c r="C13" s="31" t="s">
        <v>28</v>
      </c>
      <c r="D13" s="47">
        <v>43469</v>
      </c>
      <c r="F13" s="34"/>
      <c r="G13" s="46"/>
      <c r="H13" s="34"/>
      <c r="I13" s="34"/>
      <c r="K13" s="22">
        <v>1463216</v>
      </c>
      <c r="L13" s="16" t="s">
        <v>1059</v>
      </c>
      <c r="M13" s="22" t="s">
        <v>31</v>
      </c>
      <c r="N13" s="34"/>
      <c r="O13" s="34"/>
      <c r="P13" s="34"/>
      <c r="Q13" s="28" t="s">
        <v>33</v>
      </c>
      <c r="R13" s="40" t="s">
        <v>94</v>
      </c>
      <c r="S13" s="28" t="s">
        <v>35</v>
      </c>
      <c r="T13" s="40" t="s">
        <v>36</v>
      </c>
      <c r="U13" s="34"/>
    </row>
    <row r="14" spans="2:21">
      <c r="B14" s="21" t="s">
        <v>47</v>
      </c>
      <c r="C14" s="31" t="s">
        <v>28</v>
      </c>
      <c r="D14" s="47">
        <v>43469</v>
      </c>
      <c r="F14" s="34"/>
      <c r="G14" s="46"/>
      <c r="H14" s="34"/>
      <c r="I14" s="34"/>
      <c r="K14" s="22">
        <v>1639215</v>
      </c>
      <c r="L14" s="16" t="s">
        <v>1060</v>
      </c>
      <c r="M14" s="22" t="s">
        <v>31</v>
      </c>
      <c r="N14" s="34"/>
      <c r="O14" s="34"/>
      <c r="P14" s="34"/>
      <c r="Q14" s="28" t="s">
        <v>33</v>
      </c>
      <c r="R14" s="40" t="s">
        <v>94</v>
      </c>
      <c r="S14" s="28" t="s">
        <v>35</v>
      </c>
      <c r="T14" s="40" t="s">
        <v>36</v>
      </c>
      <c r="U14" s="34"/>
    </row>
    <row r="15" spans="2:21">
      <c r="B15" s="21" t="s">
        <v>47</v>
      </c>
      <c r="C15" s="31" t="s">
        <v>28</v>
      </c>
      <c r="D15" s="47">
        <v>43469</v>
      </c>
      <c r="F15" s="34"/>
      <c r="G15" s="46"/>
      <c r="H15" s="34"/>
      <c r="I15" s="34"/>
      <c r="K15" s="22">
        <v>1788804</v>
      </c>
      <c r="L15" s="16" t="s">
        <v>1061</v>
      </c>
      <c r="M15" s="22" t="s">
        <v>31</v>
      </c>
      <c r="N15" s="34"/>
      <c r="O15" s="34"/>
      <c r="P15" s="34"/>
      <c r="Q15" s="28" t="s">
        <v>33</v>
      </c>
      <c r="R15" s="40" t="s">
        <v>94</v>
      </c>
      <c r="S15" s="28" t="s">
        <v>35</v>
      </c>
      <c r="T15" s="40" t="s">
        <v>36</v>
      </c>
      <c r="U15" s="34"/>
    </row>
    <row r="16" spans="2:21">
      <c r="B16" s="21" t="s">
        <v>47</v>
      </c>
      <c r="C16" s="31" t="s">
        <v>28</v>
      </c>
      <c r="D16" s="47">
        <v>43469</v>
      </c>
      <c r="F16" s="34"/>
      <c r="G16" s="46"/>
      <c r="H16" s="34"/>
      <c r="I16" s="34"/>
      <c r="K16" s="22">
        <v>1779505</v>
      </c>
      <c r="L16" s="16" t="s">
        <v>1062</v>
      </c>
      <c r="M16" s="22" t="s">
        <v>31</v>
      </c>
      <c r="N16" s="34"/>
      <c r="O16" s="34"/>
      <c r="P16" s="34"/>
      <c r="Q16" s="28" t="s">
        <v>33</v>
      </c>
      <c r="R16" s="40" t="s">
        <v>94</v>
      </c>
      <c r="S16" s="28" t="s">
        <v>35</v>
      </c>
      <c r="T16" s="40" t="s">
        <v>36</v>
      </c>
      <c r="U16" s="34"/>
    </row>
    <row r="17" spans="2:21">
      <c r="B17" s="21" t="s">
        <v>47</v>
      </c>
      <c r="C17" s="31" t="s">
        <v>28</v>
      </c>
      <c r="D17" s="47">
        <v>43469</v>
      </c>
      <c r="F17" s="34"/>
      <c r="G17" s="46"/>
      <c r="H17" s="34"/>
      <c r="I17" s="34"/>
      <c r="K17" s="22">
        <v>1779504</v>
      </c>
      <c r="L17" s="16" t="s">
        <v>1063</v>
      </c>
      <c r="M17" s="22" t="s">
        <v>31</v>
      </c>
      <c r="N17" s="34"/>
      <c r="O17" s="34"/>
      <c r="P17" s="34"/>
      <c r="Q17" s="28" t="s">
        <v>33</v>
      </c>
      <c r="R17" s="40" t="s">
        <v>94</v>
      </c>
      <c r="S17" s="28" t="s">
        <v>35</v>
      </c>
      <c r="T17" s="40" t="s">
        <v>36</v>
      </c>
      <c r="U17" s="34"/>
    </row>
    <row r="18" spans="2:21">
      <c r="B18" s="21" t="s">
        <v>47</v>
      </c>
      <c r="C18" s="31" t="s">
        <v>28</v>
      </c>
      <c r="D18" s="47">
        <v>43469</v>
      </c>
      <c r="F18" s="34"/>
      <c r="G18" s="46"/>
      <c r="H18" s="34"/>
      <c r="I18" s="34"/>
      <c r="K18" s="22">
        <v>1788805</v>
      </c>
      <c r="L18" s="16" t="s">
        <v>1064</v>
      </c>
      <c r="M18" s="22" t="s">
        <v>31</v>
      </c>
      <c r="N18" s="34"/>
      <c r="O18" s="34"/>
      <c r="P18" s="34"/>
      <c r="Q18" s="28" t="s">
        <v>33</v>
      </c>
      <c r="R18" s="40" t="s">
        <v>94</v>
      </c>
      <c r="S18" s="28" t="s">
        <v>35</v>
      </c>
      <c r="T18" s="40" t="s">
        <v>36</v>
      </c>
      <c r="U18" s="34"/>
    </row>
    <row r="19" spans="2:21">
      <c r="B19" s="21" t="s">
        <v>47</v>
      </c>
      <c r="C19" s="31" t="s">
        <v>28</v>
      </c>
      <c r="D19" s="47">
        <v>43469</v>
      </c>
      <c r="F19" s="34"/>
      <c r="G19" s="46"/>
      <c r="H19" s="34"/>
      <c r="I19" s="34"/>
      <c r="K19" s="22">
        <v>1985602</v>
      </c>
      <c r="L19" s="16" t="s">
        <v>1065</v>
      </c>
      <c r="M19" s="22" t="s">
        <v>31</v>
      </c>
      <c r="N19" s="34"/>
      <c r="O19" s="34"/>
      <c r="P19" s="34"/>
      <c r="Q19" s="28" t="s">
        <v>33</v>
      </c>
      <c r="R19" s="40" t="s">
        <v>94</v>
      </c>
      <c r="S19" s="28" t="s">
        <v>35</v>
      </c>
      <c r="T19" s="40" t="s">
        <v>36</v>
      </c>
      <c r="U19" s="34"/>
    </row>
    <row r="20" spans="2:21">
      <c r="B20" s="21" t="s">
        <v>47</v>
      </c>
      <c r="C20" s="31" t="s">
        <v>28</v>
      </c>
      <c r="D20" s="47">
        <v>43469</v>
      </c>
      <c r="F20" s="34"/>
      <c r="G20" s="46"/>
      <c r="H20" s="34"/>
      <c r="I20" s="34"/>
      <c r="K20" s="22">
        <v>1985601</v>
      </c>
      <c r="L20" s="16" t="s">
        <v>1066</v>
      </c>
      <c r="M20" s="22" t="s">
        <v>31</v>
      </c>
      <c r="N20" s="34"/>
      <c r="O20" s="34"/>
      <c r="P20" s="34"/>
      <c r="Q20" s="28" t="s">
        <v>33</v>
      </c>
      <c r="R20" s="40" t="s">
        <v>94</v>
      </c>
      <c r="S20" s="28" t="s">
        <v>35</v>
      </c>
      <c r="T20" s="40" t="s">
        <v>36</v>
      </c>
      <c r="U20" s="34"/>
    </row>
    <row r="21" spans="2:21">
      <c r="B21" s="21" t="s">
        <v>47</v>
      </c>
      <c r="C21" s="31" t="s">
        <v>28</v>
      </c>
      <c r="D21" s="47">
        <v>43504</v>
      </c>
      <c r="F21" s="34"/>
      <c r="G21" s="46"/>
      <c r="H21" s="34"/>
      <c r="I21" s="34"/>
      <c r="K21" s="22">
        <v>2003502</v>
      </c>
      <c r="L21" s="16" t="s">
        <v>1067</v>
      </c>
      <c r="M21" s="22" t="s">
        <v>31</v>
      </c>
      <c r="N21" s="34"/>
      <c r="O21" s="34"/>
      <c r="P21" s="34"/>
      <c r="Q21" s="28" t="s">
        <v>33</v>
      </c>
      <c r="R21" s="40" t="s">
        <v>94</v>
      </c>
      <c r="S21" s="28" t="s">
        <v>35</v>
      </c>
      <c r="T21" s="40" t="s">
        <v>36</v>
      </c>
      <c r="U21" s="34"/>
    </row>
    <row r="22" spans="2:21">
      <c r="B22" s="21" t="s">
        <v>47</v>
      </c>
      <c r="C22" s="31" t="s">
        <v>28</v>
      </c>
      <c r="D22" s="47">
        <v>43504</v>
      </c>
      <c r="F22" s="34"/>
      <c r="G22" s="46"/>
      <c r="H22" s="34"/>
      <c r="I22" s="34"/>
      <c r="K22" s="22">
        <v>2003501</v>
      </c>
      <c r="L22" s="16" t="s">
        <v>1068</v>
      </c>
      <c r="M22" s="22" t="s">
        <v>31</v>
      </c>
      <c r="N22" s="34"/>
      <c r="O22" s="34"/>
      <c r="P22" s="34"/>
      <c r="Q22" s="28" t="s">
        <v>33</v>
      </c>
      <c r="R22" s="40" t="s">
        <v>94</v>
      </c>
      <c r="S22" s="28" t="s">
        <v>35</v>
      </c>
      <c r="T22" s="40" t="s">
        <v>36</v>
      </c>
      <c r="U22" s="34"/>
    </row>
    <row r="23" spans="2:21">
      <c r="B23" s="21" t="s">
        <v>47</v>
      </c>
      <c r="C23" s="31" t="s">
        <v>28</v>
      </c>
      <c r="D23" s="47">
        <v>43504</v>
      </c>
      <c r="F23" s="34"/>
      <c r="G23" s="46"/>
      <c r="H23" s="34"/>
      <c r="I23" s="34"/>
      <c r="K23" s="22">
        <v>2000501</v>
      </c>
      <c r="L23" s="16" t="s">
        <v>1069</v>
      </c>
      <c r="M23" s="22" t="s">
        <v>31</v>
      </c>
      <c r="N23" s="34"/>
      <c r="O23" s="34"/>
      <c r="P23" s="34"/>
      <c r="Q23" s="28" t="s">
        <v>33</v>
      </c>
      <c r="R23" s="40" t="s">
        <v>94</v>
      </c>
      <c r="S23" s="28" t="s">
        <v>35</v>
      </c>
      <c r="T23" s="40" t="s">
        <v>36</v>
      </c>
      <c r="U23" s="34" t="s">
        <v>1070</v>
      </c>
    </row>
    <row r="24" spans="2:21">
      <c r="B24" s="21" t="s">
        <v>47</v>
      </c>
      <c r="C24" s="31" t="s">
        <v>28</v>
      </c>
      <c r="D24" s="47">
        <v>43504</v>
      </c>
      <c r="F24" s="34"/>
      <c r="G24" s="46"/>
      <c r="H24" s="34"/>
      <c r="I24" s="34"/>
      <c r="K24" s="22">
        <v>2000502</v>
      </c>
      <c r="L24" s="16" t="s">
        <v>1071</v>
      </c>
      <c r="M24" s="22" t="s">
        <v>31</v>
      </c>
      <c r="N24" s="34"/>
      <c r="O24" s="34"/>
      <c r="P24" s="34"/>
      <c r="Q24" s="28" t="s">
        <v>33</v>
      </c>
      <c r="R24" s="40" t="s">
        <v>94</v>
      </c>
      <c r="S24" s="28" t="s">
        <v>35</v>
      </c>
      <c r="T24" s="40" t="s">
        <v>36</v>
      </c>
      <c r="U24" s="34" t="s">
        <v>1070</v>
      </c>
    </row>
    <row r="25" spans="2:21">
      <c r="B25" s="21" t="s">
        <v>47</v>
      </c>
      <c r="C25" s="31" t="s">
        <v>28</v>
      </c>
      <c r="D25" s="47">
        <v>43504</v>
      </c>
      <c r="F25" s="34"/>
      <c r="G25" s="46"/>
      <c r="H25" s="34"/>
      <c r="I25" s="34"/>
      <c r="K25" s="22">
        <v>2000601</v>
      </c>
      <c r="L25" s="16" t="s">
        <v>1072</v>
      </c>
      <c r="M25" s="22" t="s">
        <v>31</v>
      </c>
      <c r="N25" s="34"/>
      <c r="O25" s="34"/>
      <c r="P25" s="34"/>
      <c r="Q25" s="28" t="s">
        <v>33</v>
      </c>
      <c r="R25" s="40" t="s">
        <v>94</v>
      </c>
      <c r="S25" s="28" t="s">
        <v>35</v>
      </c>
      <c r="T25" s="40" t="s">
        <v>36</v>
      </c>
      <c r="U25" s="34" t="s">
        <v>1070</v>
      </c>
    </row>
    <row r="26" spans="2:21">
      <c r="B26" s="21" t="s">
        <v>47</v>
      </c>
      <c r="C26" s="31" t="s">
        <v>28</v>
      </c>
      <c r="D26" s="47">
        <v>43504</v>
      </c>
      <c r="F26" s="34"/>
      <c r="G26" s="46"/>
      <c r="H26" s="34"/>
      <c r="I26" s="34"/>
      <c r="K26" s="22">
        <v>2000701</v>
      </c>
      <c r="L26" s="16" t="s">
        <v>1073</v>
      </c>
      <c r="M26" s="22" t="s">
        <v>31</v>
      </c>
      <c r="N26" s="34"/>
      <c r="O26" s="34"/>
      <c r="P26" s="34"/>
      <c r="Q26" s="28" t="s">
        <v>33</v>
      </c>
      <c r="R26" s="40" t="s">
        <v>94</v>
      </c>
      <c r="S26" s="28" t="s">
        <v>35</v>
      </c>
      <c r="T26" s="40" t="s">
        <v>36</v>
      </c>
      <c r="U26" s="34" t="s">
        <v>1070</v>
      </c>
    </row>
    <row r="27" spans="2:21">
      <c r="B27" s="21" t="s">
        <v>47</v>
      </c>
      <c r="C27" s="31" t="s">
        <v>28</v>
      </c>
      <c r="D27" s="47">
        <v>43504</v>
      </c>
      <c r="F27" s="34"/>
      <c r="G27" s="46"/>
      <c r="H27" s="34"/>
      <c r="I27" s="34"/>
      <c r="K27" s="22">
        <v>1993101</v>
      </c>
      <c r="L27" s="16" t="s">
        <v>1074</v>
      </c>
      <c r="M27" s="22" t="s">
        <v>31</v>
      </c>
      <c r="N27" s="34"/>
      <c r="O27" s="34"/>
      <c r="P27" s="34"/>
      <c r="Q27" s="28" t="s">
        <v>33</v>
      </c>
      <c r="R27" s="40" t="s">
        <v>94</v>
      </c>
      <c r="S27" s="28" t="s">
        <v>35</v>
      </c>
      <c r="T27" s="40" t="s">
        <v>36</v>
      </c>
      <c r="U27" s="34"/>
    </row>
    <row r="28" spans="2:21">
      <c r="B28" s="21" t="s">
        <v>47</v>
      </c>
      <c r="C28" s="31" t="s">
        <v>28</v>
      </c>
      <c r="D28" s="47">
        <v>43504</v>
      </c>
      <c r="F28" s="34"/>
      <c r="G28" s="46"/>
      <c r="H28" s="34"/>
      <c r="I28" s="34"/>
      <c r="K28" s="22">
        <v>1993102</v>
      </c>
      <c r="L28" s="16" t="s">
        <v>1075</v>
      </c>
      <c r="M28" s="22" t="s">
        <v>31</v>
      </c>
      <c r="N28" s="34"/>
      <c r="O28" s="34"/>
      <c r="P28" s="34"/>
      <c r="Q28" s="28" t="s">
        <v>33</v>
      </c>
      <c r="R28" s="40" t="s">
        <v>94</v>
      </c>
      <c r="S28" s="28" t="s">
        <v>35</v>
      </c>
      <c r="T28" s="40" t="s">
        <v>36</v>
      </c>
      <c r="U28" s="34"/>
    </row>
    <row r="29" spans="2:21">
      <c r="B29" s="21" t="s">
        <v>47</v>
      </c>
      <c r="C29" s="31" t="s">
        <v>28</v>
      </c>
      <c r="D29" s="47">
        <v>43504</v>
      </c>
      <c r="F29" s="34"/>
      <c r="G29" s="46"/>
      <c r="H29" s="34"/>
      <c r="I29" s="34"/>
      <c r="K29" s="22">
        <v>1999202</v>
      </c>
      <c r="L29" s="16" t="s">
        <v>1076</v>
      </c>
      <c r="M29" s="22" t="s">
        <v>31</v>
      </c>
      <c r="N29" s="34"/>
      <c r="O29" s="34"/>
      <c r="P29" s="34"/>
      <c r="Q29" s="28" t="s">
        <v>33</v>
      </c>
      <c r="R29" s="40" t="s">
        <v>94</v>
      </c>
      <c r="S29" s="28" t="s">
        <v>35</v>
      </c>
      <c r="T29" s="40" t="s">
        <v>36</v>
      </c>
      <c r="U29" s="34"/>
    </row>
    <row r="30" spans="2:21">
      <c r="B30" s="21" t="s">
        <v>47</v>
      </c>
      <c r="C30" s="31" t="s">
        <v>28</v>
      </c>
      <c r="D30" s="47">
        <v>43504</v>
      </c>
      <c r="F30" s="34"/>
      <c r="G30" s="46"/>
      <c r="H30" s="34"/>
      <c r="I30" s="34"/>
      <c r="K30" s="22">
        <v>1999201</v>
      </c>
      <c r="L30" s="16" t="s">
        <v>1077</v>
      </c>
      <c r="M30" s="22" t="s">
        <v>31</v>
      </c>
      <c r="N30" s="34"/>
      <c r="O30" s="34"/>
      <c r="P30" s="34"/>
      <c r="Q30" s="28" t="s">
        <v>33</v>
      </c>
      <c r="R30" s="40" t="s">
        <v>94</v>
      </c>
      <c r="S30" s="28" t="s">
        <v>35</v>
      </c>
      <c r="T30" s="40" t="s">
        <v>36</v>
      </c>
      <c r="U30" s="34"/>
    </row>
    <row r="31" spans="2:21">
      <c r="B31" s="21" t="s">
        <v>47</v>
      </c>
      <c r="C31" s="31" t="s">
        <v>28</v>
      </c>
      <c r="D31" s="47">
        <v>43504</v>
      </c>
      <c r="F31" s="34"/>
      <c r="G31" s="46"/>
      <c r="H31" s="34"/>
      <c r="I31" s="34"/>
      <c r="K31" s="22">
        <v>1993202</v>
      </c>
      <c r="L31" s="16" t="s">
        <v>1078</v>
      </c>
      <c r="M31" s="22" t="s">
        <v>31</v>
      </c>
      <c r="N31" s="34"/>
      <c r="O31" s="34"/>
      <c r="P31" s="34"/>
      <c r="Q31" s="28" t="s">
        <v>33</v>
      </c>
      <c r="R31" s="40" t="s">
        <v>94</v>
      </c>
      <c r="S31" s="28" t="s">
        <v>35</v>
      </c>
      <c r="T31" s="40" t="s">
        <v>36</v>
      </c>
      <c r="U31" s="34"/>
    </row>
    <row r="32" spans="2:21">
      <c r="B32" s="21" t="s">
        <v>47</v>
      </c>
      <c r="C32" s="31" t="s">
        <v>28</v>
      </c>
      <c r="D32" s="47">
        <v>43504</v>
      </c>
      <c r="F32" s="34"/>
      <c r="G32" s="46"/>
      <c r="H32" s="34"/>
      <c r="I32" s="34"/>
      <c r="K32" s="22">
        <v>1993201</v>
      </c>
      <c r="L32" s="16" t="s">
        <v>1079</v>
      </c>
      <c r="M32" s="22" t="s">
        <v>31</v>
      </c>
      <c r="N32" s="34"/>
      <c r="O32" s="34"/>
      <c r="P32" s="34"/>
      <c r="Q32" s="28" t="s">
        <v>33</v>
      </c>
      <c r="R32" s="40" t="s">
        <v>94</v>
      </c>
      <c r="S32" s="28" t="s">
        <v>35</v>
      </c>
      <c r="T32" s="40" t="s">
        <v>36</v>
      </c>
      <c r="U32" s="34"/>
    </row>
    <row r="33" spans="2:21">
      <c r="B33" s="21" t="s">
        <v>47</v>
      </c>
      <c r="C33" s="31" t="s">
        <v>28</v>
      </c>
      <c r="D33" s="47">
        <v>43504</v>
      </c>
      <c r="F33" s="34"/>
      <c r="G33" s="46"/>
      <c r="H33" s="34"/>
      <c r="I33" s="34"/>
      <c r="K33" s="22">
        <v>2003301</v>
      </c>
      <c r="L33" s="16" t="s">
        <v>1080</v>
      </c>
      <c r="M33" s="22" t="s">
        <v>31</v>
      </c>
      <c r="N33" s="34"/>
      <c r="O33" s="34"/>
      <c r="P33" s="34"/>
      <c r="Q33" s="28" t="s">
        <v>33</v>
      </c>
      <c r="R33" s="40" t="s">
        <v>94</v>
      </c>
      <c r="S33" s="28" t="s">
        <v>35</v>
      </c>
      <c r="T33" s="40" t="s">
        <v>36</v>
      </c>
      <c r="U33" s="34"/>
    </row>
    <row r="34" spans="2:21">
      <c r="B34" s="21" t="s">
        <v>47</v>
      </c>
      <c r="C34" s="31" t="s">
        <v>28</v>
      </c>
      <c r="D34" s="47">
        <v>43504</v>
      </c>
      <c r="F34" s="34"/>
      <c r="G34" s="46"/>
      <c r="H34" s="34"/>
      <c r="I34" s="34"/>
      <c r="K34" s="22">
        <v>2003302</v>
      </c>
      <c r="L34" s="16" t="s">
        <v>1081</v>
      </c>
      <c r="M34" s="22" t="s">
        <v>31</v>
      </c>
      <c r="N34" s="34"/>
      <c r="O34" s="34"/>
      <c r="P34" s="34"/>
      <c r="Q34" s="28" t="s">
        <v>33</v>
      </c>
      <c r="R34" s="40" t="s">
        <v>94</v>
      </c>
      <c r="S34" s="28" t="s">
        <v>35</v>
      </c>
      <c r="T34" s="40" t="s">
        <v>36</v>
      </c>
      <c r="U34" s="34"/>
    </row>
    <row r="35" spans="2:21">
      <c r="B35" s="21" t="s">
        <v>47</v>
      </c>
      <c r="C35" s="31" t="s">
        <v>28</v>
      </c>
      <c r="D35" s="47">
        <v>43532</v>
      </c>
      <c r="F35" s="34"/>
      <c r="G35" s="46"/>
      <c r="H35" s="34"/>
      <c r="I35" s="34"/>
      <c r="K35" s="22">
        <v>1869603</v>
      </c>
      <c r="L35" s="16" t="s">
        <v>1082</v>
      </c>
      <c r="M35" s="22" t="s">
        <v>31</v>
      </c>
      <c r="N35" s="34"/>
      <c r="O35" s="34"/>
      <c r="P35" s="34"/>
      <c r="Q35" s="28" t="s">
        <v>33</v>
      </c>
      <c r="R35" s="40" t="s">
        <v>94</v>
      </c>
      <c r="S35" s="28" t="s">
        <v>35</v>
      </c>
      <c r="T35" s="40" t="s">
        <v>36</v>
      </c>
      <c r="U35" s="34"/>
    </row>
    <row r="36" spans="2:21">
      <c r="B36" s="21" t="s">
        <v>47</v>
      </c>
      <c r="C36" s="31" t="s">
        <v>28</v>
      </c>
      <c r="D36" s="47">
        <v>43532</v>
      </c>
      <c r="F36" s="34"/>
      <c r="G36" s="46"/>
      <c r="H36" s="34"/>
      <c r="I36" s="34"/>
      <c r="K36" s="22">
        <v>1869604</v>
      </c>
      <c r="L36" s="16" t="s">
        <v>1083</v>
      </c>
      <c r="M36" s="22" t="s">
        <v>31</v>
      </c>
      <c r="N36" s="34"/>
      <c r="O36" s="34"/>
      <c r="P36" s="34"/>
      <c r="Q36" s="28" t="s">
        <v>33</v>
      </c>
      <c r="R36" s="40" t="s">
        <v>94</v>
      </c>
      <c r="S36" s="28" t="s">
        <v>35</v>
      </c>
      <c r="T36" s="40" t="s">
        <v>36</v>
      </c>
      <c r="U36" s="34"/>
    </row>
    <row r="37" spans="2:21">
      <c r="B37" s="21" t="s">
        <v>47</v>
      </c>
      <c r="C37" s="31" t="s">
        <v>28</v>
      </c>
      <c r="D37" s="47">
        <v>43560</v>
      </c>
      <c r="F37" s="34"/>
      <c r="G37" s="46"/>
      <c r="H37" s="34"/>
      <c r="I37" s="34"/>
      <c r="K37" s="22">
        <v>1639216</v>
      </c>
      <c r="L37" s="16" t="s">
        <v>1084</v>
      </c>
      <c r="M37" s="22" t="s">
        <v>31</v>
      </c>
      <c r="N37" s="34"/>
      <c r="O37" s="34"/>
      <c r="P37" s="34"/>
      <c r="Q37" s="28" t="s">
        <v>33</v>
      </c>
      <c r="R37" s="40" t="s">
        <v>94</v>
      </c>
      <c r="S37" s="28" t="s">
        <v>35</v>
      </c>
      <c r="T37" s="40" t="s">
        <v>36</v>
      </c>
      <c r="U37" s="34"/>
    </row>
    <row r="38" spans="2:21">
      <c r="B38" s="21" t="s">
        <v>47</v>
      </c>
      <c r="C38" s="31" t="s">
        <v>28</v>
      </c>
      <c r="D38" s="47">
        <v>43560</v>
      </c>
      <c r="F38" s="34"/>
      <c r="G38" s="46"/>
      <c r="H38" s="34"/>
      <c r="I38" s="34"/>
      <c r="K38" s="22">
        <v>2013601</v>
      </c>
      <c r="L38" s="16" t="s">
        <v>1085</v>
      </c>
      <c r="M38" s="22" t="s">
        <v>31</v>
      </c>
      <c r="N38" s="34"/>
      <c r="O38" s="34"/>
      <c r="P38" s="34"/>
      <c r="Q38" s="28" t="s">
        <v>33</v>
      </c>
      <c r="R38" s="40" t="s">
        <v>94</v>
      </c>
      <c r="S38" s="28" t="s">
        <v>35</v>
      </c>
      <c r="T38" s="40" t="s">
        <v>36</v>
      </c>
      <c r="U38" s="34" t="s">
        <v>1086</v>
      </c>
    </row>
    <row r="39" spans="2:21">
      <c r="B39" s="21" t="s">
        <v>47</v>
      </c>
      <c r="C39" s="31" t="s">
        <v>28</v>
      </c>
      <c r="D39" s="47">
        <v>43655</v>
      </c>
      <c r="F39" s="34"/>
      <c r="G39" s="46"/>
      <c r="H39" s="34"/>
      <c r="I39" s="34"/>
      <c r="K39" s="22">
        <v>514820</v>
      </c>
      <c r="L39" s="16" t="s">
        <v>1087</v>
      </c>
      <c r="M39" s="22" t="s">
        <v>31</v>
      </c>
      <c r="N39" s="34"/>
      <c r="O39" s="34"/>
      <c r="P39" s="34"/>
      <c r="Q39" s="28" t="s">
        <v>33</v>
      </c>
      <c r="R39" s="40" t="s">
        <v>94</v>
      </c>
      <c r="S39" s="28" t="s">
        <v>35</v>
      </c>
      <c r="T39" s="40" t="s">
        <v>36</v>
      </c>
      <c r="U39" s="34"/>
    </row>
    <row r="40" spans="2:21">
      <c r="B40" s="21" t="s">
        <v>47</v>
      </c>
      <c r="C40" s="31" t="s">
        <v>28</v>
      </c>
      <c r="D40" s="47">
        <v>43655</v>
      </c>
      <c r="F40" s="34"/>
      <c r="G40" s="46"/>
      <c r="H40" s="34"/>
      <c r="I40" s="34"/>
      <c r="K40" s="22">
        <v>1184912</v>
      </c>
      <c r="L40" s="16" t="s">
        <v>1088</v>
      </c>
      <c r="M40" s="22" t="s">
        <v>31</v>
      </c>
      <c r="N40" s="34"/>
      <c r="O40" s="34"/>
      <c r="P40" s="34"/>
      <c r="Q40" s="28" t="s">
        <v>33</v>
      </c>
      <c r="R40" s="40" t="s">
        <v>94</v>
      </c>
      <c r="S40" s="28" t="s">
        <v>35</v>
      </c>
      <c r="T40" s="40" t="s">
        <v>36</v>
      </c>
      <c r="U40" s="34"/>
    </row>
    <row r="41" spans="2:21">
      <c r="B41" s="21" t="s">
        <v>47</v>
      </c>
      <c r="C41" s="31" t="s">
        <v>28</v>
      </c>
      <c r="D41" s="47">
        <v>43655</v>
      </c>
      <c r="F41" s="34"/>
      <c r="G41" s="46"/>
      <c r="H41" s="34"/>
      <c r="I41" s="34"/>
      <c r="K41" s="22">
        <v>2024001</v>
      </c>
      <c r="L41" s="16" t="s">
        <v>1089</v>
      </c>
      <c r="M41" s="22" t="s">
        <v>31</v>
      </c>
      <c r="N41" s="34"/>
      <c r="O41" s="34"/>
      <c r="P41" s="34"/>
      <c r="Q41" s="28" t="s">
        <v>33</v>
      </c>
      <c r="R41" s="40" t="s">
        <v>94</v>
      </c>
      <c r="S41" s="28" t="s">
        <v>35</v>
      </c>
      <c r="T41" s="40" t="s">
        <v>36</v>
      </c>
      <c r="U41" s="34"/>
    </row>
    <row r="42" spans="2:21">
      <c r="B42" s="21" t="s">
        <v>47</v>
      </c>
      <c r="C42" s="31" t="s">
        <v>28</v>
      </c>
      <c r="D42" s="47">
        <v>43655</v>
      </c>
      <c r="F42" s="34"/>
      <c r="G42" s="46"/>
      <c r="H42" s="34"/>
      <c r="I42" s="34"/>
      <c r="K42" s="22">
        <v>2024002</v>
      </c>
      <c r="L42" s="16" t="s">
        <v>1090</v>
      </c>
      <c r="M42" s="22" t="s">
        <v>31</v>
      </c>
      <c r="N42" s="34"/>
      <c r="O42" s="34"/>
      <c r="P42" s="34"/>
      <c r="Q42" s="28" t="s">
        <v>33</v>
      </c>
      <c r="R42" s="40" t="s">
        <v>94</v>
      </c>
      <c r="S42" s="28" t="s">
        <v>35</v>
      </c>
      <c r="T42" s="40" t="s">
        <v>36</v>
      </c>
      <c r="U42" s="34"/>
    </row>
    <row r="43" spans="2:21">
      <c r="B43" s="21" t="s">
        <v>47</v>
      </c>
      <c r="C43" s="31" t="s">
        <v>28</v>
      </c>
      <c r="D43" s="47">
        <v>43655</v>
      </c>
      <c r="F43" s="34"/>
      <c r="G43" s="46"/>
      <c r="H43" s="34"/>
      <c r="I43" s="34"/>
      <c r="K43" s="22">
        <v>2024501</v>
      </c>
      <c r="L43" s="16" t="s">
        <v>1091</v>
      </c>
      <c r="M43" s="22" t="s">
        <v>31</v>
      </c>
      <c r="N43" s="34"/>
      <c r="O43" s="34"/>
      <c r="P43" s="34"/>
      <c r="Q43" s="28" t="s">
        <v>33</v>
      </c>
      <c r="R43" s="40" t="s">
        <v>94</v>
      </c>
      <c r="S43" s="28" t="s">
        <v>35</v>
      </c>
      <c r="T43" s="40" t="s">
        <v>36</v>
      </c>
      <c r="U43" s="34"/>
    </row>
    <row r="44" spans="2:21">
      <c r="B44" s="21" t="s">
        <v>47</v>
      </c>
      <c r="C44" s="31" t="s">
        <v>28</v>
      </c>
      <c r="D44" s="47">
        <v>43655</v>
      </c>
      <c r="F44" s="34"/>
      <c r="G44" s="46"/>
      <c r="H44" s="34"/>
      <c r="I44" s="34"/>
      <c r="K44" s="22">
        <v>2024502</v>
      </c>
      <c r="L44" s="16" t="s">
        <v>1092</v>
      </c>
      <c r="M44" s="22" t="s">
        <v>31</v>
      </c>
      <c r="N44" s="34"/>
      <c r="O44" s="34"/>
      <c r="P44" s="34"/>
      <c r="Q44" s="28" t="s">
        <v>33</v>
      </c>
      <c r="R44" s="40" t="s">
        <v>94</v>
      </c>
      <c r="S44" s="28" t="s">
        <v>35</v>
      </c>
      <c r="T44" s="40" t="s">
        <v>36</v>
      </c>
      <c r="U44" s="34"/>
    </row>
    <row r="45" spans="2:21">
      <c r="B45" s="21" t="s">
        <v>47</v>
      </c>
      <c r="C45" s="31" t="s">
        <v>28</v>
      </c>
      <c r="D45" s="47">
        <v>43655</v>
      </c>
      <c r="F45" s="34"/>
      <c r="G45" s="46"/>
      <c r="H45" s="34"/>
      <c r="I45" s="34"/>
      <c r="K45" s="22">
        <v>1927304</v>
      </c>
      <c r="L45" s="16" t="s">
        <v>1093</v>
      </c>
      <c r="M45" s="22" t="s">
        <v>31</v>
      </c>
      <c r="N45" s="34"/>
      <c r="O45" s="34"/>
      <c r="P45" s="34"/>
      <c r="Q45" s="28" t="s">
        <v>33</v>
      </c>
      <c r="R45" s="40" t="s">
        <v>94</v>
      </c>
      <c r="S45" s="28" t="s">
        <v>35</v>
      </c>
      <c r="T45" s="40" t="s">
        <v>36</v>
      </c>
      <c r="U45" s="34"/>
    </row>
    <row r="46" spans="2:21">
      <c r="B46" s="21" t="s">
        <v>47</v>
      </c>
      <c r="C46" s="31" t="s">
        <v>28</v>
      </c>
      <c r="D46" s="47">
        <v>43655</v>
      </c>
      <c r="F46" s="34"/>
      <c r="G46" s="46"/>
      <c r="H46" s="34"/>
      <c r="I46" s="34"/>
      <c r="K46" s="22">
        <v>1927306</v>
      </c>
      <c r="L46" s="16" t="s">
        <v>1094</v>
      </c>
      <c r="M46" s="22" t="s">
        <v>31</v>
      </c>
      <c r="N46" s="34"/>
      <c r="O46" s="34"/>
      <c r="P46" s="34"/>
      <c r="Q46" s="28" t="s">
        <v>33</v>
      </c>
      <c r="R46" s="40" t="s">
        <v>94</v>
      </c>
      <c r="S46" s="28" t="s">
        <v>35</v>
      </c>
      <c r="T46" s="40" t="s">
        <v>36</v>
      </c>
      <c r="U46" s="34"/>
    </row>
    <row r="47" spans="2:21">
      <c r="B47" s="21" t="s">
        <v>47</v>
      </c>
      <c r="C47" s="31" t="s">
        <v>28</v>
      </c>
      <c r="D47" s="47">
        <v>43655</v>
      </c>
      <c r="F47" s="34"/>
      <c r="G47" s="46"/>
      <c r="H47" s="34"/>
      <c r="I47" s="34"/>
      <c r="K47" s="22">
        <v>1927305</v>
      </c>
      <c r="L47" s="16" t="s">
        <v>1095</v>
      </c>
      <c r="M47" s="22" t="s">
        <v>31</v>
      </c>
      <c r="N47" s="34"/>
      <c r="O47" s="34"/>
      <c r="P47" s="34"/>
      <c r="Q47" s="28" t="s">
        <v>33</v>
      </c>
      <c r="R47" s="40" t="s">
        <v>94</v>
      </c>
      <c r="S47" s="28" t="s">
        <v>35</v>
      </c>
      <c r="T47" s="40" t="s">
        <v>36</v>
      </c>
      <c r="U47" s="34"/>
    </row>
    <row r="48" spans="2:21">
      <c r="B48" s="21" t="s">
        <v>47</v>
      </c>
      <c r="C48" s="31" t="s">
        <v>28</v>
      </c>
      <c r="D48" s="47">
        <v>43655</v>
      </c>
      <c r="F48" s="34"/>
      <c r="G48" s="46"/>
      <c r="H48" s="34"/>
      <c r="I48" s="34"/>
      <c r="K48" s="22">
        <v>1639219</v>
      </c>
      <c r="L48" s="16" t="s">
        <v>1096</v>
      </c>
      <c r="M48" s="22" t="s">
        <v>31</v>
      </c>
      <c r="N48" s="34"/>
      <c r="O48" s="34"/>
      <c r="P48" s="34"/>
      <c r="Q48" s="28" t="s">
        <v>33</v>
      </c>
      <c r="R48" s="40" t="s">
        <v>94</v>
      </c>
      <c r="S48" s="28" t="s">
        <v>35</v>
      </c>
      <c r="T48" s="40" t="s">
        <v>36</v>
      </c>
      <c r="U48" s="34"/>
    </row>
    <row r="49" spans="2:21">
      <c r="B49" s="21" t="s">
        <v>47</v>
      </c>
      <c r="C49" s="31" t="s">
        <v>28</v>
      </c>
      <c r="D49" s="47">
        <v>43655</v>
      </c>
      <c r="F49" s="34"/>
      <c r="G49" s="46"/>
      <c r="H49" s="34"/>
      <c r="I49" s="34"/>
      <c r="K49" s="22">
        <v>1829302</v>
      </c>
      <c r="L49" s="16" t="s">
        <v>1097</v>
      </c>
      <c r="M49" s="22" t="s">
        <v>31</v>
      </c>
      <c r="N49" s="34"/>
      <c r="O49" s="34"/>
      <c r="P49" s="34"/>
      <c r="Q49" s="28" t="s">
        <v>33</v>
      </c>
      <c r="R49" s="40" t="s">
        <v>94</v>
      </c>
      <c r="S49" s="28" t="s">
        <v>35</v>
      </c>
      <c r="T49" s="40" t="s">
        <v>36</v>
      </c>
      <c r="U49" s="34"/>
    </row>
    <row r="50" spans="2:21">
      <c r="B50" s="21" t="s">
        <v>47</v>
      </c>
      <c r="C50" s="31" t="s">
        <v>28</v>
      </c>
      <c r="D50" s="47">
        <v>43655</v>
      </c>
      <c r="F50" s="34"/>
      <c r="G50" s="46"/>
      <c r="H50" s="34"/>
      <c r="I50" s="34"/>
      <c r="K50" s="22">
        <v>1639217</v>
      </c>
      <c r="L50" s="16" t="s">
        <v>1098</v>
      </c>
      <c r="M50" s="22" t="s">
        <v>31</v>
      </c>
      <c r="N50" s="34"/>
      <c r="O50" s="34"/>
      <c r="P50" s="34"/>
      <c r="Q50" s="28" t="s">
        <v>33</v>
      </c>
      <c r="R50" s="40" t="s">
        <v>94</v>
      </c>
      <c r="S50" s="28" t="s">
        <v>35</v>
      </c>
      <c r="T50" s="40" t="s">
        <v>36</v>
      </c>
      <c r="U50" s="34"/>
    </row>
    <row r="51" spans="2:21">
      <c r="B51" s="21" t="s">
        <v>47</v>
      </c>
      <c r="C51" s="31" t="s">
        <v>28</v>
      </c>
      <c r="D51" s="47">
        <v>43655</v>
      </c>
      <c r="F51" s="34"/>
      <c r="G51" s="46"/>
      <c r="H51" s="34"/>
      <c r="I51" s="34"/>
      <c r="K51" s="22">
        <v>1639218</v>
      </c>
      <c r="L51" s="16" t="s">
        <v>1099</v>
      </c>
      <c r="M51" s="22" t="s">
        <v>31</v>
      </c>
      <c r="N51" s="34"/>
      <c r="O51" s="34"/>
      <c r="P51" s="34"/>
      <c r="Q51" s="28" t="s">
        <v>33</v>
      </c>
      <c r="R51" s="40" t="s">
        <v>94</v>
      </c>
      <c r="S51" s="28" t="s">
        <v>35</v>
      </c>
      <c r="T51" s="40" t="s">
        <v>36</v>
      </c>
      <c r="U51" s="34"/>
    </row>
    <row r="52" spans="2:21">
      <c r="B52" s="21" t="s">
        <v>47</v>
      </c>
      <c r="C52" s="54" t="s">
        <v>28</v>
      </c>
      <c r="D52" s="47">
        <v>43727</v>
      </c>
      <c r="F52" s="34"/>
      <c r="G52" s="46"/>
      <c r="H52" s="34"/>
      <c r="I52" s="34"/>
      <c r="K52" s="22">
        <v>2048402</v>
      </c>
      <c r="L52" s="16" t="s">
        <v>1100</v>
      </c>
      <c r="M52" s="22" t="s">
        <v>31</v>
      </c>
      <c r="N52" s="54"/>
      <c r="O52" s="54"/>
      <c r="P52" s="54"/>
      <c r="Q52" s="28" t="s">
        <v>33</v>
      </c>
      <c r="R52" s="40" t="s">
        <v>94</v>
      </c>
      <c r="S52" s="28" t="s">
        <v>35</v>
      </c>
      <c r="T52" s="40" t="s">
        <v>36</v>
      </c>
      <c r="U52" s="34"/>
    </row>
    <row r="53" spans="2:21">
      <c r="B53" s="21" t="s">
        <v>47</v>
      </c>
      <c r="C53" s="54" t="s">
        <v>28</v>
      </c>
      <c r="D53" s="47">
        <v>43727</v>
      </c>
      <c r="F53" s="34"/>
      <c r="G53" s="46"/>
      <c r="H53" s="34"/>
      <c r="I53" s="34"/>
      <c r="K53" s="22">
        <v>2048401</v>
      </c>
      <c r="L53" s="16" t="s">
        <v>1101</v>
      </c>
      <c r="M53" s="22" t="s">
        <v>31</v>
      </c>
      <c r="N53" s="54"/>
      <c r="O53" s="54"/>
      <c r="P53" s="54"/>
      <c r="Q53" s="28" t="s">
        <v>33</v>
      </c>
      <c r="R53" s="40" t="s">
        <v>94</v>
      </c>
      <c r="S53" s="28" t="s">
        <v>35</v>
      </c>
      <c r="T53" s="40" t="s">
        <v>36</v>
      </c>
      <c r="U53" s="34"/>
    </row>
    <row r="54" spans="2:21">
      <c r="B54" s="21" t="s">
        <v>47</v>
      </c>
      <c r="C54" s="54" t="s">
        <v>28</v>
      </c>
      <c r="D54" s="47">
        <v>43727</v>
      </c>
      <c r="F54" s="34"/>
      <c r="G54" s="46"/>
      <c r="H54" s="34"/>
      <c r="I54" s="34"/>
      <c r="K54" s="22">
        <v>2000602</v>
      </c>
      <c r="L54" s="16" t="s">
        <v>1102</v>
      </c>
      <c r="M54" s="22" t="s">
        <v>31</v>
      </c>
      <c r="N54" s="54"/>
      <c r="O54" s="54"/>
      <c r="P54" s="54"/>
      <c r="Q54" s="28" t="s">
        <v>33</v>
      </c>
      <c r="R54" s="40" t="s">
        <v>94</v>
      </c>
      <c r="S54" s="28" t="s">
        <v>35</v>
      </c>
      <c r="T54" s="40" t="s">
        <v>36</v>
      </c>
      <c r="U54" s="34"/>
    </row>
    <row r="55" spans="2:21">
      <c r="B55" s="21" t="s">
        <v>47</v>
      </c>
      <c r="C55" s="54" t="s">
        <v>28</v>
      </c>
      <c r="D55" s="47">
        <v>43727</v>
      </c>
      <c r="F55" s="34"/>
      <c r="G55" s="46"/>
      <c r="H55" s="34"/>
      <c r="I55" s="34"/>
      <c r="K55" s="22">
        <v>2041901</v>
      </c>
      <c r="L55" s="16" t="s">
        <v>1103</v>
      </c>
      <c r="M55" s="22" t="s">
        <v>31</v>
      </c>
      <c r="N55" s="54"/>
      <c r="O55" s="54"/>
      <c r="P55" s="54"/>
      <c r="Q55" s="28" t="s">
        <v>33</v>
      </c>
      <c r="R55" s="40" t="s">
        <v>94</v>
      </c>
      <c r="S55" s="28" t="s">
        <v>35</v>
      </c>
      <c r="T55" s="40" t="s">
        <v>36</v>
      </c>
      <c r="U55" s="34"/>
    </row>
    <row r="56" spans="2:21">
      <c r="B56" s="21" t="s">
        <v>47</v>
      </c>
      <c r="C56" s="54" t="s">
        <v>28</v>
      </c>
      <c r="D56" s="47">
        <v>43727</v>
      </c>
      <c r="F56" s="34"/>
      <c r="G56" s="46"/>
      <c r="H56" s="34"/>
      <c r="I56" s="34"/>
      <c r="K56" s="22">
        <v>2000702</v>
      </c>
      <c r="L56" s="16" t="s">
        <v>1104</v>
      </c>
      <c r="M56" s="22" t="s">
        <v>31</v>
      </c>
      <c r="N56" s="54"/>
      <c r="O56" s="54"/>
      <c r="P56" s="54"/>
      <c r="Q56" s="28" t="s">
        <v>33</v>
      </c>
      <c r="R56" s="40" t="s">
        <v>94</v>
      </c>
      <c r="S56" s="28" t="s">
        <v>35</v>
      </c>
      <c r="T56" s="40" t="s">
        <v>36</v>
      </c>
      <c r="U56" s="34"/>
    </row>
    <row r="57" spans="2:21">
      <c r="B57" s="21" t="s">
        <v>47</v>
      </c>
      <c r="C57" s="54" t="s">
        <v>28</v>
      </c>
      <c r="D57" s="47">
        <v>43727</v>
      </c>
      <c r="F57" s="34"/>
      <c r="G57" s="46"/>
      <c r="H57" s="34"/>
      <c r="I57" s="34"/>
      <c r="K57" s="22">
        <v>2000703</v>
      </c>
      <c r="L57" s="16" t="s">
        <v>1105</v>
      </c>
      <c r="M57" s="22" t="s">
        <v>31</v>
      </c>
      <c r="N57" s="54"/>
      <c r="O57" s="54"/>
      <c r="P57" s="54"/>
      <c r="Q57" s="28" t="s">
        <v>33</v>
      </c>
      <c r="R57" s="40" t="s">
        <v>94</v>
      </c>
      <c r="S57" s="28" t="s">
        <v>35</v>
      </c>
      <c r="T57" s="40" t="s">
        <v>36</v>
      </c>
      <c r="U57" s="34"/>
    </row>
    <row r="58" spans="2:21">
      <c r="B58" s="21" t="s">
        <v>47</v>
      </c>
      <c r="C58" s="54" t="s">
        <v>28</v>
      </c>
      <c r="D58" s="47">
        <v>43727</v>
      </c>
      <c r="F58" s="34"/>
      <c r="G58" s="46"/>
      <c r="H58" s="34"/>
      <c r="I58" s="34"/>
      <c r="K58" s="22">
        <v>2046901</v>
      </c>
      <c r="L58" s="16" t="s">
        <v>1106</v>
      </c>
      <c r="M58" s="22" t="s">
        <v>31</v>
      </c>
      <c r="N58" s="54"/>
      <c r="O58" s="54"/>
      <c r="P58" s="54"/>
      <c r="Q58" s="28" t="s">
        <v>33</v>
      </c>
      <c r="R58" s="40" t="s">
        <v>94</v>
      </c>
      <c r="S58" s="28" t="s">
        <v>35</v>
      </c>
      <c r="T58" s="40" t="s">
        <v>36</v>
      </c>
      <c r="U58" s="34"/>
    </row>
    <row r="59" spans="2:21">
      <c r="B59" s="21" t="s">
        <v>47</v>
      </c>
      <c r="C59" s="54" t="s">
        <v>28</v>
      </c>
      <c r="D59" s="47">
        <v>43727</v>
      </c>
      <c r="F59" s="34"/>
      <c r="G59" s="46"/>
      <c r="H59" s="34"/>
      <c r="I59" s="34"/>
      <c r="K59" s="22">
        <v>2046902</v>
      </c>
      <c r="L59" s="16" t="s">
        <v>1107</v>
      </c>
      <c r="M59" s="22" t="s">
        <v>31</v>
      </c>
      <c r="N59" s="54"/>
      <c r="O59" s="54"/>
      <c r="P59" s="54"/>
      <c r="Q59" s="28" t="s">
        <v>33</v>
      </c>
      <c r="R59" s="40" t="s">
        <v>94</v>
      </c>
      <c r="S59" s="28" t="s">
        <v>35</v>
      </c>
      <c r="T59" s="40" t="s">
        <v>36</v>
      </c>
      <c r="U59" s="34"/>
    </row>
    <row r="60" spans="2:21">
      <c r="B60" s="21" t="s">
        <v>47</v>
      </c>
      <c r="C60" s="54" t="s">
        <v>28</v>
      </c>
      <c r="D60" s="47">
        <v>43727</v>
      </c>
      <c r="F60" s="34"/>
      <c r="G60" s="46"/>
      <c r="H60" s="34"/>
      <c r="I60" s="34"/>
      <c r="K60" s="22">
        <v>2052101</v>
      </c>
      <c r="L60" s="16" t="s">
        <v>1108</v>
      </c>
      <c r="M60" s="22" t="s">
        <v>31</v>
      </c>
      <c r="N60" s="54"/>
      <c r="O60" s="54"/>
      <c r="P60" s="54"/>
      <c r="Q60" s="28" t="s">
        <v>33</v>
      </c>
      <c r="R60" s="40" t="s">
        <v>94</v>
      </c>
      <c r="S60" s="28" t="s">
        <v>35</v>
      </c>
      <c r="T60" s="40" t="s">
        <v>36</v>
      </c>
      <c r="U60" s="34"/>
    </row>
    <row r="61" spans="2:21">
      <c r="B61" s="21" t="s">
        <v>47</v>
      </c>
      <c r="C61" s="54" t="s">
        <v>28</v>
      </c>
      <c r="D61" s="47">
        <v>43727</v>
      </c>
      <c r="F61" s="34"/>
      <c r="G61" s="46"/>
      <c r="H61" s="34"/>
      <c r="I61" s="34"/>
      <c r="K61" s="22">
        <v>2052102</v>
      </c>
      <c r="L61" s="16" t="s">
        <v>1109</v>
      </c>
      <c r="M61" s="22" t="s">
        <v>31</v>
      </c>
      <c r="N61" s="54"/>
      <c r="O61" s="54"/>
      <c r="P61" s="54"/>
      <c r="Q61" s="28" t="s">
        <v>33</v>
      </c>
      <c r="R61" s="40" t="s">
        <v>94</v>
      </c>
      <c r="S61" s="28" t="s">
        <v>35</v>
      </c>
      <c r="T61" s="40" t="s">
        <v>36</v>
      </c>
      <c r="U61" s="34"/>
    </row>
    <row r="62" spans="2:21">
      <c r="B62" s="21" t="s">
        <v>47</v>
      </c>
      <c r="C62" s="54" t="s">
        <v>28</v>
      </c>
      <c r="D62" s="47">
        <v>43727</v>
      </c>
      <c r="F62" s="34"/>
      <c r="G62" s="46"/>
      <c r="H62" s="34"/>
      <c r="I62" s="34"/>
      <c r="K62" s="22">
        <v>1704302</v>
      </c>
      <c r="L62" s="16" t="s">
        <v>1110</v>
      </c>
      <c r="M62" s="22" t="s">
        <v>31</v>
      </c>
      <c r="N62" s="54"/>
      <c r="O62" s="54"/>
      <c r="P62" s="54"/>
      <c r="Q62" s="28" t="s">
        <v>33</v>
      </c>
      <c r="R62" s="40" t="s">
        <v>94</v>
      </c>
      <c r="S62" s="28" t="s">
        <v>35</v>
      </c>
      <c r="T62" s="40" t="s">
        <v>36</v>
      </c>
      <c r="U62" s="34"/>
    </row>
    <row r="63" spans="2:21">
      <c r="B63" s="21" t="s">
        <v>47</v>
      </c>
      <c r="C63" s="54" t="s">
        <v>28</v>
      </c>
      <c r="D63" s="47">
        <v>43727</v>
      </c>
      <c r="F63" s="34"/>
      <c r="G63" s="46"/>
      <c r="H63" s="34"/>
      <c r="I63" s="34"/>
      <c r="K63" s="22">
        <v>1499002</v>
      </c>
      <c r="L63" s="16" t="s">
        <v>1111</v>
      </c>
      <c r="M63" s="22" t="s">
        <v>31</v>
      </c>
      <c r="N63" s="54"/>
      <c r="O63" s="54"/>
      <c r="P63" s="54"/>
      <c r="Q63" s="28" t="s">
        <v>33</v>
      </c>
      <c r="R63" s="40" t="s">
        <v>94</v>
      </c>
      <c r="S63" s="28" t="s">
        <v>35</v>
      </c>
      <c r="T63" s="40" t="s">
        <v>36</v>
      </c>
      <c r="U63" s="34"/>
    </row>
    <row r="64" spans="2:21">
      <c r="B64" s="21" t="s">
        <v>47</v>
      </c>
      <c r="C64" s="54" t="s">
        <v>28</v>
      </c>
      <c r="D64" s="47">
        <v>43727</v>
      </c>
      <c r="F64" s="34"/>
      <c r="G64" s="46"/>
      <c r="H64" s="34"/>
      <c r="I64" s="34"/>
      <c r="K64" s="22">
        <v>2058801</v>
      </c>
      <c r="L64" s="16" t="s">
        <v>1112</v>
      </c>
      <c r="M64" s="22" t="s">
        <v>31</v>
      </c>
      <c r="N64" s="54"/>
      <c r="O64" s="54"/>
      <c r="P64" s="54"/>
      <c r="Q64" s="28" t="s">
        <v>33</v>
      </c>
      <c r="R64" s="40" t="s">
        <v>94</v>
      </c>
      <c r="S64" s="28" t="s">
        <v>35</v>
      </c>
      <c r="T64" s="40" t="s">
        <v>36</v>
      </c>
      <c r="U64" s="34"/>
    </row>
    <row r="65" spans="2:21">
      <c r="B65" s="21" t="s">
        <v>47</v>
      </c>
      <c r="C65" s="54" t="s">
        <v>28</v>
      </c>
      <c r="D65" s="47">
        <v>43727</v>
      </c>
      <c r="F65" s="34"/>
      <c r="G65" s="46"/>
      <c r="H65" s="34"/>
      <c r="I65" s="34"/>
      <c r="K65" s="22">
        <v>2058802</v>
      </c>
      <c r="L65" s="16" t="s">
        <v>1113</v>
      </c>
      <c r="M65" s="22" t="s">
        <v>31</v>
      </c>
      <c r="N65" s="54"/>
      <c r="O65" s="54"/>
      <c r="P65" s="54"/>
      <c r="Q65" s="28" t="s">
        <v>33</v>
      </c>
      <c r="R65" s="40" t="s">
        <v>94</v>
      </c>
      <c r="S65" s="28" t="s">
        <v>35</v>
      </c>
      <c r="T65" s="40" t="s">
        <v>36</v>
      </c>
      <c r="U65" s="34"/>
    </row>
    <row r="66" spans="2:21">
      <c r="B66" s="21" t="s">
        <v>47</v>
      </c>
      <c r="C66" s="54" t="s">
        <v>28</v>
      </c>
      <c r="D66" s="47">
        <v>43727</v>
      </c>
      <c r="F66" s="34"/>
      <c r="G66" s="46"/>
      <c r="H66" s="34"/>
      <c r="I66" s="34"/>
      <c r="K66" s="22">
        <v>2060402</v>
      </c>
      <c r="L66" s="16" t="s">
        <v>1114</v>
      </c>
      <c r="M66" s="22" t="s">
        <v>31</v>
      </c>
      <c r="N66" s="54"/>
      <c r="O66" s="54"/>
      <c r="P66" s="54"/>
      <c r="Q66" s="28" t="s">
        <v>33</v>
      </c>
      <c r="R66" s="40" t="s">
        <v>94</v>
      </c>
      <c r="S66" s="28" t="s">
        <v>35</v>
      </c>
      <c r="T66" s="40" t="s">
        <v>36</v>
      </c>
      <c r="U66" s="34"/>
    </row>
    <row r="67" spans="2:21">
      <c r="B67" s="21" t="s">
        <v>47</v>
      </c>
      <c r="C67" s="54" t="s">
        <v>28</v>
      </c>
      <c r="D67" s="47">
        <v>43727</v>
      </c>
      <c r="F67" s="34"/>
      <c r="G67" s="46"/>
      <c r="H67" s="34"/>
      <c r="I67" s="34"/>
      <c r="K67" s="22">
        <v>2060401</v>
      </c>
      <c r="L67" s="16" t="s">
        <v>1115</v>
      </c>
      <c r="M67" s="22" t="s">
        <v>31</v>
      </c>
      <c r="N67" s="54"/>
      <c r="O67" s="54"/>
      <c r="P67" s="54"/>
      <c r="Q67" s="28" t="s">
        <v>33</v>
      </c>
      <c r="R67" s="40" t="s">
        <v>94</v>
      </c>
      <c r="S67" s="28" t="s">
        <v>35</v>
      </c>
      <c r="T67" s="40" t="s">
        <v>36</v>
      </c>
      <c r="U67" s="34"/>
    </row>
    <row r="68" spans="2:21">
      <c r="B68" s="21" t="s">
        <v>47</v>
      </c>
      <c r="C68" s="54" t="s">
        <v>28</v>
      </c>
      <c r="D68" s="47">
        <v>43727</v>
      </c>
      <c r="F68" s="34"/>
      <c r="G68" s="46"/>
      <c r="H68" s="34"/>
      <c r="I68" s="34"/>
      <c r="K68" s="22">
        <v>2060002</v>
      </c>
      <c r="L68" s="16" t="s">
        <v>1116</v>
      </c>
      <c r="M68" s="22" t="s">
        <v>31</v>
      </c>
      <c r="N68" s="54"/>
      <c r="O68" s="54"/>
      <c r="P68" s="54"/>
      <c r="Q68" s="28" t="s">
        <v>33</v>
      </c>
      <c r="R68" s="40" t="s">
        <v>94</v>
      </c>
      <c r="S68" s="28" t="s">
        <v>35</v>
      </c>
      <c r="T68" s="40" t="s">
        <v>36</v>
      </c>
      <c r="U68" s="34"/>
    </row>
    <row r="69" spans="2:21">
      <c r="B69" s="21" t="s">
        <v>47</v>
      </c>
      <c r="C69" s="54" t="s">
        <v>28</v>
      </c>
      <c r="D69" s="47">
        <v>43727</v>
      </c>
      <c r="F69" s="34"/>
      <c r="G69" s="46"/>
      <c r="H69" s="34"/>
      <c r="I69" s="34"/>
      <c r="K69" s="22">
        <v>2060001</v>
      </c>
      <c r="L69" s="16" t="s">
        <v>1117</v>
      </c>
      <c r="M69" s="22" t="s">
        <v>31</v>
      </c>
      <c r="N69" s="54"/>
      <c r="O69" s="54"/>
      <c r="P69" s="54"/>
      <c r="Q69" s="28" t="s">
        <v>33</v>
      </c>
      <c r="R69" s="40" t="s">
        <v>94</v>
      </c>
      <c r="S69" s="28" t="s">
        <v>35</v>
      </c>
      <c r="T69" s="40" t="s">
        <v>36</v>
      </c>
      <c r="U69" s="34"/>
    </row>
    <row r="70" spans="2:21">
      <c r="B70" s="21" t="s">
        <v>47</v>
      </c>
      <c r="C70" s="54" t="s">
        <v>28</v>
      </c>
      <c r="D70" s="58">
        <v>43756</v>
      </c>
      <c r="F70" s="34"/>
      <c r="G70" s="46"/>
      <c r="H70" s="46"/>
      <c r="I70" s="46"/>
      <c r="K70" s="22">
        <v>1936501</v>
      </c>
      <c r="L70" s="16" t="s">
        <v>1118</v>
      </c>
      <c r="M70" s="22" t="s">
        <v>31</v>
      </c>
      <c r="N70" s="54"/>
      <c r="O70" s="54"/>
      <c r="P70" s="54"/>
      <c r="Q70" s="28" t="s">
        <v>33</v>
      </c>
      <c r="R70" s="40" t="s">
        <v>94</v>
      </c>
      <c r="S70" s="28" t="s">
        <v>35</v>
      </c>
      <c r="T70" s="40" t="s">
        <v>36</v>
      </c>
      <c r="U70" s="54"/>
    </row>
    <row r="71" spans="2:21">
      <c r="B71" s="21" t="s">
        <v>47</v>
      </c>
      <c r="C71" s="54" t="s">
        <v>28</v>
      </c>
      <c r="D71" s="58">
        <v>43756</v>
      </c>
      <c r="F71" s="34"/>
      <c r="G71" s="46"/>
      <c r="H71" s="46"/>
      <c r="I71" s="46"/>
      <c r="K71" s="22">
        <v>1936502</v>
      </c>
      <c r="L71" s="16" t="s">
        <v>1119</v>
      </c>
      <c r="M71" s="22" t="s">
        <v>31</v>
      </c>
      <c r="N71" s="54"/>
      <c r="O71" s="54"/>
      <c r="P71" s="54"/>
      <c r="Q71" s="28" t="s">
        <v>33</v>
      </c>
      <c r="R71" s="40" t="s">
        <v>94</v>
      </c>
      <c r="S71" s="28" t="s">
        <v>35</v>
      </c>
      <c r="T71" s="40" t="s">
        <v>36</v>
      </c>
      <c r="U71" s="54"/>
    </row>
    <row r="72" spans="2:21">
      <c r="B72" s="21" t="s">
        <v>47</v>
      </c>
      <c r="C72" s="54" t="s">
        <v>28</v>
      </c>
      <c r="D72" s="58">
        <v>43762</v>
      </c>
      <c r="F72" s="34"/>
      <c r="G72" s="46"/>
      <c r="H72" s="46"/>
      <c r="I72" s="46"/>
      <c r="K72" s="22">
        <v>1839504</v>
      </c>
      <c r="L72" s="16" t="s">
        <v>1120</v>
      </c>
      <c r="M72" s="22" t="s">
        <v>31</v>
      </c>
      <c r="N72" s="54"/>
      <c r="O72" s="54"/>
      <c r="P72" s="54"/>
      <c r="Q72" s="28" t="s">
        <v>33</v>
      </c>
      <c r="R72" s="40" t="s">
        <v>94</v>
      </c>
      <c r="S72" s="54" t="s">
        <v>35</v>
      </c>
      <c r="T72" s="40" t="s">
        <v>36</v>
      </c>
      <c r="U72" s="54"/>
    </row>
    <row r="73" spans="2:21">
      <c r="B73" s="21" t="s">
        <v>47</v>
      </c>
      <c r="C73" s="54" t="s">
        <v>28</v>
      </c>
      <c r="D73" s="58">
        <v>43762</v>
      </c>
      <c r="F73" s="34"/>
      <c r="G73" s="46"/>
      <c r="H73" s="46"/>
      <c r="I73" s="46"/>
      <c r="K73" s="22">
        <v>1839503</v>
      </c>
      <c r="L73" s="16" t="s">
        <v>1121</v>
      </c>
      <c r="M73" s="22" t="s">
        <v>31</v>
      </c>
      <c r="N73" s="54"/>
      <c r="O73" s="54"/>
      <c r="P73" s="54"/>
      <c r="Q73" s="28" t="s">
        <v>33</v>
      </c>
      <c r="R73" s="40" t="s">
        <v>94</v>
      </c>
      <c r="S73" s="28" t="s">
        <v>35</v>
      </c>
      <c r="T73" s="40" t="s">
        <v>36</v>
      </c>
      <c r="U73" s="54"/>
    </row>
    <row r="74" spans="2:21">
      <c r="B74" s="21" t="s">
        <v>47</v>
      </c>
      <c r="C74" s="54" t="s">
        <v>28</v>
      </c>
      <c r="D74" s="58">
        <v>43847</v>
      </c>
      <c r="F74" s="34"/>
      <c r="G74" s="46"/>
      <c r="H74" s="46"/>
      <c r="I74" s="46"/>
      <c r="K74" s="83">
        <v>2104701</v>
      </c>
      <c r="L74" s="16" t="s">
        <v>1122</v>
      </c>
      <c r="M74" s="22" t="s">
        <v>31</v>
      </c>
      <c r="N74" s="54"/>
      <c r="O74" s="54"/>
      <c r="P74" s="54"/>
      <c r="Q74" s="28" t="s">
        <v>33</v>
      </c>
      <c r="R74" s="28" t="s">
        <v>94</v>
      </c>
      <c r="S74" s="54" t="s">
        <v>35</v>
      </c>
      <c r="T74" s="54" t="s">
        <v>36</v>
      </c>
      <c r="U74" s="54"/>
    </row>
    <row r="75" spans="2:21">
      <c r="B75" s="21" t="s">
        <v>47</v>
      </c>
      <c r="C75" s="54" t="s">
        <v>28</v>
      </c>
      <c r="D75" s="58">
        <v>43847</v>
      </c>
      <c r="F75" s="34"/>
      <c r="G75" s="46"/>
      <c r="H75" s="46"/>
      <c r="I75" s="46"/>
      <c r="K75" s="83">
        <v>2104702</v>
      </c>
      <c r="L75" s="16" t="s">
        <v>1123</v>
      </c>
      <c r="M75" s="22" t="s">
        <v>31</v>
      </c>
      <c r="N75" s="54"/>
      <c r="O75" s="54"/>
      <c r="P75" s="54"/>
      <c r="Q75" s="28" t="s">
        <v>33</v>
      </c>
      <c r="R75" s="28" t="s">
        <v>94</v>
      </c>
      <c r="S75" s="54" t="s">
        <v>35</v>
      </c>
      <c r="T75" s="54" t="s">
        <v>36</v>
      </c>
      <c r="U75" s="54"/>
    </row>
    <row r="76" spans="2:21">
      <c r="B76" s="21" t="s">
        <v>47</v>
      </c>
      <c r="C76" s="54" t="s">
        <v>28</v>
      </c>
      <c r="D76" s="58">
        <v>43847</v>
      </c>
      <c r="F76" s="34"/>
      <c r="G76" s="46"/>
      <c r="H76" s="46"/>
      <c r="I76" s="46"/>
      <c r="K76" s="83">
        <v>2104102</v>
      </c>
      <c r="L76" s="16" t="s">
        <v>1124</v>
      </c>
      <c r="M76" s="22" t="s">
        <v>31</v>
      </c>
      <c r="N76" s="54"/>
      <c r="O76" s="54"/>
      <c r="P76" s="54"/>
      <c r="Q76" s="28" t="s">
        <v>33</v>
      </c>
      <c r="R76" s="28" t="s">
        <v>94</v>
      </c>
      <c r="S76" s="54" t="s">
        <v>35</v>
      </c>
      <c r="T76" s="54" t="s">
        <v>36</v>
      </c>
      <c r="U76" s="54"/>
    </row>
    <row r="77" spans="2:21">
      <c r="B77" s="21" t="s">
        <v>47</v>
      </c>
      <c r="C77" s="54" t="s">
        <v>28</v>
      </c>
      <c r="D77" s="58">
        <v>43847</v>
      </c>
      <c r="F77" s="34"/>
      <c r="G77" s="46"/>
      <c r="H77" s="46"/>
      <c r="I77" s="46"/>
      <c r="K77" s="83">
        <v>2104101</v>
      </c>
      <c r="L77" s="16" t="s">
        <v>1125</v>
      </c>
      <c r="M77" s="22" t="s">
        <v>31</v>
      </c>
      <c r="N77" s="54"/>
      <c r="O77" s="54"/>
      <c r="P77" s="54"/>
      <c r="Q77" s="28" t="s">
        <v>33</v>
      </c>
      <c r="R77" s="28" t="s">
        <v>94</v>
      </c>
      <c r="S77" s="54" t="s">
        <v>35</v>
      </c>
      <c r="T77" s="54" t="s">
        <v>36</v>
      </c>
      <c r="U77" s="54"/>
    </row>
    <row r="78" spans="2:21">
      <c r="B78" s="21" t="s">
        <v>47</v>
      </c>
      <c r="C78" s="54" t="s">
        <v>28</v>
      </c>
      <c r="D78" s="58">
        <v>43847</v>
      </c>
      <c r="F78" s="34"/>
      <c r="G78" s="46"/>
      <c r="H78" s="46"/>
      <c r="I78" s="46"/>
      <c r="K78" s="84">
        <v>2105901</v>
      </c>
      <c r="L78" s="16" t="s">
        <v>1126</v>
      </c>
      <c r="M78" s="22" t="s">
        <v>31</v>
      </c>
      <c r="N78" s="54"/>
      <c r="O78" s="54"/>
      <c r="P78" s="54"/>
      <c r="Q78" s="28" t="s">
        <v>33</v>
      </c>
      <c r="R78" s="28" t="s">
        <v>94</v>
      </c>
      <c r="S78" s="54" t="s">
        <v>35</v>
      </c>
      <c r="T78" s="54" t="s">
        <v>36</v>
      </c>
      <c r="U78" s="54"/>
    </row>
    <row r="79" spans="2:21">
      <c r="B79" s="21" t="s">
        <v>47</v>
      </c>
      <c r="C79" s="54" t="s">
        <v>28</v>
      </c>
      <c r="D79" s="58">
        <v>43847</v>
      </c>
      <c r="F79" s="34"/>
      <c r="G79" s="46"/>
      <c r="H79" s="46"/>
      <c r="I79" s="46"/>
      <c r="K79" s="84">
        <v>2105902</v>
      </c>
      <c r="L79" s="16" t="s">
        <v>1127</v>
      </c>
      <c r="M79" s="22" t="s">
        <v>31</v>
      </c>
      <c r="N79" s="54"/>
      <c r="O79" s="54"/>
      <c r="P79" s="54"/>
      <c r="Q79" s="28" t="s">
        <v>33</v>
      </c>
      <c r="R79" s="28" t="s">
        <v>94</v>
      </c>
      <c r="S79" s="54" t="s">
        <v>35</v>
      </c>
      <c r="T79" s="54" t="s">
        <v>36</v>
      </c>
      <c r="U79" s="54"/>
    </row>
    <row r="80" spans="2:21">
      <c r="B80" s="21" t="s">
        <v>47</v>
      </c>
      <c r="C80" s="54" t="s">
        <v>28</v>
      </c>
      <c r="D80" s="58">
        <v>43847</v>
      </c>
      <c r="F80" s="34"/>
      <c r="G80" s="46"/>
      <c r="H80" s="46"/>
      <c r="I80" s="46"/>
      <c r="K80" s="84">
        <v>2056702</v>
      </c>
      <c r="L80" s="16" t="s">
        <v>1128</v>
      </c>
      <c r="M80" s="22" t="s">
        <v>31</v>
      </c>
      <c r="N80" s="54"/>
      <c r="O80" s="54"/>
      <c r="P80" s="54"/>
      <c r="Q80" s="28" t="s">
        <v>33</v>
      </c>
      <c r="R80" s="28" t="s">
        <v>94</v>
      </c>
      <c r="S80" s="54" t="s">
        <v>35</v>
      </c>
      <c r="T80" s="54" t="s">
        <v>36</v>
      </c>
      <c r="U80" s="54"/>
    </row>
    <row r="81" spans="2:21">
      <c r="B81" s="21" t="s">
        <v>47</v>
      </c>
      <c r="C81" s="54" t="s">
        <v>28</v>
      </c>
      <c r="D81" s="58">
        <v>43847</v>
      </c>
      <c r="F81" s="34"/>
      <c r="G81" s="46"/>
      <c r="H81" s="46"/>
      <c r="I81" s="46"/>
      <c r="K81" s="84">
        <v>2056703</v>
      </c>
      <c r="L81" s="16" t="s">
        <v>1129</v>
      </c>
      <c r="M81" s="22" t="s">
        <v>31</v>
      </c>
      <c r="N81" s="54"/>
      <c r="O81" s="54"/>
      <c r="P81" s="54"/>
      <c r="Q81" s="28" t="s">
        <v>33</v>
      </c>
      <c r="R81" s="28" t="s">
        <v>94</v>
      </c>
      <c r="S81" s="54" t="s">
        <v>35</v>
      </c>
      <c r="T81" s="54" t="s">
        <v>36</v>
      </c>
      <c r="U81" s="54"/>
    </row>
    <row r="82" spans="2:21">
      <c r="B82" s="21" t="s">
        <v>47</v>
      </c>
      <c r="C82" s="54" t="s">
        <v>28</v>
      </c>
      <c r="D82" s="58">
        <v>43847</v>
      </c>
      <c r="F82" s="34"/>
      <c r="G82" s="46"/>
      <c r="H82" s="46"/>
      <c r="I82" s="46"/>
      <c r="K82" s="22">
        <v>1582405</v>
      </c>
      <c r="L82" s="16" t="s">
        <v>1130</v>
      </c>
      <c r="M82" s="22" t="s">
        <v>31</v>
      </c>
      <c r="N82" s="54"/>
      <c r="O82" s="54"/>
      <c r="P82" s="54"/>
      <c r="Q82" s="28" t="s">
        <v>33</v>
      </c>
      <c r="R82" s="28" t="s">
        <v>94</v>
      </c>
      <c r="S82" s="54" t="s">
        <v>35</v>
      </c>
      <c r="T82" s="54" t="s">
        <v>36</v>
      </c>
      <c r="U82" s="54"/>
    </row>
    <row r="83" spans="2:21">
      <c r="B83" s="21" t="s">
        <v>47</v>
      </c>
      <c r="C83" s="54" t="s">
        <v>28</v>
      </c>
      <c r="D83" s="58">
        <v>43847</v>
      </c>
      <c r="F83" s="34"/>
      <c r="G83" s="46"/>
      <c r="H83" s="46"/>
      <c r="I83" s="46"/>
      <c r="K83" s="39">
        <v>1582404</v>
      </c>
      <c r="L83" s="16" t="s">
        <v>1131</v>
      </c>
      <c r="M83" s="22" t="s">
        <v>31</v>
      </c>
      <c r="N83" s="54"/>
      <c r="O83" s="54"/>
      <c r="P83" s="54"/>
      <c r="Q83" s="28" t="s">
        <v>33</v>
      </c>
      <c r="R83" s="28" t="s">
        <v>94</v>
      </c>
      <c r="S83" s="54" t="s">
        <v>35</v>
      </c>
      <c r="T83" s="54" t="s">
        <v>36</v>
      </c>
      <c r="U83" s="54"/>
    </row>
    <row r="84" spans="2:21">
      <c r="B84" s="21" t="s">
        <v>47</v>
      </c>
      <c r="C84" s="54" t="s">
        <v>28</v>
      </c>
      <c r="D84" s="58">
        <v>43847</v>
      </c>
      <c r="F84" s="34"/>
      <c r="G84" s="46"/>
      <c r="H84" s="46"/>
      <c r="I84" s="46"/>
      <c r="K84" s="39">
        <v>1831004</v>
      </c>
      <c r="L84" s="16" t="s">
        <v>1132</v>
      </c>
      <c r="M84" s="22" t="s">
        <v>31</v>
      </c>
      <c r="N84" s="54"/>
      <c r="O84" s="54"/>
      <c r="P84" s="54"/>
      <c r="Q84" s="28" t="s">
        <v>33</v>
      </c>
      <c r="R84" s="28" t="s">
        <v>94</v>
      </c>
      <c r="S84" s="54" t="s">
        <v>35</v>
      </c>
      <c r="T84" s="54" t="s">
        <v>36</v>
      </c>
      <c r="U84" s="54"/>
    </row>
    <row r="85" spans="2:21">
      <c r="B85" s="21" t="s">
        <v>47</v>
      </c>
      <c r="C85" s="54" t="s">
        <v>28</v>
      </c>
      <c r="D85" s="58">
        <v>43847</v>
      </c>
      <c r="F85" s="34"/>
      <c r="G85" s="46"/>
      <c r="H85" s="46"/>
      <c r="I85" s="46"/>
      <c r="K85" s="39">
        <v>1831005</v>
      </c>
      <c r="L85" s="16" t="s">
        <v>1133</v>
      </c>
      <c r="M85" s="22" t="s">
        <v>31</v>
      </c>
      <c r="N85" s="54"/>
      <c r="O85" s="54"/>
      <c r="P85" s="54"/>
      <c r="Q85" s="28" t="s">
        <v>33</v>
      </c>
      <c r="R85" s="28" t="s">
        <v>94</v>
      </c>
      <c r="S85" s="54" t="s">
        <v>35</v>
      </c>
      <c r="T85" s="54" t="s">
        <v>36</v>
      </c>
      <c r="U85" s="54"/>
    </row>
    <row r="86" spans="2:21">
      <c r="B86" s="21" t="s">
        <v>47</v>
      </c>
      <c r="C86" s="54" t="s">
        <v>28</v>
      </c>
      <c r="D86" s="58">
        <v>43847</v>
      </c>
      <c r="F86" s="34"/>
      <c r="G86" s="46"/>
      <c r="H86" s="46"/>
      <c r="I86" s="46"/>
      <c r="K86" s="22">
        <v>2109301</v>
      </c>
      <c r="L86" s="16" t="s">
        <v>1134</v>
      </c>
      <c r="M86" s="22" t="s">
        <v>31</v>
      </c>
      <c r="N86" s="54"/>
      <c r="O86" s="54"/>
      <c r="P86" s="54"/>
      <c r="Q86" s="28" t="s">
        <v>33</v>
      </c>
      <c r="R86" s="28" t="s">
        <v>94</v>
      </c>
      <c r="S86" s="54" t="s">
        <v>35</v>
      </c>
      <c r="T86" s="54" t="s">
        <v>36</v>
      </c>
      <c r="U86" s="54"/>
    </row>
    <row r="87" spans="2:21">
      <c r="B87" s="21" t="s">
        <v>47</v>
      </c>
      <c r="C87" s="54" t="s">
        <v>28</v>
      </c>
      <c r="D87" s="58">
        <v>43847</v>
      </c>
      <c r="F87" s="34"/>
      <c r="G87" s="46"/>
      <c r="H87" s="46"/>
      <c r="I87" s="46"/>
      <c r="K87" s="22">
        <v>2013602</v>
      </c>
      <c r="L87" s="16" t="s">
        <v>1135</v>
      </c>
      <c r="M87" s="22" t="s">
        <v>31</v>
      </c>
      <c r="N87" s="54"/>
      <c r="O87" s="54"/>
      <c r="P87" s="54"/>
      <c r="Q87" s="28" t="s">
        <v>33</v>
      </c>
      <c r="R87" s="28" t="s">
        <v>94</v>
      </c>
      <c r="S87" s="54" t="s">
        <v>35</v>
      </c>
      <c r="T87" s="54" t="s">
        <v>36</v>
      </c>
      <c r="U87" s="54"/>
    </row>
    <row r="88" spans="2:21">
      <c r="B88" s="21" t="s">
        <v>47</v>
      </c>
      <c r="C88" s="54" t="s">
        <v>28</v>
      </c>
      <c r="D88" s="58">
        <v>43861</v>
      </c>
      <c r="F88" s="34"/>
      <c r="G88" s="46"/>
      <c r="H88" s="46"/>
      <c r="I88" s="46"/>
      <c r="K88" s="83">
        <v>2114001</v>
      </c>
      <c r="L88" s="85" t="s">
        <v>1136</v>
      </c>
      <c r="M88" s="22" t="s">
        <v>31</v>
      </c>
      <c r="N88" s="54"/>
      <c r="O88" s="54"/>
      <c r="P88" s="54"/>
      <c r="Q88" s="28" t="s">
        <v>33</v>
      </c>
      <c r="R88" s="28" t="s">
        <v>94</v>
      </c>
      <c r="S88" s="54" t="s">
        <v>35</v>
      </c>
      <c r="T88" s="54" t="s">
        <v>36</v>
      </c>
      <c r="U88" s="54"/>
    </row>
    <row r="89" spans="2:21">
      <c r="B89" s="21" t="s">
        <v>47</v>
      </c>
      <c r="C89" s="54" t="s">
        <v>28</v>
      </c>
      <c r="D89" s="58">
        <v>43861</v>
      </c>
      <c r="F89" s="34"/>
      <c r="G89" s="46"/>
      <c r="H89" s="46"/>
      <c r="I89" s="46"/>
      <c r="K89" s="83">
        <v>2114002</v>
      </c>
      <c r="L89" s="85" t="s">
        <v>1137</v>
      </c>
      <c r="M89" s="22" t="s">
        <v>31</v>
      </c>
      <c r="N89" s="54"/>
      <c r="O89" s="54"/>
      <c r="P89" s="54"/>
      <c r="Q89" s="28" t="s">
        <v>33</v>
      </c>
      <c r="R89" s="28" t="s">
        <v>94</v>
      </c>
      <c r="S89" s="54" t="s">
        <v>35</v>
      </c>
      <c r="T89" s="54" t="s">
        <v>36</v>
      </c>
      <c r="U89" s="54"/>
    </row>
    <row r="90" spans="2:21">
      <c r="B90" s="21" t="s">
        <v>47</v>
      </c>
      <c r="C90" s="54" t="s">
        <v>28</v>
      </c>
      <c r="D90" s="58">
        <v>43861</v>
      </c>
      <c r="F90" s="34"/>
      <c r="G90" s="46"/>
      <c r="H90" s="46"/>
      <c r="I90" s="46"/>
      <c r="K90" s="83">
        <v>2114402</v>
      </c>
      <c r="L90" s="85" t="s">
        <v>1138</v>
      </c>
      <c r="M90" s="22" t="s">
        <v>31</v>
      </c>
      <c r="N90" s="54"/>
      <c r="O90" s="54"/>
      <c r="P90" s="54"/>
      <c r="Q90" s="28" t="s">
        <v>33</v>
      </c>
      <c r="R90" s="28" t="s">
        <v>94</v>
      </c>
      <c r="S90" s="54" t="s">
        <v>35</v>
      </c>
      <c r="T90" s="54" t="s">
        <v>36</v>
      </c>
      <c r="U90" s="54"/>
    </row>
    <row r="91" spans="2:21">
      <c r="B91" s="21" t="s">
        <v>47</v>
      </c>
      <c r="C91" s="54" t="s">
        <v>28</v>
      </c>
      <c r="D91" s="58">
        <v>43861</v>
      </c>
      <c r="F91" s="34"/>
      <c r="G91" s="46"/>
      <c r="H91" s="46"/>
      <c r="I91" s="46"/>
      <c r="K91" s="83">
        <v>2114405</v>
      </c>
      <c r="L91" s="85" t="s">
        <v>1139</v>
      </c>
      <c r="M91" s="22" t="s">
        <v>31</v>
      </c>
      <c r="N91" s="54"/>
      <c r="O91" s="54"/>
      <c r="P91" s="54"/>
      <c r="Q91" s="28" t="s">
        <v>33</v>
      </c>
      <c r="R91" s="28" t="s">
        <v>94</v>
      </c>
      <c r="S91" s="54" t="s">
        <v>35</v>
      </c>
      <c r="T91" s="54" t="s">
        <v>36</v>
      </c>
      <c r="U91" s="54"/>
    </row>
    <row r="92" spans="2:21">
      <c r="B92" s="21" t="s">
        <v>47</v>
      </c>
      <c r="C92" s="54" t="s">
        <v>28</v>
      </c>
      <c r="D92" s="58">
        <v>43861</v>
      </c>
      <c r="F92" s="34"/>
      <c r="G92" s="46"/>
      <c r="H92" s="46"/>
      <c r="I92" s="46"/>
      <c r="K92" s="83">
        <v>2114401</v>
      </c>
      <c r="L92" s="85" t="s">
        <v>1140</v>
      </c>
      <c r="M92" s="22" t="s">
        <v>31</v>
      </c>
      <c r="N92" s="54"/>
      <c r="O92" s="54"/>
      <c r="P92" s="54"/>
      <c r="Q92" s="28" t="s">
        <v>33</v>
      </c>
      <c r="R92" s="28" t="s">
        <v>94</v>
      </c>
      <c r="S92" s="54" t="s">
        <v>35</v>
      </c>
      <c r="T92" s="54" t="s">
        <v>36</v>
      </c>
      <c r="U92" s="54"/>
    </row>
    <row r="93" spans="2:21">
      <c r="B93" s="21" t="s">
        <v>47</v>
      </c>
      <c r="C93" s="54" t="s">
        <v>28</v>
      </c>
      <c r="D93" s="58">
        <v>43861</v>
      </c>
      <c r="F93" s="34"/>
      <c r="G93" s="46"/>
      <c r="H93" s="46"/>
      <c r="I93" s="46"/>
      <c r="K93" s="83">
        <v>2114403</v>
      </c>
      <c r="L93" s="85" t="s">
        <v>1141</v>
      </c>
      <c r="M93" s="22" t="s">
        <v>31</v>
      </c>
      <c r="N93" s="54"/>
      <c r="O93" s="54"/>
      <c r="P93" s="54"/>
      <c r="Q93" s="28" t="s">
        <v>33</v>
      </c>
      <c r="R93" s="28" t="s">
        <v>94</v>
      </c>
      <c r="S93" s="54" t="s">
        <v>35</v>
      </c>
      <c r="T93" s="54" t="s">
        <v>36</v>
      </c>
      <c r="U93" s="54"/>
    </row>
    <row r="94" spans="2:21">
      <c r="B94" s="21" t="s">
        <v>47</v>
      </c>
      <c r="C94" s="54" t="s">
        <v>28</v>
      </c>
      <c r="D94" s="58">
        <v>43861</v>
      </c>
      <c r="F94" s="34"/>
      <c r="G94" s="46"/>
      <c r="H94" s="46"/>
      <c r="I94" s="46"/>
      <c r="K94" s="83">
        <v>2114003</v>
      </c>
      <c r="L94" s="85" t="s">
        <v>1142</v>
      </c>
      <c r="M94" s="22" t="s">
        <v>31</v>
      </c>
      <c r="N94" s="54"/>
      <c r="O94" s="54"/>
      <c r="P94" s="54"/>
      <c r="Q94" s="28" t="s">
        <v>33</v>
      </c>
      <c r="R94" s="28" t="s">
        <v>94</v>
      </c>
      <c r="S94" s="54" t="s">
        <v>35</v>
      </c>
      <c r="T94" s="54" t="s">
        <v>36</v>
      </c>
      <c r="U94" s="54"/>
    </row>
    <row r="95" spans="2:21">
      <c r="B95" s="21" t="s">
        <v>47</v>
      </c>
      <c r="C95" s="54" t="s">
        <v>28</v>
      </c>
      <c r="D95" s="58">
        <v>43861</v>
      </c>
      <c r="F95" s="34"/>
      <c r="G95" s="46"/>
      <c r="H95" s="46"/>
      <c r="I95" s="46"/>
      <c r="K95" s="83">
        <v>2114004</v>
      </c>
      <c r="L95" s="85" t="s">
        <v>1143</v>
      </c>
      <c r="M95" s="22" t="s">
        <v>31</v>
      </c>
      <c r="N95" s="54"/>
      <c r="O95" s="54"/>
      <c r="P95" s="54"/>
      <c r="Q95" s="28" t="s">
        <v>33</v>
      </c>
      <c r="R95" s="28" t="s">
        <v>94</v>
      </c>
      <c r="S95" s="54" t="s">
        <v>35</v>
      </c>
      <c r="T95" s="54" t="s">
        <v>36</v>
      </c>
      <c r="U95" s="54"/>
    </row>
    <row r="96" spans="2:21">
      <c r="B96" s="21" t="s">
        <v>47</v>
      </c>
      <c r="C96" s="54" t="s">
        <v>28</v>
      </c>
      <c r="D96" s="58">
        <v>43861</v>
      </c>
      <c r="F96" s="34"/>
      <c r="G96" s="46"/>
      <c r="H96" s="46"/>
      <c r="I96" s="46"/>
      <c r="K96" s="83">
        <v>2115001</v>
      </c>
      <c r="L96" s="85" t="s">
        <v>1144</v>
      </c>
      <c r="M96" s="22" t="s">
        <v>31</v>
      </c>
      <c r="N96" s="54"/>
      <c r="O96" s="54"/>
      <c r="P96" s="54"/>
      <c r="Q96" s="28" t="s">
        <v>33</v>
      </c>
      <c r="R96" s="28" t="s">
        <v>94</v>
      </c>
      <c r="S96" s="54" t="s">
        <v>35</v>
      </c>
      <c r="T96" s="54" t="s">
        <v>36</v>
      </c>
      <c r="U96" s="54"/>
    </row>
    <row r="97" spans="2:21">
      <c r="B97" s="21" t="s">
        <v>47</v>
      </c>
      <c r="C97" s="54" t="s">
        <v>28</v>
      </c>
      <c r="D97" s="58">
        <v>43861</v>
      </c>
      <c r="F97" s="34"/>
      <c r="G97" s="46"/>
      <c r="H97" s="46"/>
      <c r="I97" s="46"/>
      <c r="K97" s="84">
        <v>2115002</v>
      </c>
      <c r="L97" s="85" t="s">
        <v>1145</v>
      </c>
      <c r="M97" s="22" t="s">
        <v>31</v>
      </c>
      <c r="N97" s="54"/>
      <c r="O97" s="54"/>
      <c r="P97" s="54"/>
      <c r="Q97" s="28" t="s">
        <v>33</v>
      </c>
      <c r="R97" s="28" t="s">
        <v>94</v>
      </c>
      <c r="S97" s="54" t="s">
        <v>35</v>
      </c>
      <c r="T97" s="54" t="s">
        <v>36</v>
      </c>
      <c r="U97" s="54"/>
    </row>
    <row r="98" spans="2:21">
      <c r="B98" s="21" t="s">
        <v>47</v>
      </c>
      <c r="C98" s="54" t="s">
        <v>28</v>
      </c>
      <c r="D98" s="58">
        <v>43861</v>
      </c>
      <c r="F98" s="34"/>
      <c r="G98" s="46"/>
      <c r="H98" s="46"/>
      <c r="I98" s="46"/>
      <c r="K98" s="83">
        <v>1863104</v>
      </c>
      <c r="L98" s="85" t="s">
        <v>1146</v>
      </c>
      <c r="M98" s="22" t="s">
        <v>31</v>
      </c>
      <c r="N98" s="54"/>
      <c r="O98" s="54"/>
      <c r="P98" s="54"/>
      <c r="Q98" s="28" t="s">
        <v>33</v>
      </c>
      <c r="R98" s="28" t="s">
        <v>94</v>
      </c>
      <c r="S98" s="54" t="s">
        <v>35</v>
      </c>
      <c r="T98" s="54" t="s">
        <v>36</v>
      </c>
      <c r="U98" s="54"/>
    </row>
    <row r="99" spans="2:21">
      <c r="B99" s="21" t="s">
        <v>47</v>
      </c>
      <c r="C99" s="54" t="s">
        <v>28</v>
      </c>
      <c r="D99" s="58">
        <v>43861</v>
      </c>
      <c r="F99" s="34"/>
      <c r="G99" s="46"/>
      <c r="H99" s="46"/>
      <c r="I99" s="46"/>
      <c r="K99" s="83">
        <v>1863103</v>
      </c>
      <c r="L99" s="85" t="s">
        <v>1147</v>
      </c>
      <c r="M99" s="22" t="s">
        <v>31</v>
      </c>
      <c r="N99" s="54"/>
      <c r="O99" s="54"/>
      <c r="P99" s="54"/>
      <c r="Q99" s="28" t="s">
        <v>33</v>
      </c>
      <c r="R99" s="28" t="s">
        <v>94</v>
      </c>
      <c r="S99" s="54" t="s">
        <v>35</v>
      </c>
      <c r="T99" s="54" t="s">
        <v>36</v>
      </c>
      <c r="U99" s="54"/>
    </row>
    <row r="100" spans="2:21">
      <c r="B100" s="21" t="s">
        <v>47</v>
      </c>
      <c r="C100" s="54" t="s">
        <v>28</v>
      </c>
      <c r="D100" s="58">
        <v>43861</v>
      </c>
      <c r="F100" s="34"/>
      <c r="G100" s="46"/>
      <c r="H100" s="46"/>
      <c r="I100" s="46"/>
      <c r="K100" s="84">
        <v>1639220</v>
      </c>
      <c r="L100" s="16" t="s">
        <v>1148</v>
      </c>
      <c r="M100" s="22" t="s">
        <v>31</v>
      </c>
      <c r="N100" s="54"/>
      <c r="O100" s="54"/>
      <c r="P100" s="54"/>
      <c r="Q100" s="28" t="s">
        <v>33</v>
      </c>
      <c r="R100" s="28" t="s">
        <v>94</v>
      </c>
      <c r="S100" s="54" t="s">
        <v>35</v>
      </c>
      <c r="T100" s="54" t="s">
        <v>36</v>
      </c>
      <c r="U100" s="54"/>
    </row>
    <row r="101" spans="2:21">
      <c r="B101" s="21" t="s">
        <v>47</v>
      </c>
      <c r="C101" s="54" t="s">
        <v>28</v>
      </c>
      <c r="D101" s="58">
        <v>43861</v>
      </c>
      <c r="F101" s="34"/>
      <c r="G101" s="46"/>
      <c r="H101" s="46"/>
      <c r="I101" s="46"/>
      <c r="K101" s="39">
        <v>2013606</v>
      </c>
      <c r="L101" s="16" t="s">
        <v>1149</v>
      </c>
      <c r="M101" s="22" t="s">
        <v>31</v>
      </c>
      <c r="N101" s="54"/>
      <c r="O101" s="54"/>
      <c r="P101" s="54"/>
      <c r="Q101" s="28" t="s">
        <v>33</v>
      </c>
      <c r="R101" s="28" t="s">
        <v>94</v>
      </c>
      <c r="S101" s="54" t="s">
        <v>35</v>
      </c>
      <c r="T101" s="54" t="s">
        <v>36</v>
      </c>
      <c r="U101" s="54"/>
    </row>
    <row r="102" spans="2:21">
      <c r="B102" s="21" t="s">
        <v>47</v>
      </c>
      <c r="C102" s="54" t="s">
        <v>28</v>
      </c>
      <c r="D102" s="58">
        <v>43861</v>
      </c>
      <c r="F102" s="34"/>
      <c r="G102" s="46"/>
      <c r="H102" s="46"/>
      <c r="I102" s="46"/>
      <c r="K102" s="39">
        <v>2013605</v>
      </c>
      <c r="L102" s="16" t="s">
        <v>1150</v>
      </c>
      <c r="M102" s="22" t="s">
        <v>31</v>
      </c>
      <c r="N102" s="54"/>
      <c r="O102" s="54"/>
      <c r="P102" s="54"/>
      <c r="Q102" s="28" t="s">
        <v>33</v>
      </c>
      <c r="R102" s="28" t="s">
        <v>94</v>
      </c>
      <c r="S102" s="54" t="s">
        <v>35</v>
      </c>
      <c r="T102" s="54" t="s">
        <v>36</v>
      </c>
      <c r="U102" s="54"/>
    </row>
    <row r="103" spans="2:21">
      <c r="B103" s="21" t="s">
        <v>47</v>
      </c>
      <c r="C103" s="54" t="s">
        <v>28</v>
      </c>
      <c r="D103" s="58">
        <v>43861</v>
      </c>
      <c r="F103" s="34"/>
      <c r="G103" s="46"/>
      <c r="H103" s="46"/>
      <c r="I103" s="46"/>
      <c r="K103" s="84">
        <v>2013604</v>
      </c>
      <c r="L103" s="16" t="s">
        <v>1151</v>
      </c>
      <c r="M103" s="22" t="s">
        <v>31</v>
      </c>
      <c r="N103" s="54"/>
      <c r="O103" s="54"/>
      <c r="P103" s="54"/>
      <c r="Q103" s="28" t="s">
        <v>33</v>
      </c>
      <c r="R103" s="28" t="s">
        <v>94</v>
      </c>
      <c r="S103" s="54" t="s">
        <v>35</v>
      </c>
      <c r="T103" s="54" t="s">
        <v>36</v>
      </c>
      <c r="U103" s="54"/>
    </row>
    <row r="104" spans="2:21">
      <c r="B104" s="21" t="s">
        <v>47</v>
      </c>
      <c r="C104" s="54" t="s">
        <v>28</v>
      </c>
      <c r="D104" s="58">
        <v>43861</v>
      </c>
      <c r="F104" s="34"/>
      <c r="G104" s="46"/>
      <c r="H104" s="46"/>
      <c r="I104" s="46"/>
      <c r="K104" s="86">
        <v>1931502</v>
      </c>
      <c r="L104" s="16" t="s">
        <v>1152</v>
      </c>
      <c r="M104" s="22" t="s">
        <v>31</v>
      </c>
      <c r="N104" s="54"/>
      <c r="O104" s="54"/>
      <c r="P104" s="54"/>
      <c r="Q104" s="28" t="s">
        <v>33</v>
      </c>
      <c r="R104" s="28" t="s">
        <v>94</v>
      </c>
      <c r="S104" s="54" t="s">
        <v>35</v>
      </c>
      <c r="T104" s="54" t="s">
        <v>36</v>
      </c>
      <c r="U104" s="54"/>
    </row>
    <row r="105" spans="2:21">
      <c r="B105" s="21" t="s">
        <v>47</v>
      </c>
      <c r="C105" s="54" t="s">
        <v>28</v>
      </c>
      <c r="D105" s="58">
        <v>43875</v>
      </c>
      <c r="F105" s="34"/>
      <c r="G105" s="46"/>
      <c r="H105" s="46"/>
      <c r="I105" s="46"/>
      <c r="K105" s="39">
        <v>1522207</v>
      </c>
      <c r="L105" s="16" t="s">
        <v>1153</v>
      </c>
      <c r="M105" s="22" t="s">
        <v>31</v>
      </c>
      <c r="N105" s="54"/>
      <c r="O105" s="54"/>
      <c r="P105" s="54"/>
      <c r="Q105" s="28" t="s">
        <v>33</v>
      </c>
      <c r="R105" s="28" t="s">
        <v>94</v>
      </c>
      <c r="S105" s="54" t="s">
        <v>35</v>
      </c>
      <c r="T105" s="54" t="s">
        <v>36</v>
      </c>
      <c r="U105" s="54"/>
    </row>
    <row r="106" spans="2:21">
      <c r="B106" s="21" t="s">
        <v>47</v>
      </c>
      <c r="C106" s="54" t="s">
        <v>28</v>
      </c>
      <c r="D106" s="58">
        <v>43875</v>
      </c>
      <c r="F106" s="34"/>
      <c r="G106" s="46"/>
      <c r="H106" s="46"/>
      <c r="I106" s="46"/>
      <c r="K106" s="110">
        <v>2013603</v>
      </c>
      <c r="L106" s="16" t="s">
        <v>1154</v>
      </c>
      <c r="M106" s="22" t="s">
        <v>31</v>
      </c>
      <c r="N106" s="16"/>
      <c r="O106" s="54"/>
      <c r="P106" s="54"/>
      <c r="Q106" s="28" t="s">
        <v>33</v>
      </c>
      <c r="R106" s="28" t="s">
        <v>94</v>
      </c>
      <c r="S106" s="54" t="s">
        <v>35</v>
      </c>
      <c r="T106" s="54" t="s">
        <v>36</v>
      </c>
      <c r="U106" s="54" t="s">
        <v>1155</v>
      </c>
    </row>
    <row r="107" spans="2:21" s="89" customFormat="1">
      <c r="B107" s="25" t="s">
        <v>47</v>
      </c>
      <c r="C107" s="87" t="s">
        <v>28</v>
      </c>
      <c r="D107" s="88">
        <v>43888</v>
      </c>
      <c r="F107" s="162"/>
      <c r="G107" s="90"/>
      <c r="H107" s="90"/>
      <c r="I107" s="90"/>
      <c r="K107" s="91">
        <v>2127001</v>
      </c>
      <c r="L107" s="92" t="s">
        <v>1156</v>
      </c>
      <c r="M107" s="26" t="s">
        <v>31</v>
      </c>
      <c r="N107" s="92"/>
      <c r="O107" s="92"/>
      <c r="P107" s="92"/>
      <c r="Q107" s="28" t="s">
        <v>33</v>
      </c>
      <c r="R107" s="28" t="s">
        <v>94</v>
      </c>
      <c r="S107" s="54" t="s">
        <v>35</v>
      </c>
      <c r="T107" s="54" t="s">
        <v>102</v>
      </c>
      <c r="U107" s="90" t="s">
        <v>1157</v>
      </c>
    </row>
    <row r="108" spans="2:21">
      <c r="B108" s="21" t="s">
        <v>47</v>
      </c>
      <c r="C108" s="54" t="s">
        <v>28</v>
      </c>
      <c r="D108" s="58">
        <v>43888</v>
      </c>
      <c r="F108" s="34"/>
      <c r="G108" s="46"/>
      <c r="H108" s="46"/>
      <c r="I108" s="46"/>
      <c r="K108" s="39">
        <v>2127202</v>
      </c>
      <c r="L108" s="16" t="s">
        <v>1158</v>
      </c>
      <c r="M108" s="22" t="s">
        <v>31</v>
      </c>
      <c r="N108" s="16"/>
      <c r="O108" s="16"/>
      <c r="P108" s="16"/>
      <c r="Q108" s="28" t="s">
        <v>33</v>
      </c>
      <c r="R108" s="28" t="s">
        <v>94</v>
      </c>
      <c r="S108" s="54" t="s">
        <v>35</v>
      </c>
      <c r="T108" s="54" t="s">
        <v>36</v>
      </c>
      <c r="U108" s="16"/>
    </row>
    <row r="109" spans="2:21">
      <c r="B109" s="21" t="s">
        <v>47</v>
      </c>
      <c r="C109" s="54" t="s">
        <v>28</v>
      </c>
      <c r="D109" s="58">
        <v>43888</v>
      </c>
      <c r="F109" s="34"/>
      <c r="G109" s="46"/>
      <c r="H109" s="46"/>
      <c r="I109" s="46"/>
      <c r="K109" s="39">
        <v>2127201</v>
      </c>
      <c r="L109" s="16" t="s">
        <v>1159</v>
      </c>
      <c r="M109" s="22" t="s">
        <v>31</v>
      </c>
      <c r="N109" s="16"/>
      <c r="O109" s="16"/>
      <c r="P109" s="16"/>
      <c r="Q109" s="28" t="s">
        <v>33</v>
      </c>
      <c r="R109" s="28" t="s">
        <v>94</v>
      </c>
      <c r="S109" s="54" t="s">
        <v>35</v>
      </c>
      <c r="T109" s="54" t="s">
        <v>36</v>
      </c>
      <c r="U109" s="16"/>
    </row>
    <row r="110" spans="2:21">
      <c r="B110" s="21" t="s">
        <v>47</v>
      </c>
      <c r="C110" s="54" t="s">
        <v>28</v>
      </c>
      <c r="D110" s="58">
        <v>43893</v>
      </c>
      <c r="F110" s="34"/>
      <c r="G110" s="46"/>
      <c r="H110" s="46"/>
      <c r="I110" s="46"/>
      <c r="K110" s="39">
        <v>2130601</v>
      </c>
      <c r="L110" s="16" t="s">
        <v>1160</v>
      </c>
      <c r="M110" s="22" t="s">
        <v>31</v>
      </c>
      <c r="N110" s="16"/>
      <c r="O110" s="16"/>
      <c r="P110" s="16"/>
      <c r="Q110" s="28" t="s">
        <v>33</v>
      </c>
      <c r="R110" s="28" t="s">
        <v>94</v>
      </c>
      <c r="S110" s="54" t="s">
        <v>35</v>
      </c>
      <c r="T110" s="54" t="s">
        <v>36</v>
      </c>
      <c r="U110" s="16"/>
    </row>
    <row r="111" spans="2:21">
      <c r="B111" s="21" t="s">
        <v>47</v>
      </c>
      <c r="C111" s="98" t="s">
        <v>28</v>
      </c>
      <c r="D111" s="58">
        <v>43917</v>
      </c>
      <c r="F111" s="34"/>
      <c r="G111" s="46"/>
      <c r="H111" s="46"/>
      <c r="I111" s="46"/>
      <c r="K111" s="39">
        <v>2013607</v>
      </c>
      <c r="L111" s="16" t="s">
        <v>1094</v>
      </c>
      <c r="M111" s="22" t="s">
        <v>31</v>
      </c>
      <c r="N111" s="46"/>
      <c r="O111" s="46"/>
      <c r="P111" s="46"/>
      <c r="Q111" s="28" t="s">
        <v>33</v>
      </c>
      <c r="R111" s="28" t="s">
        <v>94</v>
      </c>
      <c r="S111" s="54" t="s">
        <v>35</v>
      </c>
      <c r="T111" s="54" t="s">
        <v>36</v>
      </c>
      <c r="U111" s="46"/>
    </row>
    <row r="112" spans="2:21">
      <c r="B112" s="21" t="s">
        <v>47</v>
      </c>
      <c r="C112" s="98" t="s">
        <v>28</v>
      </c>
      <c r="D112" s="58">
        <v>43923</v>
      </c>
      <c r="F112" s="34"/>
      <c r="G112" s="46"/>
      <c r="H112" s="46"/>
      <c r="I112" s="46"/>
      <c r="K112" s="39">
        <v>2013608</v>
      </c>
      <c r="L112" s="16" t="s">
        <v>1161</v>
      </c>
      <c r="M112" s="22" t="s">
        <v>31</v>
      </c>
      <c r="N112" s="46"/>
      <c r="O112" s="46"/>
      <c r="P112" s="46"/>
      <c r="Q112" s="28" t="s">
        <v>33</v>
      </c>
      <c r="R112" s="28" t="s">
        <v>221</v>
      </c>
      <c r="S112" s="54" t="s">
        <v>35</v>
      </c>
      <c r="T112" s="54" t="s">
        <v>36</v>
      </c>
      <c r="U112" s="46"/>
    </row>
    <row r="113" spans="2:21">
      <c r="B113" s="21" t="s">
        <v>47</v>
      </c>
      <c r="C113" s="54" t="s">
        <v>28</v>
      </c>
      <c r="D113" s="58">
        <v>43945</v>
      </c>
      <c r="F113" s="34"/>
      <c r="G113" s="46"/>
      <c r="H113" s="46"/>
      <c r="I113" s="46"/>
      <c r="K113" s="39">
        <v>2137701</v>
      </c>
      <c r="L113" s="16" t="s">
        <v>1162</v>
      </c>
      <c r="M113" s="22" t="s">
        <v>31</v>
      </c>
      <c r="N113" s="46"/>
      <c r="O113" s="46"/>
      <c r="P113" s="46"/>
      <c r="Q113" s="28" t="s">
        <v>33</v>
      </c>
      <c r="R113" s="28" t="s">
        <v>94</v>
      </c>
      <c r="S113" s="54" t="s">
        <v>35</v>
      </c>
      <c r="T113" s="54" t="s">
        <v>36</v>
      </c>
      <c r="U113" s="46"/>
    </row>
    <row r="114" spans="2:21">
      <c r="B114" s="21" t="s">
        <v>47</v>
      </c>
      <c r="C114" s="54" t="s">
        <v>28</v>
      </c>
      <c r="D114" s="58">
        <v>43945</v>
      </c>
      <c r="F114" s="34"/>
      <c r="G114" s="46"/>
      <c r="H114" s="46"/>
      <c r="I114" s="46"/>
      <c r="K114" s="39">
        <v>2137901</v>
      </c>
      <c r="L114" s="16" t="s">
        <v>1163</v>
      </c>
      <c r="M114" s="22" t="s">
        <v>31</v>
      </c>
      <c r="N114" s="46"/>
      <c r="O114" s="46"/>
      <c r="P114" s="46"/>
      <c r="Q114" s="28" t="s">
        <v>33</v>
      </c>
      <c r="R114" s="28" t="s">
        <v>94</v>
      </c>
      <c r="S114" s="54" t="s">
        <v>35</v>
      </c>
      <c r="T114" s="54" t="s">
        <v>36</v>
      </c>
      <c r="U114" s="46"/>
    </row>
    <row r="115" spans="2:21">
      <c r="B115" s="21" t="s">
        <v>47</v>
      </c>
      <c r="C115" s="54" t="s">
        <v>28</v>
      </c>
      <c r="D115" s="58">
        <v>43945</v>
      </c>
      <c r="F115" s="34"/>
      <c r="G115" s="46"/>
      <c r="H115" s="46"/>
      <c r="I115" s="46"/>
      <c r="K115" s="39">
        <v>2142501</v>
      </c>
      <c r="L115" s="16" t="s">
        <v>1164</v>
      </c>
      <c r="M115" s="22" t="s">
        <v>31</v>
      </c>
      <c r="N115" s="46"/>
      <c r="O115" s="46"/>
      <c r="P115" s="46"/>
      <c r="Q115" s="28" t="s">
        <v>33</v>
      </c>
      <c r="R115" s="28" t="s">
        <v>94</v>
      </c>
      <c r="S115" s="54" t="s">
        <v>35</v>
      </c>
      <c r="T115" s="54" t="s">
        <v>36</v>
      </c>
      <c r="U115" s="46"/>
    </row>
    <row r="116" spans="2:21">
      <c r="B116" s="21" t="s">
        <v>47</v>
      </c>
      <c r="C116" s="54" t="s">
        <v>28</v>
      </c>
      <c r="D116" s="58">
        <v>43945</v>
      </c>
      <c r="F116" s="34"/>
      <c r="G116" s="46"/>
      <c r="H116" s="46"/>
      <c r="I116" s="46"/>
      <c r="K116" s="39">
        <v>2139101</v>
      </c>
      <c r="L116" s="16" t="s">
        <v>1165</v>
      </c>
      <c r="M116" s="22" t="s">
        <v>31</v>
      </c>
      <c r="N116" s="46"/>
      <c r="O116" s="46"/>
      <c r="P116" s="46"/>
      <c r="Q116" s="28" t="s">
        <v>33</v>
      </c>
      <c r="R116" s="28" t="s">
        <v>94</v>
      </c>
      <c r="S116" s="54" t="s">
        <v>35</v>
      </c>
      <c r="T116" s="54" t="s">
        <v>36</v>
      </c>
      <c r="U116" s="46"/>
    </row>
    <row r="117" spans="2:21">
      <c r="B117" s="21" t="s">
        <v>47</v>
      </c>
      <c r="C117" s="54" t="s">
        <v>28</v>
      </c>
      <c r="D117" s="58">
        <v>43987</v>
      </c>
      <c r="F117" s="34"/>
      <c r="G117" s="46"/>
      <c r="H117" s="46"/>
      <c r="I117" s="46"/>
      <c r="K117" s="39">
        <v>1486106</v>
      </c>
      <c r="L117" s="16" t="s">
        <v>1166</v>
      </c>
      <c r="M117" s="22" t="s">
        <v>31</v>
      </c>
      <c r="N117" s="46"/>
      <c r="O117" s="46"/>
      <c r="P117" s="46"/>
      <c r="Q117" s="28" t="s">
        <v>33</v>
      </c>
      <c r="R117" s="28" t="s">
        <v>94</v>
      </c>
      <c r="S117" s="54" t="s">
        <v>35</v>
      </c>
      <c r="T117" s="54" t="s">
        <v>36</v>
      </c>
      <c r="U117" s="46"/>
    </row>
    <row r="118" spans="2:21">
      <c r="B118" s="21" t="s">
        <v>47</v>
      </c>
      <c r="C118" s="98" t="s">
        <v>28</v>
      </c>
      <c r="D118" s="58">
        <v>43987</v>
      </c>
      <c r="F118" s="34"/>
      <c r="G118" s="46"/>
      <c r="H118" s="46"/>
      <c r="I118" s="46"/>
      <c r="K118" s="39">
        <v>1522209</v>
      </c>
      <c r="L118" s="16" t="s">
        <v>1167</v>
      </c>
      <c r="M118" s="22" t="s">
        <v>31</v>
      </c>
      <c r="N118" s="46"/>
      <c r="O118" s="46"/>
      <c r="P118" s="46"/>
      <c r="Q118" s="28" t="s">
        <v>33</v>
      </c>
      <c r="R118" s="28" t="s">
        <v>94</v>
      </c>
      <c r="S118" s="54" t="s">
        <v>35</v>
      </c>
      <c r="T118" s="54" t="s">
        <v>36</v>
      </c>
      <c r="U118" s="46"/>
    </row>
    <row r="119" spans="2:21">
      <c r="B119" s="21" t="s">
        <v>47</v>
      </c>
      <c r="C119" s="98" t="s">
        <v>28</v>
      </c>
      <c r="D119" s="58">
        <v>43987</v>
      </c>
      <c r="F119" s="34"/>
      <c r="G119" s="46"/>
      <c r="H119" s="46"/>
      <c r="I119" s="46"/>
      <c r="K119" s="39">
        <v>1522208</v>
      </c>
      <c r="L119" s="16" t="s">
        <v>1168</v>
      </c>
      <c r="M119" s="22" t="s">
        <v>31</v>
      </c>
      <c r="N119" s="46"/>
      <c r="O119" s="46"/>
      <c r="P119" s="46"/>
      <c r="Q119" s="28" t="s">
        <v>33</v>
      </c>
      <c r="R119" s="28" t="s">
        <v>94</v>
      </c>
      <c r="S119" s="54" t="s">
        <v>35</v>
      </c>
      <c r="T119" s="54" t="s">
        <v>36</v>
      </c>
      <c r="U119" s="46"/>
    </row>
    <row r="120" spans="2:21">
      <c r="B120" s="21" t="s">
        <v>47</v>
      </c>
      <c r="C120" s="98" t="s">
        <v>28</v>
      </c>
      <c r="D120" s="58">
        <v>43987</v>
      </c>
      <c r="F120" s="34"/>
      <c r="G120" s="46"/>
      <c r="H120" s="46"/>
      <c r="I120" s="46"/>
      <c r="K120" s="39">
        <v>1408005</v>
      </c>
      <c r="L120" s="16" t="s">
        <v>1169</v>
      </c>
      <c r="M120" s="22" t="s">
        <v>31</v>
      </c>
      <c r="N120" s="46"/>
      <c r="O120" s="46"/>
      <c r="P120" s="46"/>
      <c r="Q120" s="28" t="s">
        <v>33</v>
      </c>
      <c r="R120" s="28" t="s">
        <v>94</v>
      </c>
      <c r="S120" s="54" t="s">
        <v>35</v>
      </c>
      <c r="T120" s="54" t="s">
        <v>36</v>
      </c>
      <c r="U120" s="46"/>
    </row>
    <row r="121" spans="2:21">
      <c r="B121" s="21" t="s">
        <v>47</v>
      </c>
      <c r="C121" s="98" t="s">
        <v>28</v>
      </c>
      <c r="D121" s="58">
        <v>43987</v>
      </c>
      <c r="F121" s="34"/>
      <c r="G121" s="46"/>
      <c r="H121" s="46"/>
      <c r="I121" s="46"/>
      <c r="K121" s="39">
        <v>1408004</v>
      </c>
      <c r="L121" s="16" t="s">
        <v>1170</v>
      </c>
      <c r="M121" s="22" t="s">
        <v>31</v>
      </c>
      <c r="N121" s="46"/>
      <c r="O121" s="46"/>
      <c r="P121" s="46"/>
      <c r="Q121" s="28" t="s">
        <v>33</v>
      </c>
      <c r="R121" s="28" t="s">
        <v>94</v>
      </c>
      <c r="S121" s="54" t="s">
        <v>35</v>
      </c>
      <c r="T121" s="54" t="s">
        <v>36</v>
      </c>
      <c r="U121" s="46"/>
    </row>
    <row r="122" spans="2:21">
      <c r="B122" s="21" t="s">
        <v>47</v>
      </c>
      <c r="C122" s="98" t="s">
        <v>28</v>
      </c>
      <c r="D122" s="58">
        <v>43987</v>
      </c>
      <c r="F122" s="34"/>
      <c r="G122" s="46"/>
      <c r="H122" s="46"/>
      <c r="I122" s="46"/>
      <c r="K122" s="39">
        <v>1968702</v>
      </c>
      <c r="L122" s="16" t="s">
        <v>1171</v>
      </c>
      <c r="M122" s="22" t="s">
        <v>31</v>
      </c>
      <c r="N122" s="46"/>
      <c r="O122" s="46"/>
      <c r="P122" s="46"/>
      <c r="Q122" s="28" t="s">
        <v>33</v>
      </c>
      <c r="R122" s="28" t="s">
        <v>94</v>
      </c>
      <c r="S122" s="54" t="s">
        <v>35</v>
      </c>
      <c r="T122" s="54" t="s">
        <v>36</v>
      </c>
      <c r="U122" s="46"/>
    </row>
    <row r="123" spans="2:21">
      <c r="B123" s="21" t="s">
        <v>47</v>
      </c>
      <c r="C123" s="98" t="s">
        <v>28</v>
      </c>
      <c r="D123" s="58">
        <v>43987</v>
      </c>
      <c r="F123" s="34"/>
      <c r="G123" s="46"/>
      <c r="H123" s="46"/>
      <c r="I123" s="46"/>
      <c r="K123" s="39">
        <v>1306402</v>
      </c>
      <c r="L123" s="16" t="s">
        <v>1172</v>
      </c>
      <c r="M123" s="22" t="s">
        <v>31</v>
      </c>
      <c r="N123" s="46"/>
      <c r="O123" s="46"/>
      <c r="P123" s="46"/>
      <c r="Q123" s="28" t="s">
        <v>33</v>
      </c>
      <c r="R123" s="28" t="s">
        <v>221</v>
      </c>
      <c r="S123" s="54" t="s">
        <v>35</v>
      </c>
      <c r="T123" s="54" t="s">
        <v>36</v>
      </c>
      <c r="U123" s="46"/>
    </row>
    <row r="124" spans="2:21">
      <c r="B124" s="21" t="s">
        <v>47</v>
      </c>
      <c r="C124" s="98" t="s">
        <v>28</v>
      </c>
      <c r="D124" s="58">
        <v>43987</v>
      </c>
      <c r="F124" s="34"/>
      <c r="G124" s="46"/>
      <c r="H124" s="46"/>
      <c r="I124" s="46"/>
      <c r="K124" s="39">
        <v>1522210</v>
      </c>
      <c r="L124" s="16" t="s">
        <v>1173</v>
      </c>
      <c r="M124" s="22" t="s">
        <v>31</v>
      </c>
      <c r="N124" s="46"/>
      <c r="O124" s="46"/>
      <c r="P124" s="46"/>
      <c r="Q124" s="28" t="s">
        <v>33</v>
      </c>
      <c r="R124" s="28" t="s">
        <v>94</v>
      </c>
      <c r="S124" s="54" t="s">
        <v>35</v>
      </c>
      <c r="T124" s="54" t="s">
        <v>36</v>
      </c>
      <c r="U124" s="46"/>
    </row>
    <row r="125" spans="2:21">
      <c r="B125" s="21" t="s">
        <v>47</v>
      </c>
      <c r="C125" s="54" t="s">
        <v>28</v>
      </c>
      <c r="D125" s="104">
        <v>44008</v>
      </c>
      <c r="F125" s="34"/>
      <c r="G125" s="46"/>
      <c r="H125" s="46"/>
      <c r="I125" s="46"/>
      <c r="K125" s="39">
        <v>2156003</v>
      </c>
      <c r="L125" s="16" t="s">
        <v>1174</v>
      </c>
      <c r="M125" s="36" t="s">
        <v>31</v>
      </c>
      <c r="N125" s="46"/>
      <c r="O125" s="46"/>
      <c r="P125" s="46"/>
      <c r="Q125" s="28" t="s">
        <v>33</v>
      </c>
      <c r="R125" s="28" t="s">
        <v>94</v>
      </c>
      <c r="S125" s="54" t="s">
        <v>35</v>
      </c>
      <c r="T125" s="54" t="s">
        <v>36</v>
      </c>
      <c r="U125" s="46"/>
    </row>
    <row r="126" spans="2:21">
      <c r="B126" s="21" t="s">
        <v>47</v>
      </c>
      <c r="C126" s="54" t="s">
        <v>28</v>
      </c>
      <c r="D126" s="99">
        <v>44008</v>
      </c>
      <c r="F126" s="34"/>
      <c r="G126" s="46"/>
      <c r="H126" s="46"/>
      <c r="I126" s="46"/>
      <c r="K126" s="39">
        <v>2156001</v>
      </c>
      <c r="L126" s="16" t="s">
        <v>1175</v>
      </c>
      <c r="M126" s="36" t="s">
        <v>31</v>
      </c>
      <c r="N126" s="46"/>
      <c r="O126" s="46"/>
      <c r="P126" s="46"/>
      <c r="Q126" s="28" t="s">
        <v>33</v>
      </c>
      <c r="R126" s="28" t="s">
        <v>94</v>
      </c>
      <c r="S126" s="54" t="s">
        <v>35</v>
      </c>
      <c r="T126" s="54" t="s">
        <v>36</v>
      </c>
      <c r="U126" s="46"/>
    </row>
    <row r="127" spans="2:21">
      <c r="B127" s="21" t="s">
        <v>47</v>
      </c>
      <c r="C127" s="54" t="s">
        <v>28</v>
      </c>
      <c r="D127" s="99">
        <v>44008</v>
      </c>
      <c r="F127" s="34"/>
      <c r="G127" s="46"/>
      <c r="H127" s="46"/>
      <c r="I127" s="46"/>
      <c r="K127" s="39">
        <v>2156002</v>
      </c>
      <c r="L127" s="16" t="s">
        <v>1176</v>
      </c>
      <c r="M127" s="36" t="s">
        <v>31</v>
      </c>
      <c r="N127" s="46"/>
      <c r="O127" s="46"/>
      <c r="P127" s="46"/>
      <c r="Q127" s="28" t="s">
        <v>33</v>
      </c>
      <c r="R127" s="28" t="s">
        <v>94</v>
      </c>
      <c r="S127" s="54" t="s">
        <v>35</v>
      </c>
      <c r="T127" s="54" t="s">
        <v>36</v>
      </c>
      <c r="U127" s="46"/>
    </row>
    <row r="128" spans="2:21">
      <c r="B128" s="21" t="s">
        <v>47</v>
      </c>
      <c r="C128" s="54" t="s">
        <v>28</v>
      </c>
      <c r="D128" s="99">
        <v>44008</v>
      </c>
      <c r="F128" s="34"/>
      <c r="G128" s="46"/>
      <c r="H128" s="46"/>
      <c r="I128" s="46"/>
      <c r="K128" s="292">
        <v>2154801</v>
      </c>
      <c r="L128" s="16" t="s">
        <v>1177</v>
      </c>
      <c r="M128" s="36" t="s">
        <v>31</v>
      </c>
      <c r="N128" s="46"/>
      <c r="O128" s="46"/>
      <c r="P128" s="46"/>
      <c r="Q128" s="28" t="s">
        <v>33</v>
      </c>
      <c r="R128" s="28" t="s">
        <v>94</v>
      </c>
      <c r="S128" s="54" t="s">
        <v>35</v>
      </c>
      <c r="T128" s="54" t="s">
        <v>36</v>
      </c>
      <c r="U128" s="46"/>
    </row>
    <row r="129" spans="2:21">
      <c r="B129" s="21" t="s">
        <v>47</v>
      </c>
      <c r="C129" s="54" t="s">
        <v>28</v>
      </c>
      <c r="D129" s="99">
        <v>44008</v>
      </c>
      <c r="F129" s="34"/>
      <c r="G129" s="46"/>
      <c r="H129" s="46"/>
      <c r="I129" s="46"/>
      <c r="K129" s="292">
        <v>2154802</v>
      </c>
      <c r="L129" s="16" t="s">
        <v>1178</v>
      </c>
      <c r="M129" s="36" t="s">
        <v>31</v>
      </c>
      <c r="N129" s="46"/>
      <c r="O129" s="46"/>
      <c r="P129" s="46"/>
      <c r="Q129" s="28" t="s">
        <v>33</v>
      </c>
      <c r="R129" s="28" t="s">
        <v>94</v>
      </c>
      <c r="S129" s="54" t="s">
        <v>35</v>
      </c>
      <c r="T129" s="54" t="s">
        <v>36</v>
      </c>
      <c r="U129" s="46"/>
    </row>
    <row r="130" spans="2:21">
      <c r="B130" s="21" t="s">
        <v>47</v>
      </c>
      <c r="C130" s="54" t="s">
        <v>28</v>
      </c>
      <c r="D130" s="99">
        <v>44008</v>
      </c>
      <c r="F130" s="34"/>
      <c r="G130" s="46"/>
      <c r="H130" s="46"/>
      <c r="I130" s="46"/>
      <c r="K130" s="39">
        <v>2154301</v>
      </c>
      <c r="L130" s="16" t="s">
        <v>1179</v>
      </c>
      <c r="M130" s="36" t="s">
        <v>31</v>
      </c>
      <c r="N130" s="46"/>
      <c r="O130" s="46"/>
      <c r="P130" s="46"/>
      <c r="Q130" s="28" t="s">
        <v>33</v>
      </c>
      <c r="R130" s="28" t="s">
        <v>94</v>
      </c>
      <c r="S130" s="54" t="s">
        <v>35</v>
      </c>
      <c r="T130" s="54" t="s">
        <v>36</v>
      </c>
      <c r="U130" s="46"/>
    </row>
    <row r="131" spans="2:21">
      <c r="B131" s="21" t="s">
        <v>47</v>
      </c>
      <c r="C131" s="54" t="s">
        <v>28</v>
      </c>
      <c r="D131" s="99">
        <v>44008</v>
      </c>
      <c r="F131" s="34"/>
      <c r="G131" s="46"/>
      <c r="H131" s="46"/>
      <c r="I131" s="46"/>
      <c r="K131" s="39">
        <v>2154701</v>
      </c>
      <c r="L131" s="16" t="s">
        <v>1180</v>
      </c>
      <c r="M131" s="36" t="s">
        <v>31</v>
      </c>
      <c r="N131" s="46"/>
      <c r="O131" s="46"/>
      <c r="P131" s="46"/>
      <c r="Q131" s="28" t="s">
        <v>33</v>
      </c>
      <c r="R131" s="28" t="s">
        <v>94</v>
      </c>
      <c r="S131" s="54" t="s">
        <v>35</v>
      </c>
      <c r="T131" s="54" t="s">
        <v>36</v>
      </c>
      <c r="U131" s="46"/>
    </row>
    <row r="132" spans="2:21">
      <c r="B132" s="21" t="s">
        <v>47</v>
      </c>
      <c r="C132" s="54" t="s">
        <v>28</v>
      </c>
      <c r="D132" s="99">
        <v>44008</v>
      </c>
      <c r="F132" s="34"/>
      <c r="G132" s="46"/>
      <c r="H132" s="46"/>
      <c r="I132" s="46"/>
      <c r="K132" s="39">
        <v>2154702</v>
      </c>
      <c r="L132" s="16" t="s">
        <v>1181</v>
      </c>
      <c r="M132" s="36" t="s">
        <v>31</v>
      </c>
      <c r="N132" s="46"/>
      <c r="O132" s="46"/>
      <c r="P132" s="46"/>
      <c r="Q132" s="28" t="s">
        <v>33</v>
      </c>
      <c r="R132" s="28" t="s">
        <v>94</v>
      </c>
      <c r="S132" s="54" t="s">
        <v>35</v>
      </c>
      <c r="T132" s="54" t="s">
        <v>36</v>
      </c>
      <c r="U132" s="46"/>
    </row>
    <row r="133" spans="2:21">
      <c r="B133" s="21" t="s">
        <v>47</v>
      </c>
      <c r="C133" s="54" t="s">
        <v>28</v>
      </c>
      <c r="D133" s="99">
        <v>44015</v>
      </c>
      <c r="F133" s="34"/>
      <c r="G133" s="46"/>
      <c r="H133" s="46"/>
      <c r="I133" s="46"/>
      <c r="K133" s="82">
        <v>2158701</v>
      </c>
      <c r="L133" s="16" t="s">
        <v>1182</v>
      </c>
      <c r="M133" s="36" t="s">
        <v>31</v>
      </c>
      <c r="N133" s="46"/>
      <c r="O133" s="46"/>
      <c r="P133" s="46"/>
      <c r="Q133" s="28" t="s">
        <v>33</v>
      </c>
      <c r="R133" s="28" t="s">
        <v>94</v>
      </c>
      <c r="S133" s="54" t="s">
        <v>35</v>
      </c>
      <c r="T133" s="54" t="s">
        <v>36</v>
      </c>
      <c r="U133" s="34"/>
    </row>
    <row r="134" spans="2:21">
      <c r="B134" s="21" t="s">
        <v>47</v>
      </c>
      <c r="C134" s="54" t="s">
        <v>28</v>
      </c>
      <c r="D134" s="99">
        <v>44015</v>
      </c>
      <c r="F134" s="34"/>
      <c r="G134" s="46"/>
      <c r="H134" s="46"/>
      <c r="I134" s="46"/>
      <c r="K134" s="82">
        <v>2158702</v>
      </c>
      <c r="L134" s="16" t="s">
        <v>1183</v>
      </c>
      <c r="M134" s="36" t="s">
        <v>31</v>
      </c>
      <c r="N134" s="46"/>
      <c r="O134" s="46"/>
      <c r="P134" s="46"/>
      <c r="Q134" s="28" t="s">
        <v>33</v>
      </c>
      <c r="R134" s="28" t="s">
        <v>94</v>
      </c>
      <c r="S134" s="54" t="s">
        <v>35</v>
      </c>
      <c r="T134" s="54" t="s">
        <v>36</v>
      </c>
      <c r="U134" s="34"/>
    </row>
    <row r="135" spans="2:21">
      <c r="B135" s="21" t="s">
        <v>47</v>
      </c>
      <c r="C135" s="54" t="s">
        <v>28</v>
      </c>
      <c r="D135" s="99">
        <v>44015</v>
      </c>
      <c r="F135" s="34"/>
      <c r="G135" s="46"/>
      <c r="H135" s="46"/>
      <c r="I135" s="46"/>
      <c r="K135" s="82">
        <v>2159001</v>
      </c>
      <c r="L135" s="16" t="s">
        <v>1184</v>
      </c>
      <c r="M135" s="36" t="s">
        <v>31</v>
      </c>
      <c r="N135" s="46"/>
      <c r="O135" s="46"/>
      <c r="P135" s="46"/>
      <c r="Q135" s="28" t="s">
        <v>33</v>
      </c>
      <c r="R135" s="28" t="s">
        <v>94</v>
      </c>
      <c r="S135" s="54" t="s">
        <v>35</v>
      </c>
      <c r="T135" s="54" t="s">
        <v>36</v>
      </c>
      <c r="U135" s="34"/>
    </row>
    <row r="136" spans="2:21">
      <c r="B136" s="21" t="s">
        <v>47</v>
      </c>
      <c r="C136" s="54" t="s">
        <v>28</v>
      </c>
      <c r="D136" s="99">
        <v>44015</v>
      </c>
      <c r="F136" s="34"/>
      <c r="G136" s="46"/>
      <c r="H136" s="46"/>
      <c r="I136" s="46"/>
      <c r="K136" s="82">
        <v>2158802</v>
      </c>
      <c r="L136" s="16" t="s">
        <v>1185</v>
      </c>
      <c r="M136" s="36" t="s">
        <v>31</v>
      </c>
      <c r="N136" s="46"/>
      <c r="O136" s="46"/>
      <c r="P136" s="46"/>
      <c r="Q136" s="28" t="s">
        <v>33</v>
      </c>
      <c r="R136" s="28" t="s">
        <v>94</v>
      </c>
      <c r="S136" s="54" t="s">
        <v>35</v>
      </c>
      <c r="T136" s="54" t="s">
        <v>36</v>
      </c>
      <c r="U136" s="34"/>
    </row>
    <row r="137" spans="2:21">
      <c r="B137" s="21" t="s">
        <v>47</v>
      </c>
      <c r="C137" s="54" t="s">
        <v>28</v>
      </c>
      <c r="D137" s="99">
        <v>44015</v>
      </c>
      <c r="F137" s="34"/>
      <c r="G137" s="46"/>
      <c r="H137" s="46"/>
      <c r="I137" s="46"/>
      <c r="K137" s="82">
        <v>2158801</v>
      </c>
      <c r="L137" s="16" t="s">
        <v>1186</v>
      </c>
      <c r="M137" s="36" t="s">
        <v>31</v>
      </c>
      <c r="N137" s="46"/>
      <c r="O137" s="46"/>
      <c r="P137" s="46"/>
      <c r="Q137" s="28" t="s">
        <v>33</v>
      </c>
      <c r="R137" s="28" t="s">
        <v>94</v>
      </c>
      <c r="S137" s="54" t="s">
        <v>35</v>
      </c>
      <c r="T137" s="54" t="s">
        <v>36</v>
      </c>
      <c r="U137" s="34" t="s">
        <v>1187</v>
      </c>
    </row>
    <row r="138" spans="2:21">
      <c r="B138" s="21" t="s">
        <v>47</v>
      </c>
      <c r="C138" s="54" t="s">
        <v>28</v>
      </c>
      <c r="D138" s="99">
        <v>44015</v>
      </c>
      <c r="F138" s="34"/>
      <c r="G138" s="46"/>
      <c r="H138" s="46"/>
      <c r="I138" s="46"/>
      <c r="K138" s="82">
        <v>2158901</v>
      </c>
      <c r="L138" s="16" t="s">
        <v>1188</v>
      </c>
      <c r="M138" s="36" t="s">
        <v>31</v>
      </c>
      <c r="N138" s="46"/>
      <c r="O138" s="46"/>
      <c r="P138" s="46"/>
      <c r="Q138" s="28" t="s">
        <v>33</v>
      </c>
      <c r="R138" s="28" t="s">
        <v>94</v>
      </c>
      <c r="S138" s="54" t="s">
        <v>35</v>
      </c>
      <c r="T138" s="54" t="s">
        <v>36</v>
      </c>
      <c r="U138" s="34"/>
    </row>
    <row r="139" spans="2:21">
      <c r="B139" s="21" t="s">
        <v>47</v>
      </c>
      <c r="C139" s="54" t="s">
        <v>28</v>
      </c>
      <c r="D139" s="99">
        <v>44015</v>
      </c>
      <c r="F139" s="34"/>
      <c r="G139" s="46"/>
      <c r="H139" s="46"/>
      <c r="I139" s="46"/>
      <c r="K139" s="82">
        <v>2158902</v>
      </c>
      <c r="L139" s="16" t="s">
        <v>1189</v>
      </c>
      <c r="M139" s="36" t="s">
        <v>31</v>
      </c>
      <c r="N139" s="46"/>
      <c r="O139" s="46"/>
      <c r="P139" s="46"/>
      <c r="Q139" s="28" t="s">
        <v>33</v>
      </c>
      <c r="R139" s="28" t="s">
        <v>221</v>
      </c>
      <c r="S139" s="54" t="s">
        <v>35</v>
      </c>
      <c r="T139" s="54" t="s">
        <v>36</v>
      </c>
      <c r="U139" s="34"/>
    </row>
    <row r="140" spans="2:21">
      <c r="B140" s="21" t="s">
        <v>47</v>
      </c>
      <c r="C140" s="54" t="s">
        <v>28</v>
      </c>
      <c r="D140" s="58">
        <v>44120</v>
      </c>
      <c r="F140" s="34"/>
      <c r="G140" s="46"/>
      <c r="H140" s="46"/>
      <c r="I140" s="46"/>
      <c r="K140" s="82">
        <v>153725</v>
      </c>
      <c r="L140" s="16" t="s">
        <v>1190</v>
      </c>
      <c r="M140" s="36" t="s">
        <v>31</v>
      </c>
      <c r="N140" s="46"/>
      <c r="O140" s="46"/>
      <c r="P140" s="46"/>
      <c r="Q140" s="28" t="s">
        <v>33</v>
      </c>
      <c r="R140" s="28" t="s">
        <v>94</v>
      </c>
      <c r="S140" s="54" t="s">
        <v>35</v>
      </c>
      <c r="T140" s="54" t="s">
        <v>36</v>
      </c>
      <c r="U140" s="34"/>
    </row>
    <row r="141" spans="2:21">
      <c r="B141" s="21" t="s">
        <v>47</v>
      </c>
      <c r="C141" s="54" t="s">
        <v>28</v>
      </c>
      <c r="D141" s="58">
        <v>44120</v>
      </c>
      <c r="F141" s="34"/>
      <c r="G141" s="46"/>
      <c r="H141" s="46"/>
      <c r="I141" s="46"/>
      <c r="K141" s="39">
        <v>1582406</v>
      </c>
      <c r="L141" s="16" t="s">
        <v>1191</v>
      </c>
      <c r="M141" s="36" t="s">
        <v>31</v>
      </c>
      <c r="N141" s="46"/>
      <c r="O141" s="46"/>
      <c r="P141" s="46"/>
      <c r="Q141" s="28" t="s">
        <v>33</v>
      </c>
      <c r="R141" s="28" t="s">
        <v>94</v>
      </c>
      <c r="S141" s="54" t="s">
        <v>35</v>
      </c>
      <c r="T141" s="54" t="s">
        <v>36</v>
      </c>
      <c r="U141" s="34"/>
    </row>
    <row r="142" spans="2:21">
      <c r="B142" s="21" t="s">
        <v>47</v>
      </c>
      <c r="C142" s="54" t="s">
        <v>28</v>
      </c>
      <c r="D142" s="58">
        <v>44127</v>
      </c>
      <c r="F142" s="34"/>
      <c r="G142" s="46"/>
      <c r="H142" s="46"/>
      <c r="I142" s="46"/>
      <c r="K142" s="39">
        <v>2056704</v>
      </c>
      <c r="L142" s="16" t="s">
        <v>1192</v>
      </c>
      <c r="M142" s="36" t="s">
        <v>31</v>
      </c>
      <c r="N142" s="46"/>
      <c r="O142" s="46"/>
      <c r="P142" s="46"/>
      <c r="Q142" s="28" t="s">
        <v>33</v>
      </c>
      <c r="R142" s="28" t="s">
        <v>94</v>
      </c>
      <c r="S142" s="54" t="s">
        <v>35</v>
      </c>
      <c r="T142" s="54" t="s">
        <v>36</v>
      </c>
      <c r="U142" s="34"/>
    </row>
    <row r="143" spans="2:21">
      <c r="B143" s="21" t="s">
        <v>47</v>
      </c>
      <c r="C143" s="54" t="s">
        <v>28</v>
      </c>
      <c r="D143" s="58">
        <v>44127</v>
      </c>
      <c r="F143" s="34"/>
      <c r="G143" s="46"/>
      <c r="H143" s="46"/>
      <c r="I143" s="46"/>
      <c r="K143" s="39">
        <v>2056705</v>
      </c>
      <c r="L143" s="16" t="s">
        <v>1193</v>
      </c>
      <c r="M143" s="36" t="s">
        <v>31</v>
      </c>
      <c r="N143" s="46"/>
      <c r="O143" s="46"/>
      <c r="P143" s="46"/>
      <c r="Q143" s="28" t="s">
        <v>33</v>
      </c>
      <c r="R143" s="28" t="s">
        <v>94</v>
      </c>
      <c r="S143" s="54" t="s">
        <v>35</v>
      </c>
      <c r="T143" s="54" t="s">
        <v>36</v>
      </c>
      <c r="U143" s="34"/>
    </row>
    <row r="144" spans="2:21">
      <c r="B144" s="21" t="s">
        <v>47</v>
      </c>
      <c r="C144" s="54" t="s">
        <v>28</v>
      </c>
      <c r="D144" s="58">
        <v>44127</v>
      </c>
      <c r="F144" s="34"/>
      <c r="G144" s="46"/>
      <c r="H144" s="46"/>
      <c r="I144" s="46"/>
      <c r="K144" s="39">
        <v>1582409</v>
      </c>
      <c r="L144" s="16" t="s">
        <v>1194</v>
      </c>
      <c r="M144" s="36" t="s">
        <v>31</v>
      </c>
      <c r="N144" s="46"/>
      <c r="O144" s="46"/>
      <c r="P144" s="46"/>
      <c r="Q144" s="28" t="s">
        <v>33</v>
      </c>
      <c r="R144" s="28" t="s">
        <v>94</v>
      </c>
      <c r="S144" s="54" t="s">
        <v>35</v>
      </c>
      <c r="T144" s="54" t="s">
        <v>36</v>
      </c>
      <c r="U144" s="34"/>
    </row>
    <row r="145" spans="2:21">
      <c r="B145" s="21" t="s">
        <v>47</v>
      </c>
      <c r="C145" s="54" t="s">
        <v>28</v>
      </c>
      <c r="D145" s="58">
        <v>44127</v>
      </c>
      <c r="F145" s="34"/>
      <c r="G145" s="46"/>
      <c r="H145" s="46"/>
      <c r="I145" s="46"/>
      <c r="K145" s="39">
        <v>1582408</v>
      </c>
      <c r="L145" s="16" t="s">
        <v>1195</v>
      </c>
      <c r="M145" s="36" t="s">
        <v>31</v>
      </c>
      <c r="N145" s="46"/>
      <c r="O145" s="46"/>
      <c r="P145" s="46"/>
      <c r="Q145" s="28" t="s">
        <v>33</v>
      </c>
      <c r="R145" s="28" t="s">
        <v>94</v>
      </c>
      <c r="S145" s="54" t="s">
        <v>35</v>
      </c>
      <c r="T145" s="54" t="s">
        <v>36</v>
      </c>
      <c r="U145" s="34"/>
    </row>
    <row r="146" spans="2:21">
      <c r="B146" s="21" t="s">
        <v>47</v>
      </c>
      <c r="C146" s="54" t="s">
        <v>28</v>
      </c>
      <c r="D146" s="58">
        <v>44127</v>
      </c>
      <c r="F146" s="34"/>
      <c r="G146" s="46"/>
      <c r="H146" s="46"/>
      <c r="I146" s="46"/>
      <c r="K146" s="39">
        <v>1582407</v>
      </c>
      <c r="L146" s="16" t="s">
        <v>1196</v>
      </c>
      <c r="M146" s="36" t="s">
        <v>31</v>
      </c>
      <c r="N146" s="46"/>
      <c r="O146" s="46"/>
      <c r="P146" s="46"/>
      <c r="Q146" s="28" t="s">
        <v>33</v>
      </c>
      <c r="R146" s="28" t="s">
        <v>94</v>
      </c>
      <c r="S146" s="54" t="s">
        <v>35</v>
      </c>
      <c r="T146" s="54" t="s">
        <v>36</v>
      </c>
      <c r="U146" s="34"/>
    </row>
    <row r="147" spans="2:21">
      <c r="B147" s="21" t="s">
        <v>47</v>
      </c>
      <c r="C147" s="54" t="s">
        <v>28</v>
      </c>
      <c r="D147" s="58">
        <v>44127</v>
      </c>
      <c r="F147" s="34"/>
      <c r="G147" s="46"/>
      <c r="H147" s="46"/>
      <c r="I147" s="46"/>
      <c r="K147" s="39">
        <v>1008905</v>
      </c>
      <c r="L147" s="16" t="s">
        <v>1197</v>
      </c>
      <c r="M147" s="36" t="s">
        <v>31</v>
      </c>
      <c r="N147" s="46"/>
      <c r="O147" s="46"/>
      <c r="P147" s="46"/>
      <c r="Q147" s="28" t="s">
        <v>33</v>
      </c>
      <c r="R147" s="28" t="s">
        <v>94</v>
      </c>
      <c r="S147" s="54" t="s">
        <v>35</v>
      </c>
      <c r="T147" s="54" t="s">
        <v>36</v>
      </c>
      <c r="U147" s="34"/>
    </row>
    <row r="148" spans="2:21">
      <c r="B148" s="21" t="s">
        <v>47</v>
      </c>
      <c r="C148" s="54" t="s">
        <v>28</v>
      </c>
      <c r="D148" s="58">
        <v>44127</v>
      </c>
      <c r="F148" s="34"/>
      <c r="G148" s="46"/>
      <c r="H148" s="46"/>
      <c r="I148" s="46"/>
      <c r="K148" s="39">
        <v>1008906</v>
      </c>
      <c r="L148" s="16" t="s">
        <v>1198</v>
      </c>
      <c r="M148" s="36" t="s">
        <v>31</v>
      </c>
      <c r="N148" s="46"/>
      <c r="O148" s="46"/>
      <c r="P148" s="46"/>
      <c r="Q148" s="28" t="s">
        <v>33</v>
      </c>
      <c r="R148" s="28" t="s">
        <v>94</v>
      </c>
      <c r="S148" s="54" t="s">
        <v>35</v>
      </c>
      <c r="T148" s="54" t="s">
        <v>36</v>
      </c>
      <c r="U148" s="34"/>
    </row>
    <row r="149" spans="2:21">
      <c r="B149" s="21" t="s">
        <v>47</v>
      </c>
      <c r="C149" s="54" t="s">
        <v>28</v>
      </c>
      <c r="D149" s="58">
        <v>44127</v>
      </c>
      <c r="F149" s="34"/>
      <c r="G149" s="46"/>
      <c r="H149" s="46"/>
      <c r="I149" s="46"/>
      <c r="K149" s="39">
        <v>262726</v>
      </c>
      <c r="L149" s="16" t="s">
        <v>1199</v>
      </c>
      <c r="M149" s="36" t="s">
        <v>31</v>
      </c>
      <c r="N149" s="46"/>
      <c r="O149" s="46"/>
      <c r="P149" s="46"/>
      <c r="Q149" s="28" t="s">
        <v>33</v>
      </c>
      <c r="R149" s="28" t="s">
        <v>94</v>
      </c>
      <c r="S149" s="54" t="s">
        <v>35</v>
      </c>
      <c r="T149" s="54" t="s">
        <v>36</v>
      </c>
      <c r="U149" s="34"/>
    </row>
    <row r="150" spans="2:21">
      <c r="B150" s="21" t="s">
        <v>47</v>
      </c>
      <c r="C150" s="54" t="s">
        <v>28</v>
      </c>
      <c r="D150" s="58">
        <v>44127</v>
      </c>
      <c r="F150" s="34"/>
      <c r="G150" s="46"/>
      <c r="H150" s="46"/>
      <c r="I150" s="46"/>
      <c r="K150" s="39">
        <v>262729</v>
      </c>
      <c r="L150" s="16" t="s">
        <v>1200</v>
      </c>
      <c r="M150" s="36" t="s">
        <v>31</v>
      </c>
      <c r="N150" s="46"/>
      <c r="O150" s="46"/>
      <c r="P150" s="46"/>
      <c r="Q150" s="28" t="s">
        <v>33</v>
      </c>
      <c r="R150" s="28" t="s">
        <v>94</v>
      </c>
      <c r="S150" s="54" t="s">
        <v>35</v>
      </c>
      <c r="T150" s="54" t="s">
        <v>36</v>
      </c>
      <c r="U150" s="34"/>
    </row>
    <row r="151" spans="2:21">
      <c r="B151" s="21" t="s">
        <v>47</v>
      </c>
      <c r="C151" s="54" t="s">
        <v>28</v>
      </c>
      <c r="D151" s="58">
        <v>44127</v>
      </c>
      <c r="F151" s="34"/>
      <c r="G151" s="46"/>
      <c r="H151" s="46"/>
      <c r="I151" s="46"/>
      <c r="K151" s="39">
        <v>2220001</v>
      </c>
      <c r="L151" s="16" t="s">
        <v>1201</v>
      </c>
      <c r="M151" s="36" t="s">
        <v>31</v>
      </c>
      <c r="N151" s="46"/>
      <c r="O151" s="46"/>
      <c r="P151" s="46"/>
      <c r="Q151" s="28" t="s">
        <v>33</v>
      </c>
      <c r="R151" s="28" t="s">
        <v>94</v>
      </c>
      <c r="S151" s="54" t="s">
        <v>35</v>
      </c>
      <c r="T151" s="54" t="s">
        <v>36</v>
      </c>
      <c r="U151" s="34"/>
    </row>
    <row r="152" spans="2:21">
      <c r="B152" s="21" t="s">
        <v>47</v>
      </c>
      <c r="C152" s="54" t="s">
        <v>28</v>
      </c>
      <c r="D152" s="58">
        <v>44127</v>
      </c>
      <c r="F152" s="34"/>
      <c r="G152" s="46"/>
      <c r="H152" s="46"/>
      <c r="I152" s="46"/>
      <c r="K152" s="39">
        <v>2220002</v>
      </c>
      <c r="L152" s="16" t="s">
        <v>1202</v>
      </c>
      <c r="M152" s="22" t="s">
        <v>31</v>
      </c>
      <c r="N152" s="46"/>
      <c r="O152" s="46"/>
      <c r="P152" s="46"/>
      <c r="Q152" s="28" t="s">
        <v>33</v>
      </c>
      <c r="R152" s="28" t="s">
        <v>94</v>
      </c>
      <c r="S152" s="54" t="s">
        <v>35</v>
      </c>
      <c r="T152" s="54" t="s">
        <v>36</v>
      </c>
      <c r="U152" s="34"/>
    </row>
    <row r="153" spans="2:21">
      <c r="B153" s="21" t="s">
        <v>47</v>
      </c>
      <c r="C153" s="54" t="s">
        <v>28</v>
      </c>
      <c r="D153" s="58">
        <v>44127</v>
      </c>
      <c r="F153" s="34"/>
      <c r="G153" s="46"/>
      <c r="H153" s="46"/>
      <c r="I153" s="46"/>
      <c r="K153" s="39">
        <v>2220101</v>
      </c>
      <c r="L153" s="16" t="s">
        <v>1203</v>
      </c>
      <c r="M153" s="22" t="s">
        <v>31</v>
      </c>
      <c r="N153" s="46"/>
      <c r="O153" s="46"/>
      <c r="P153" s="46"/>
      <c r="Q153" s="28" t="s">
        <v>33</v>
      </c>
      <c r="R153" s="28" t="s">
        <v>94</v>
      </c>
      <c r="S153" s="54" t="s">
        <v>35</v>
      </c>
      <c r="T153" s="54" t="s">
        <v>36</v>
      </c>
      <c r="U153" s="34"/>
    </row>
    <row r="154" spans="2:21">
      <c r="B154" s="21" t="s">
        <v>47</v>
      </c>
      <c r="C154" s="54" t="s">
        <v>28</v>
      </c>
      <c r="D154" s="58">
        <v>44127</v>
      </c>
      <c r="F154" s="34"/>
      <c r="G154" s="46"/>
      <c r="H154" s="46"/>
      <c r="I154" s="46"/>
      <c r="K154" s="39">
        <v>2220102</v>
      </c>
      <c r="L154" s="16" t="s">
        <v>1204</v>
      </c>
      <c r="M154" s="22" t="s">
        <v>31</v>
      </c>
      <c r="N154" s="46"/>
      <c r="O154" s="46"/>
      <c r="P154" s="46"/>
      <c r="Q154" s="28" t="s">
        <v>33</v>
      </c>
      <c r="R154" s="28" t="s">
        <v>94</v>
      </c>
      <c r="S154" s="54" t="s">
        <v>35</v>
      </c>
      <c r="T154" s="54" t="s">
        <v>36</v>
      </c>
      <c r="U154" s="34"/>
    </row>
    <row r="155" spans="2:21">
      <c r="B155" s="21" t="s">
        <v>47</v>
      </c>
      <c r="C155" s="54" t="s">
        <v>28</v>
      </c>
      <c r="D155" s="58">
        <v>44127</v>
      </c>
      <c r="F155" s="34"/>
      <c r="G155" s="46"/>
      <c r="H155" s="46"/>
      <c r="I155" s="46"/>
      <c r="K155" s="39">
        <v>2220104</v>
      </c>
      <c r="L155" s="16" t="s">
        <v>1205</v>
      </c>
      <c r="M155" s="22" t="s">
        <v>31</v>
      </c>
      <c r="N155" s="46"/>
      <c r="O155" s="46"/>
      <c r="P155" s="46"/>
      <c r="Q155" s="28" t="s">
        <v>33</v>
      </c>
      <c r="R155" s="28" t="s">
        <v>94</v>
      </c>
      <c r="S155" s="54" t="s">
        <v>35</v>
      </c>
      <c r="T155" s="54" t="s">
        <v>36</v>
      </c>
      <c r="U155" s="34"/>
    </row>
    <row r="156" spans="2:21">
      <c r="B156" s="21" t="s">
        <v>47</v>
      </c>
      <c r="C156" s="54" t="s">
        <v>28</v>
      </c>
      <c r="D156" s="58">
        <v>44127</v>
      </c>
      <c r="F156" s="34"/>
      <c r="G156" s="46"/>
      <c r="H156" s="46"/>
      <c r="I156" s="46"/>
      <c r="K156" s="39">
        <v>2220103</v>
      </c>
      <c r="L156" s="78" t="s">
        <v>1206</v>
      </c>
      <c r="M156" s="22" t="s">
        <v>31</v>
      </c>
      <c r="N156" s="46"/>
      <c r="O156" s="46"/>
      <c r="P156" s="46"/>
      <c r="Q156" s="28" t="s">
        <v>33</v>
      </c>
      <c r="R156" s="28" t="s">
        <v>94</v>
      </c>
      <c r="S156" s="54" t="s">
        <v>35</v>
      </c>
      <c r="T156" s="54" t="s">
        <v>36</v>
      </c>
      <c r="U156" s="34"/>
    </row>
    <row r="157" spans="2:21">
      <c r="B157" s="21" t="s">
        <v>47</v>
      </c>
      <c r="C157" s="54" t="s">
        <v>28</v>
      </c>
      <c r="D157" s="58">
        <v>44127</v>
      </c>
      <c r="F157" s="34"/>
      <c r="G157" s="46"/>
      <c r="H157" s="46"/>
      <c r="I157" s="46"/>
      <c r="K157" s="39">
        <v>262728</v>
      </c>
      <c r="L157" s="16" t="s">
        <v>1207</v>
      </c>
      <c r="M157" s="22" t="s">
        <v>31</v>
      </c>
      <c r="N157" s="46"/>
      <c r="O157" s="46"/>
      <c r="P157" s="46"/>
      <c r="Q157" s="28" t="s">
        <v>33</v>
      </c>
      <c r="R157" s="28" t="s">
        <v>94</v>
      </c>
      <c r="S157" s="54" t="s">
        <v>35</v>
      </c>
      <c r="T157" s="54" t="s">
        <v>36</v>
      </c>
      <c r="U157" s="34"/>
    </row>
    <row r="158" spans="2:21">
      <c r="B158" s="21" t="s">
        <v>47</v>
      </c>
      <c r="C158" s="54" t="s">
        <v>28</v>
      </c>
      <c r="D158" s="58">
        <v>44127</v>
      </c>
      <c r="F158" s="34"/>
      <c r="G158" s="46"/>
      <c r="H158" s="46"/>
      <c r="I158" s="46"/>
      <c r="K158" s="39">
        <v>262727</v>
      </c>
      <c r="L158" s="16" t="s">
        <v>1208</v>
      </c>
      <c r="M158" s="22" t="s">
        <v>31</v>
      </c>
      <c r="N158" s="46"/>
      <c r="O158" s="46"/>
      <c r="P158" s="46"/>
      <c r="Q158" s="28" t="s">
        <v>33</v>
      </c>
      <c r="R158" s="28" t="s">
        <v>94</v>
      </c>
      <c r="S158" s="54" t="s">
        <v>35</v>
      </c>
      <c r="T158" s="54" t="s">
        <v>36</v>
      </c>
      <c r="U158" s="34"/>
    </row>
    <row r="159" spans="2:21">
      <c r="B159" s="21" t="s">
        <v>47</v>
      </c>
      <c r="C159" s="54" t="s">
        <v>28</v>
      </c>
      <c r="D159" s="58">
        <v>44148</v>
      </c>
      <c r="F159" s="34"/>
      <c r="G159" s="46"/>
      <c r="H159" s="46"/>
      <c r="I159" s="46"/>
      <c r="K159" s="39">
        <v>1911904</v>
      </c>
      <c r="L159" s="16" t="s">
        <v>1209</v>
      </c>
      <c r="M159" s="22" t="s">
        <v>31</v>
      </c>
      <c r="N159" s="46"/>
      <c r="O159" s="46"/>
      <c r="P159" s="46"/>
      <c r="Q159" s="28" t="s">
        <v>33</v>
      </c>
      <c r="R159" s="28" t="s">
        <v>94</v>
      </c>
      <c r="S159" s="54" t="s">
        <v>35</v>
      </c>
      <c r="T159" s="54" t="s">
        <v>36</v>
      </c>
      <c r="U159" s="34"/>
    </row>
    <row r="160" spans="2:21">
      <c r="B160" s="21" t="s">
        <v>47</v>
      </c>
      <c r="C160" s="54" t="s">
        <v>28</v>
      </c>
      <c r="D160" s="58">
        <v>44148</v>
      </c>
      <c r="F160" s="34"/>
      <c r="G160" s="46"/>
      <c r="H160" s="46"/>
      <c r="I160" s="46"/>
      <c r="K160" s="39">
        <v>2222801</v>
      </c>
      <c r="L160" s="16" t="s">
        <v>1210</v>
      </c>
      <c r="M160" s="22" t="s">
        <v>31</v>
      </c>
      <c r="N160" s="46"/>
      <c r="O160" s="46"/>
      <c r="P160" s="46"/>
      <c r="Q160" s="28" t="s">
        <v>33</v>
      </c>
      <c r="R160" s="28" t="s">
        <v>94</v>
      </c>
      <c r="S160" s="54" t="s">
        <v>35</v>
      </c>
      <c r="T160" s="54" t="s">
        <v>36</v>
      </c>
      <c r="U160" s="34"/>
    </row>
    <row r="161" spans="2:21">
      <c r="B161" s="21" t="s">
        <v>47</v>
      </c>
      <c r="C161" s="54" t="s">
        <v>28</v>
      </c>
      <c r="D161" s="58">
        <v>44148</v>
      </c>
      <c r="F161" s="34"/>
      <c r="G161" s="46"/>
      <c r="H161" s="46"/>
      <c r="I161" s="46"/>
      <c r="K161" s="39">
        <v>2222802</v>
      </c>
      <c r="L161" s="16" t="s">
        <v>1211</v>
      </c>
      <c r="M161" s="22" t="s">
        <v>31</v>
      </c>
      <c r="N161" s="46"/>
      <c r="O161" s="46"/>
      <c r="P161" s="46"/>
      <c r="Q161" s="28" t="s">
        <v>33</v>
      </c>
      <c r="R161" s="28" t="s">
        <v>94</v>
      </c>
      <c r="S161" s="54" t="s">
        <v>35</v>
      </c>
      <c r="T161" s="54" t="s">
        <v>36</v>
      </c>
      <c r="U161" s="34"/>
    </row>
    <row r="162" spans="2:21">
      <c r="B162" s="21" t="s">
        <v>47</v>
      </c>
      <c r="C162" s="121" t="s">
        <v>28</v>
      </c>
      <c r="D162" s="81">
        <v>44169</v>
      </c>
      <c r="E162" s="107"/>
      <c r="F162" s="38"/>
      <c r="G162" s="80"/>
      <c r="H162" s="80"/>
      <c r="I162" s="80"/>
      <c r="J162" s="107"/>
      <c r="K162" s="82">
        <v>2225202</v>
      </c>
      <c r="L162" s="78" t="s">
        <v>1212</v>
      </c>
      <c r="M162" s="82" t="s">
        <v>31</v>
      </c>
      <c r="N162" s="38"/>
      <c r="O162" s="38"/>
      <c r="P162" s="38"/>
      <c r="Q162" s="28" t="s">
        <v>33</v>
      </c>
      <c r="R162" s="28" t="s">
        <v>94</v>
      </c>
      <c r="S162" s="54" t="s">
        <v>35</v>
      </c>
      <c r="T162" s="54" t="s">
        <v>36</v>
      </c>
      <c r="U162" s="38"/>
    </row>
    <row r="163" spans="2:21">
      <c r="B163" s="21" t="s">
        <v>47</v>
      </c>
      <c r="C163" s="121" t="s">
        <v>28</v>
      </c>
      <c r="D163" s="81">
        <v>44169</v>
      </c>
      <c r="E163" s="107"/>
      <c r="F163" s="38"/>
      <c r="G163" s="80"/>
      <c r="H163" s="80"/>
      <c r="I163" s="80"/>
      <c r="J163" s="107"/>
      <c r="K163" s="82">
        <v>2225201</v>
      </c>
      <c r="L163" s="78" t="s">
        <v>1213</v>
      </c>
      <c r="M163" s="82" t="s">
        <v>31</v>
      </c>
      <c r="N163" s="38"/>
      <c r="O163" s="38"/>
      <c r="P163" s="38"/>
      <c r="Q163" s="28" t="s">
        <v>33</v>
      </c>
      <c r="R163" s="28" t="s">
        <v>94</v>
      </c>
      <c r="S163" s="54" t="s">
        <v>35</v>
      </c>
      <c r="T163" s="54" t="s">
        <v>36</v>
      </c>
      <c r="U163" s="38"/>
    </row>
    <row r="164" spans="2:21">
      <c r="B164" s="21" t="s">
        <v>47</v>
      </c>
      <c r="C164" s="121" t="s">
        <v>28</v>
      </c>
      <c r="D164" s="81">
        <v>44169</v>
      </c>
      <c r="E164" s="107"/>
      <c r="F164" s="38"/>
      <c r="G164" s="80"/>
      <c r="H164" s="80"/>
      <c r="I164" s="80"/>
      <c r="J164" s="107"/>
      <c r="K164" s="82">
        <v>2225203</v>
      </c>
      <c r="L164" s="78" t="s">
        <v>1214</v>
      </c>
      <c r="M164" s="82" t="s">
        <v>31</v>
      </c>
      <c r="N164" s="38"/>
      <c r="O164" s="38"/>
      <c r="P164" s="38"/>
      <c r="Q164" s="28" t="s">
        <v>33</v>
      </c>
      <c r="R164" s="28" t="s">
        <v>94</v>
      </c>
      <c r="S164" s="54" t="s">
        <v>35</v>
      </c>
      <c r="T164" s="54" t="s">
        <v>36</v>
      </c>
      <c r="U164" s="38"/>
    </row>
    <row r="165" spans="2:21">
      <c r="B165" s="21" t="s">
        <v>47</v>
      </c>
      <c r="C165" s="121" t="s">
        <v>28</v>
      </c>
      <c r="D165" s="81">
        <v>44169</v>
      </c>
      <c r="E165" s="107"/>
      <c r="F165" s="38"/>
      <c r="G165" s="80"/>
      <c r="H165" s="80"/>
      <c r="I165" s="80"/>
      <c r="J165" s="107"/>
      <c r="K165" s="82">
        <v>2225205</v>
      </c>
      <c r="L165" s="78" t="s">
        <v>1215</v>
      </c>
      <c r="M165" s="82" t="s">
        <v>31</v>
      </c>
      <c r="N165" s="38"/>
      <c r="O165" s="38"/>
      <c r="P165" s="38"/>
      <c r="Q165" s="28" t="s">
        <v>33</v>
      </c>
      <c r="R165" s="28" t="s">
        <v>94</v>
      </c>
      <c r="S165" s="54" t="s">
        <v>35</v>
      </c>
      <c r="T165" s="54" t="s">
        <v>36</v>
      </c>
      <c r="U165" s="38"/>
    </row>
    <row r="166" spans="2:21">
      <c r="B166" s="21" t="s">
        <v>47</v>
      </c>
      <c r="C166" s="121" t="s">
        <v>28</v>
      </c>
      <c r="D166" s="81">
        <v>44169</v>
      </c>
      <c r="E166" s="107"/>
      <c r="F166" s="38"/>
      <c r="G166" s="80"/>
      <c r="H166" s="80"/>
      <c r="I166" s="80"/>
      <c r="J166" s="107"/>
      <c r="K166" s="82">
        <v>2225204</v>
      </c>
      <c r="L166" s="78" t="s">
        <v>1216</v>
      </c>
      <c r="M166" s="82" t="s">
        <v>31</v>
      </c>
      <c r="N166" s="38"/>
      <c r="O166" s="38"/>
      <c r="P166" s="38"/>
      <c r="Q166" s="28" t="s">
        <v>33</v>
      </c>
      <c r="R166" s="28" t="s">
        <v>94</v>
      </c>
      <c r="S166" s="54" t="s">
        <v>35</v>
      </c>
      <c r="T166" s="54" t="s">
        <v>36</v>
      </c>
      <c r="U166" s="38"/>
    </row>
    <row r="167" spans="2:21">
      <c r="B167" s="21" t="s">
        <v>47</v>
      </c>
      <c r="C167" s="121" t="s">
        <v>28</v>
      </c>
      <c r="D167" s="81">
        <v>44169</v>
      </c>
      <c r="E167" s="107"/>
      <c r="F167" s="38"/>
      <c r="G167" s="80"/>
      <c r="H167" s="80"/>
      <c r="I167" s="80"/>
      <c r="J167" s="107"/>
      <c r="K167" s="82">
        <v>2225101</v>
      </c>
      <c r="L167" s="78" t="s">
        <v>1217</v>
      </c>
      <c r="M167" s="82" t="s">
        <v>31</v>
      </c>
      <c r="N167" s="38"/>
      <c r="O167" s="38"/>
      <c r="P167" s="38"/>
      <c r="Q167" s="28" t="s">
        <v>33</v>
      </c>
      <c r="R167" s="28" t="s">
        <v>94</v>
      </c>
      <c r="S167" s="54" t="s">
        <v>35</v>
      </c>
      <c r="T167" s="54" t="s">
        <v>36</v>
      </c>
      <c r="U167" s="38"/>
    </row>
    <row r="168" spans="2:21">
      <c r="B168" s="21" t="s">
        <v>47</v>
      </c>
      <c r="C168" s="121" t="s">
        <v>28</v>
      </c>
      <c r="D168" s="81">
        <v>44169</v>
      </c>
      <c r="E168" s="107"/>
      <c r="F168" s="38"/>
      <c r="G168" s="80"/>
      <c r="H168" s="80"/>
      <c r="I168" s="80"/>
      <c r="J168" s="107"/>
      <c r="K168" s="82">
        <v>2225102</v>
      </c>
      <c r="L168" s="78" t="s">
        <v>1218</v>
      </c>
      <c r="M168" s="82" t="s">
        <v>31</v>
      </c>
      <c r="N168" s="38"/>
      <c r="O168" s="38"/>
      <c r="P168" s="38"/>
      <c r="Q168" s="28" t="s">
        <v>33</v>
      </c>
      <c r="R168" s="28" t="s">
        <v>94</v>
      </c>
      <c r="S168" s="54" t="s">
        <v>35</v>
      </c>
      <c r="T168" s="54" t="s">
        <v>36</v>
      </c>
      <c r="U168" s="38"/>
    </row>
    <row r="169" spans="2:21">
      <c r="B169" s="21" t="s">
        <v>47</v>
      </c>
      <c r="C169" s="54" t="s">
        <v>28</v>
      </c>
      <c r="D169" s="47">
        <v>44183</v>
      </c>
      <c r="F169" s="34"/>
      <c r="G169" s="46"/>
      <c r="H169" s="46"/>
      <c r="I169" s="46"/>
      <c r="K169" s="122">
        <v>2145201</v>
      </c>
      <c r="L169" s="85" t="s">
        <v>1219</v>
      </c>
      <c r="M169" s="82" t="s">
        <v>31</v>
      </c>
      <c r="N169" s="34"/>
      <c r="O169" s="34"/>
      <c r="P169" s="34"/>
      <c r="Q169" s="28" t="s">
        <v>33</v>
      </c>
      <c r="R169" s="28" t="s">
        <v>94</v>
      </c>
      <c r="S169" s="54" t="s">
        <v>35</v>
      </c>
      <c r="T169" s="54" t="s">
        <v>36</v>
      </c>
      <c r="U169" s="34"/>
    </row>
    <row r="170" spans="2:21">
      <c r="B170" s="21" t="s">
        <v>47</v>
      </c>
      <c r="C170" s="54" t="s">
        <v>28</v>
      </c>
      <c r="D170" s="47">
        <v>44183</v>
      </c>
      <c r="F170" s="34"/>
      <c r="G170" s="46"/>
      <c r="H170" s="46"/>
      <c r="I170" s="46"/>
      <c r="K170" s="39">
        <v>2235001</v>
      </c>
      <c r="L170" s="85" t="s">
        <v>1220</v>
      </c>
      <c r="M170" s="82" t="s">
        <v>31</v>
      </c>
      <c r="N170" s="34"/>
      <c r="O170" s="34"/>
      <c r="P170" s="34"/>
      <c r="Q170" s="28" t="s">
        <v>33</v>
      </c>
      <c r="R170" s="28" t="s">
        <v>94</v>
      </c>
      <c r="S170" s="54" t="s">
        <v>35</v>
      </c>
      <c r="T170" s="54" t="s">
        <v>36</v>
      </c>
      <c r="U170" s="34"/>
    </row>
    <row r="171" spans="2:21">
      <c r="B171" s="21" t="s">
        <v>47</v>
      </c>
      <c r="C171" s="54" t="s">
        <v>28</v>
      </c>
      <c r="D171" s="47">
        <v>44183</v>
      </c>
      <c r="F171" s="34"/>
      <c r="G171" s="46"/>
      <c r="H171" s="46"/>
      <c r="I171" s="46"/>
      <c r="K171" s="106">
        <v>1704303</v>
      </c>
      <c r="L171" s="85" t="s">
        <v>1221</v>
      </c>
      <c r="M171" s="82" t="s">
        <v>31</v>
      </c>
      <c r="N171" s="34"/>
      <c r="O171" s="34"/>
      <c r="P171" s="34"/>
      <c r="Q171" s="28" t="s">
        <v>33</v>
      </c>
      <c r="R171" s="28" t="s">
        <v>94</v>
      </c>
      <c r="S171" s="54" t="s">
        <v>35</v>
      </c>
      <c r="T171" s="54" t="s">
        <v>36</v>
      </c>
      <c r="U171" s="34"/>
    </row>
    <row r="172" spans="2:21">
      <c r="B172" s="21" t="s">
        <v>47</v>
      </c>
      <c r="C172" s="54" t="s">
        <v>28</v>
      </c>
      <c r="D172" s="47">
        <v>44183</v>
      </c>
      <c r="F172" s="34"/>
      <c r="G172" s="46"/>
      <c r="H172" s="46"/>
      <c r="I172" s="46"/>
      <c r="K172" s="39">
        <v>369303</v>
      </c>
      <c r="L172" s="85" t="s">
        <v>1222</v>
      </c>
      <c r="M172" s="82" t="s">
        <v>31</v>
      </c>
      <c r="N172" s="34"/>
      <c r="O172" s="34"/>
      <c r="P172" s="34"/>
      <c r="Q172" s="28" t="s">
        <v>33</v>
      </c>
      <c r="R172" s="28" t="s">
        <v>94</v>
      </c>
      <c r="S172" s="54" t="s">
        <v>35</v>
      </c>
      <c r="T172" s="54" t="s">
        <v>36</v>
      </c>
      <c r="U172" s="34"/>
    </row>
    <row r="173" spans="2:21">
      <c r="B173" s="21" t="s">
        <v>47</v>
      </c>
      <c r="C173" s="54" t="s">
        <v>28</v>
      </c>
      <c r="D173" s="47">
        <v>44183</v>
      </c>
      <c r="F173" s="34"/>
      <c r="G173" s="46"/>
      <c r="H173" s="46"/>
      <c r="I173" s="46"/>
      <c r="K173" s="39">
        <v>2234201</v>
      </c>
      <c r="L173" s="85" t="s">
        <v>1223</v>
      </c>
      <c r="M173" s="82" t="s">
        <v>31</v>
      </c>
      <c r="N173" s="34"/>
      <c r="O173" s="34"/>
      <c r="P173" s="34"/>
      <c r="Q173" s="28" t="s">
        <v>33</v>
      </c>
      <c r="R173" s="28" t="s">
        <v>94</v>
      </c>
      <c r="S173" s="54" t="s">
        <v>35</v>
      </c>
      <c r="T173" s="54" t="s">
        <v>36</v>
      </c>
      <c r="U173" s="34"/>
    </row>
    <row r="174" spans="2:21">
      <c r="B174" s="21" t="s">
        <v>47</v>
      </c>
      <c r="C174" s="54" t="s">
        <v>28</v>
      </c>
      <c r="D174" s="47">
        <v>44183</v>
      </c>
      <c r="F174" s="34"/>
      <c r="G174" s="46"/>
      <c r="H174" s="46"/>
      <c r="I174" s="46"/>
      <c r="K174" s="39">
        <v>2013609</v>
      </c>
      <c r="L174" s="85" t="s">
        <v>1224</v>
      </c>
      <c r="M174" s="82" t="s">
        <v>31</v>
      </c>
      <c r="N174" s="34"/>
      <c r="O174" s="34"/>
      <c r="P174" s="34"/>
      <c r="Q174" s="28" t="s">
        <v>33</v>
      </c>
      <c r="R174" s="28" t="s">
        <v>94</v>
      </c>
      <c r="S174" s="54" t="s">
        <v>35</v>
      </c>
      <c r="T174" s="54" t="s">
        <v>36</v>
      </c>
      <c r="U174" s="34" t="s">
        <v>1225</v>
      </c>
    </row>
    <row r="175" spans="2:21">
      <c r="B175" s="21" t="s">
        <v>47</v>
      </c>
      <c r="C175" s="54" t="s">
        <v>28</v>
      </c>
      <c r="D175" s="47">
        <v>44183</v>
      </c>
      <c r="F175" s="34"/>
      <c r="G175" s="46"/>
      <c r="H175" s="46"/>
      <c r="I175" s="46"/>
      <c r="K175" s="39">
        <v>2232701</v>
      </c>
      <c r="L175" s="85" t="s">
        <v>1226</v>
      </c>
      <c r="M175" s="82" t="s">
        <v>31</v>
      </c>
      <c r="N175" s="34"/>
      <c r="O175" s="34"/>
      <c r="P175" s="34"/>
      <c r="Q175" s="28" t="s">
        <v>33</v>
      </c>
      <c r="R175" s="28" t="s">
        <v>94</v>
      </c>
      <c r="S175" s="54" t="s">
        <v>35</v>
      </c>
      <c r="T175" s="54" t="s">
        <v>36</v>
      </c>
      <c r="U175" s="34"/>
    </row>
    <row r="176" spans="2:21">
      <c r="B176" s="21" t="s">
        <v>47</v>
      </c>
      <c r="C176" s="54" t="s">
        <v>28</v>
      </c>
      <c r="D176" s="47">
        <v>44183</v>
      </c>
      <c r="F176" s="34"/>
      <c r="G176" s="46"/>
      <c r="H176" s="46"/>
      <c r="I176" s="46"/>
      <c r="K176" s="39">
        <v>2109302</v>
      </c>
      <c r="L176" s="85" t="s">
        <v>1227</v>
      </c>
      <c r="M176" s="82" t="s">
        <v>31</v>
      </c>
      <c r="N176" s="34"/>
      <c r="O176" s="34"/>
      <c r="P176" s="34"/>
      <c r="Q176" s="28" t="s">
        <v>33</v>
      </c>
      <c r="R176" s="28" t="s">
        <v>94</v>
      </c>
      <c r="S176" s="54" t="s">
        <v>35</v>
      </c>
      <c r="T176" s="54" t="s">
        <v>36</v>
      </c>
      <c r="U176" s="34" t="s">
        <v>1228</v>
      </c>
    </row>
    <row r="177" spans="2:21">
      <c r="B177" s="21" t="s">
        <v>47</v>
      </c>
      <c r="C177" s="54" t="s">
        <v>28</v>
      </c>
      <c r="D177" s="47">
        <v>44183</v>
      </c>
      <c r="F177" s="34"/>
      <c r="G177" s="46"/>
      <c r="H177" s="46"/>
      <c r="I177" s="46"/>
      <c r="K177" s="106">
        <v>2219604</v>
      </c>
      <c r="L177" s="85" t="s">
        <v>1229</v>
      </c>
      <c r="M177" s="82" t="s">
        <v>31</v>
      </c>
      <c r="N177" s="34"/>
      <c r="O177" s="34"/>
      <c r="P177" s="34"/>
      <c r="Q177" s="28" t="s">
        <v>33</v>
      </c>
      <c r="R177" s="28" t="s">
        <v>94</v>
      </c>
      <c r="S177" s="54" t="s">
        <v>35</v>
      </c>
      <c r="T177" s="54" t="s">
        <v>36</v>
      </c>
      <c r="U177" s="34"/>
    </row>
    <row r="178" spans="2:21">
      <c r="B178" s="21" t="s">
        <v>47</v>
      </c>
      <c r="C178" s="54" t="s">
        <v>28</v>
      </c>
      <c r="D178" s="47">
        <v>44183</v>
      </c>
      <c r="F178" s="34"/>
      <c r="G178" s="46"/>
      <c r="H178" s="46"/>
      <c r="I178" s="46"/>
      <c r="K178" s="39">
        <v>2219603</v>
      </c>
      <c r="L178" s="85" t="s">
        <v>1230</v>
      </c>
      <c r="M178" s="82" t="s">
        <v>31</v>
      </c>
      <c r="N178" s="34"/>
      <c r="O178" s="34"/>
      <c r="P178" s="34"/>
      <c r="Q178" s="28" t="s">
        <v>33</v>
      </c>
      <c r="R178" s="28" t="s">
        <v>94</v>
      </c>
      <c r="S178" s="54" t="s">
        <v>35</v>
      </c>
      <c r="T178" s="54" t="s">
        <v>36</v>
      </c>
      <c r="U178" s="34"/>
    </row>
    <row r="179" spans="2:21">
      <c r="B179" s="21" t="s">
        <v>47</v>
      </c>
      <c r="C179" s="98" t="s">
        <v>28</v>
      </c>
      <c r="D179" s="47">
        <v>44204</v>
      </c>
      <c r="F179" s="34"/>
      <c r="G179" s="46"/>
      <c r="H179" s="46"/>
      <c r="I179" s="46"/>
      <c r="K179" s="39">
        <v>2234202</v>
      </c>
      <c r="L179" s="85" t="s">
        <v>1231</v>
      </c>
      <c r="M179" s="39" t="s">
        <v>31</v>
      </c>
      <c r="N179" s="34"/>
      <c r="O179" s="34"/>
      <c r="P179" s="34"/>
      <c r="Q179" s="28" t="s">
        <v>33</v>
      </c>
      <c r="R179" s="28" t="s">
        <v>94</v>
      </c>
      <c r="S179" s="54" t="s">
        <v>35</v>
      </c>
      <c r="T179" s="98" t="s">
        <v>36</v>
      </c>
      <c r="U179" s="34"/>
    </row>
    <row r="180" spans="2:21">
      <c r="B180" s="21" t="s">
        <v>47</v>
      </c>
      <c r="C180" s="54" t="s">
        <v>28</v>
      </c>
      <c r="D180" s="47">
        <v>44204</v>
      </c>
      <c r="F180" s="34"/>
      <c r="G180" s="46"/>
      <c r="H180" s="46"/>
      <c r="I180" s="46"/>
      <c r="K180" s="39">
        <v>2197905</v>
      </c>
      <c r="L180" s="16" t="s">
        <v>1232</v>
      </c>
      <c r="M180" s="39" t="s">
        <v>31</v>
      </c>
      <c r="N180" s="34"/>
      <c r="O180" s="34"/>
      <c r="P180" s="34"/>
      <c r="Q180" s="28" t="s">
        <v>33</v>
      </c>
      <c r="R180" s="28" t="s">
        <v>94</v>
      </c>
      <c r="S180" s="54" t="s">
        <v>35</v>
      </c>
      <c r="T180" s="54" t="s">
        <v>36</v>
      </c>
      <c r="U180" s="34"/>
    </row>
    <row r="181" spans="2:21">
      <c r="B181" s="21" t="s">
        <v>47</v>
      </c>
      <c r="C181" s="54" t="s">
        <v>28</v>
      </c>
      <c r="D181" s="47">
        <v>44204</v>
      </c>
      <c r="F181" s="34"/>
      <c r="G181" s="46"/>
      <c r="H181" s="46"/>
      <c r="I181" s="46"/>
      <c r="K181" s="106">
        <v>2197904</v>
      </c>
      <c r="L181" s="16" t="s">
        <v>1233</v>
      </c>
      <c r="M181" s="39" t="s">
        <v>31</v>
      </c>
      <c r="N181" s="34"/>
      <c r="O181" s="34"/>
      <c r="P181" s="34"/>
      <c r="Q181" s="28" t="s">
        <v>33</v>
      </c>
      <c r="R181" s="28" t="s">
        <v>94</v>
      </c>
      <c r="S181" s="54" t="s">
        <v>35</v>
      </c>
      <c r="T181" s="54" t="s">
        <v>36</v>
      </c>
      <c r="U181" s="34"/>
    </row>
    <row r="182" spans="2:21">
      <c r="B182" s="21" t="s">
        <v>47</v>
      </c>
      <c r="C182" s="54" t="s">
        <v>28</v>
      </c>
      <c r="D182" s="47">
        <v>44204</v>
      </c>
      <c r="F182" s="34"/>
      <c r="G182" s="46"/>
      <c r="H182" s="46"/>
      <c r="I182" s="46"/>
      <c r="K182" s="39">
        <v>2197903</v>
      </c>
      <c r="L182" s="16" t="s">
        <v>1234</v>
      </c>
      <c r="M182" s="39" t="s">
        <v>31</v>
      </c>
      <c r="N182" s="34"/>
      <c r="O182" s="34"/>
      <c r="P182" s="34"/>
      <c r="Q182" s="28" t="s">
        <v>33</v>
      </c>
      <c r="R182" s="28" t="s">
        <v>94</v>
      </c>
      <c r="S182" s="54" t="s">
        <v>35</v>
      </c>
      <c r="T182" s="54" t="s">
        <v>36</v>
      </c>
      <c r="U182" s="34"/>
    </row>
    <row r="183" spans="2:21">
      <c r="B183" s="21" t="s">
        <v>47</v>
      </c>
      <c r="C183" s="54" t="s">
        <v>28</v>
      </c>
      <c r="D183" s="47">
        <v>44204</v>
      </c>
      <c r="F183" s="34"/>
      <c r="G183" s="46"/>
      <c r="H183" s="46"/>
      <c r="I183" s="46"/>
      <c r="K183" s="39">
        <v>2236601</v>
      </c>
      <c r="L183" s="16" t="s">
        <v>1235</v>
      </c>
      <c r="M183" s="39" t="s">
        <v>31</v>
      </c>
      <c r="N183" s="34"/>
      <c r="O183" s="34"/>
      <c r="P183" s="34"/>
      <c r="Q183" s="28" t="s">
        <v>33</v>
      </c>
      <c r="R183" s="28" t="s">
        <v>94</v>
      </c>
      <c r="S183" s="54" t="s">
        <v>35</v>
      </c>
      <c r="T183" s="54" t="s">
        <v>36</v>
      </c>
      <c r="U183" s="34"/>
    </row>
    <row r="184" spans="2:21">
      <c r="B184" s="21" t="s">
        <v>47</v>
      </c>
      <c r="C184" s="98" t="s">
        <v>28</v>
      </c>
      <c r="D184" s="81">
        <v>44204</v>
      </c>
      <c r="E184" s="107"/>
      <c r="F184" s="38"/>
      <c r="G184" s="80"/>
      <c r="H184" s="80"/>
      <c r="I184" s="80"/>
      <c r="J184" s="107"/>
      <c r="K184" s="82">
        <v>1522212</v>
      </c>
      <c r="L184" s="78" t="s">
        <v>1236</v>
      </c>
      <c r="M184" s="82" t="s">
        <v>31</v>
      </c>
      <c r="N184" s="38"/>
      <c r="O184" s="38"/>
      <c r="P184" s="38"/>
      <c r="Q184" s="35" t="s">
        <v>33</v>
      </c>
      <c r="R184" s="28" t="s">
        <v>94</v>
      </c>
      <c r="S184" s="54" t="s">
        <v>35</v>
      </c>
      <c r="T184" s="98" t="s">
        <v>36</v>
      </c>
      <c r="U184" s="34"/>
    </row>
    <row r="185" spans="2:21">
      <c r="B185" s="21" t="s">
        <v>47</v>
      </c>
      <c r="C185" s="98" t="s">
        <v>28</v>
      </c>
      <c r="D185" s="81">
        <v>44204</v>
      </c>
      <c r="E185" s="107"/>
      <c r="F185" s="38"/>
      <c r="G185" s="80"/>
      <c r="H185" s="80"/>
      <c r="I185" s="80"/>
      <c r="J185" s="107"/>
      <c r="K185" s="82">
        <v>2197902</v>
      </c>
      <c r="L185" s="78" t="s">
        <v>1237</v>
      </c>
      <c r="M185" s="82" t="s">
        <v>31</v>
      </c>
      <c r="N185" s="38"/>
      <c r="O185" s="38"/>
      <c r="P185" s="38"/>
      <c r="Q185" s="35" t="s">
        <v>33</v>
      </c>
      <c r="R185" s="28" t="s">
        <v>94</v>
      </c>
      <c r="S185" s="54" t="s">
        <v>35</v>
      </c>
      <c r="T185" s="54" t="s">
        <v>36</v>
      </c>
      <c r="U185" s="34"/>
    </row>
    <row r="186" spans="2:21">
      <c r="B186" s="21" t="s">
        <v>47</v>
      </c>
      <c r="C186" s="98" t="s">
        <v>28</v>
      </c>
      <c r="D186" s="81">
        <v>44218</v>
      </c>
      <c r="E186" s="107"/>
      <c r="F186" s="38"/>
      <c r="G186" s="80"/>
      <c r="H186" s="38"/>
      <c r="I186" s="38"/>
      <c r="J186" s="107"/>
      <c r="K186" s="82">
        <v>2232702</v>
      </c>
      <c r="L186" s="78" t="s">
        <v>1238</v>
      </c>
      <c r="M186" s="82" t="s">
        <v>31</v>
      </c>
      <c r="N186" s="38"/>
      <c r="O186" s="38"/>
      <c r="P186" s="38"/>
      <c r="Q186" s="35" t="s">
        <v>33</v>
      </c>
      <c r="R186" s="28" t="s">
        <v>94</v>
      </c>
      <c r="S186" s="54" t="s">
        <v>35</v>
      </c>
      <c r="T186" s="98" t="s">
        <v>36</v>
      </c>
      <c r="U186" s="34"/>
    </row>
    <row r="187" spans="2:21">
      <c r="B187" s="21" t="s">
        <v>47</v>
      </c>
      <c r="C187" s="138" t="s">
        <v>28</v>
      </c>
      <c r="D187" s="47">
        <v>44218</v>
      </c>
      <c r="E187" s="107"/>
      <c r="F187" s="38"/>
      <c r="G187" s="80"/>
      <c r="H187" s="38"/>
      <c r="I187" s="38"/>
      <c r="J187" s="107"/>
      <c r="K187" s="82">
        <v>2239701</v>
      </c>
      <c r="L187" s="78" t="s">
        <v>1239</v>
      </c>
      <c r="M187" s="82" t="s">
        <v>31</v>
      </c>
      <c r="N187" s="38"/>
      <c r="O187" s="38"/>
      <c r="P187" s="38"/>
      <c r="Q187" s="35" t="s">
        <v>33</v>
      </c>
      <c r="R187" s="28" t="s">
        <v>94</v>
      </c>
      <c r="S187" s="54" t="s">
        <v>35</v>
      </c>
      <c r="T187" s="54" t="s">
        <v>36</v>
      </c>
      <c r="U187" s="38" t="s">
        <v>1240</v>
      </c>
    </row>
    <row r="188" spans="2:21">
      <c r="B188" s="21" t="s">
        <v>47</v>
      </c>
      <c r="C188" s="138" t="s">
        <v>28</v>
      </c>
      <c r="D188" s="47">
        <v>44218</v>
      </c>
      <c r="E188" s="107"/>
      <c r="F188" s="38"/>
      <c r="G188" s="80"/>
      <c r="H188" s="38"/>
      <c r="I188" s="38"/>
      <c r="J188" s="107"/>
      <c r="K188" s="82">
        <v>2239702</v>
      </c>
      <c r="L188" s="78" t="s">
        <v>1241</v>
      </c>
      <c r="M188" s="82" t="s">
        <v>31</v>
      </c>
      <c r="N188" s="38"/>
      <c r="O188" s="38"/>
      <c r="P188" s="38"/>
      <c r="Q188" s="35" t="s">
        <v>33</v>
      </c>
      <c r="R188" s="28" t="s">
        <v>94</v>
      </c>
      <c r="S188" s="54" t="s">
        <v>35</v>
      </c>
      <c r="T188" s="54" t="s">
        <v>36</v>
      </c>
      <c r="U188" s="38" t="s">
        <v>1240</v>
      </c>
    </row>
    <row r="189" spans="2:21">
      <c r="B189" s="21" t="s">
        <v>47</v>
      </c>
      <c r="C189" s="54" t="s">
        <v>28</v>
      </c>
      <c r="D189" s="47">
        <v>44218</v>
      </c>
      <c r="E189" s="107"/>
      <c r="F189" s="38"/>
      <c r="G189" s="80"/>
      <c r="H189" s="38"/>
      <c r="I189" s="38"/>
      <c r="J189" s="107"/>
      <c r="K189" s="82">
        <v>2239601</v>
      </c>
      <c r="L189" s="78" t="s">
        <v>1242</v>
      </c>
      <c r="M189" s="82" t="s">
        <v>31</v>
      </c>
      <c r="N189" s="38"/>
      <c r="O189" s="38"/>
      <c r="P189" s="38"/>
      <c r="Q189" s="35" t="s">
        <v>33</v>
      </c>
      <c r="R189" s="28" t="s">
        <v>94</v>
      </c>
      <c r="S189" s="54" t="s">
        <v>35</v>
      </c>
      <c r="T189" s="54" t="s">
        <v>36</v>
      </c>
      <c r="U189" s="34"/>
    </row>
    <row r="190" spans="2:21">
      <c r="B190" s="21" t="s">
        <v>47</v>
      </c>
      <c r="C190" s="54" t="s">
        <v>28</v>
      </c>
      <c r="D190" s="47">
        <v>44218</v>
      </c>
      <c r="E190" s="107"/>
      <c r="F190" s="38"/>
      <c r="G190" s="80"/>
      <c r="H190" s="38"/>
      <c r="I190" s="38"/>
      <c r="J190" s="107"/>
      <c r="K190" s="82">
        <v>2239602</v>
      </c>
      <c r="L190" s="78" t="s">
        <v>1243</v>
      </c>
      <c r="M190" s="82" t="s">
        <v>31</v>
      </c>
      <c r="N190" s="38"/>
      <c r="O190" s="38"/>
      <c r="P190" s="38"/>
      <c r="Q190" s="35" t="s">
        <v>33</v>
      </c>
      <c r="R190" s="28" t="s">
        <v>94</v>
      </c>
      <c r="S190" s="54" t="s">
        <v>35</v>
      </c>
      <c r="T190" s="54" t="s">
        <v>36</v>
      </c>
      <c r="U190" s="34"/>
    </row>
    <row r="191" spans="2:21">
      <c r="B191" s="21" t="s">
        <v>47</v>
      </c>
      <c r="C191" s="54" t="s">
        <v>28</v>
      </c>
      <c r="D191" s="47">
        <v>44218</v>
      </c>
      <c r="E191" s="107"/>
      <c r="F191" s="38"/>
      <c r="G191" s="80"/>
      <c r="H191" s="38"/>
      <c r="I191" s="38"/>
      <c r="J191" s="107"/>
      <c r="K191" s="82">
        <v>2240001</v>
      </c>
      <c r="L191" s="78" t="s">
        <v>1244</v>
      </c>
      <c r="M191" s="82" t="s">
        <v>31</v>
      </c>
      <c r="N191" s="38"/>
      <c r="O191" s="38"/>
      <c r="P191" s="38"/>
      <c r="Q191" s="35" t="s">
        <v>33</v>
      </c>
      <c r="R191" s="28" t="s">
        <v>94</v>
      </c>
      <c r="S191" s="54" t="s">
        <v>35</v>
      </c>
      <c r="T191" s="54" t="s">
        <v>36</v>
      </c>
      <c r="U191" s="34"/>
    </row>
    <row r="192" spans="2:21">
      <c r="B192" s="21" t="s">
        <v>47</v>
      </c>
      <c r="C192" s="54" t="s">
        <v>28</v>
      </c>
      <c r="D192" s="47">
        <v>44218</v>
      </c>
      <c r="E192" s="107"/>
      <c r="F192" s="38"/>
      <c r="G192" s="80"/>
      <c r="H192" s="38"/>
      <c r="I192" s="38"/>
      <c r="J192" s="107"/>
      <c r="K192" s="39">
        <v>2240002</v>
      </c>
      <c r="L192" s="1" t="s">
        <v>1245</v>
      </c>
      <c r="M192" s="82" t="s">
        <v>31</v>
      </c>
      <c r="N192" s="38"/>
      <c r="O192" s="38"/>
      <c r="P192" s="38"/>
      <c r="Q192" s="35" t="s">
        <v>33</v>
      </c>
      <c r="R192" s="28" t="s">
        <v>94</v>
      </c>
      <c r="S192" s="54" t="s">
        <v>35</v>
      </c>
      <c r="T192" s="54" t="s">
        <v>36</v>
      </c>
      <c r="U192" s="34" t="s">
        <v>1246</v>
      </c>
    </row>
    <row r="193" spans="2:21">
      <c r="B193" s="21" t="s">
        <v>47</v>
      </c>
      <c r="C193" s="54" t="s">
        <v>28</v>
      </c>
      <c r="D193" s="47">
        <v>44218</v>
      </c>
      <c r="E193" s="107"/>
      <c r="F193" s="38"/>
      <c r="G193" s="80"/>
      <c r="H193" s="38"/>
      <c r="I193" s="38"/>
      <c r="J193" s="107"/>
      <c r="K193" s="82">
        <v>2239801</v>
      </c>
      <c r="L193" s="78" t="s">
        <v>1247</v>
      </c>
      <c r="M193" s="82" t="s">
        <v>31</v>
      </c>
      <c r="N193" s="38"/>
      <c r="O193" s="38"/>
      <c r="P193" s="38"/>
      <c r="Q193" s="35" t="s">
        <v>33</v>
      </c>
      <c r="R193" s="28" t="s">
        <v>94</v>
      </c>
      <c r="S193" s="54" t="s">
        <v>35</v>
      </c>
      <c r="T193" s="54" t="s">
        <v>36</v>
      </c>
      <c r="U193" s="34"/>
    </row>
    <row r="194" spans="2:21">
      <c r="B194" s="21" t="s">
        <v>47</v>
      </c>
      <c r="C194" s="54" t="s">
        <v>28</v>
      </c>
      <c r="D194" s="47">
        <v>44218</v>
      </c>
      <c r="E194" s="107"/>
      <c r="F194" s="38"/>
      <c r="G194" s="80"/>
      <c r="H194" s="38"/>
      <c r="I194" s="38"/>
      <c r="J194" s="107"/>
      <c r="K194" s="82">
        <v>2239802</v>
      </c>
      <c r="L194" s="78" t="s">
        <v>1248</v>
      </c>
      <c r="M194" s="82" t="s">
        <v>31</v>
      </c>
      <c r="N194" s="38"/>
      <c r="O194" s="38"/>
      <c r="P194" s="38"/>
      <c r="Q194" s="35" t="s">
        <v>33</v>
      </c>
      <c r="R194" s="28" t="s">
        <v>94</v>
      </c>
      <c r="S194" s="54" t="s">
        <v>35</v>
      </c>
      <c r="T194" s="54" t="s">
        <v>36</v>
      </c>
      <c r="U194" s="34"/>
    </row>
    <row r="195" spans="2:21">
      <c r="B195" s="21" t="s">
        <v>47</v>
      </c>
      <c r="C195" s="54" t="s">
        <v>28</v>
      </c>
      <c r="D195" s="47">
        <v>44218</v>
      </c>
      <c r="E195" s="107"/>
      <c r="F195" s="38"/>
      <c r="G195" s="80"/>
      <c r="H195" s="38"/>
      <c r="I195" s="38"/>
      <c r="J195" s="107"/>
      <c r="K195" s="82" t="s">
        <v>1249</v>
      </c>
      <c r="L195" s="78" t="s">
        <v>1250</v>
      </c>
      <c r="M195" s="82" t="s">
        <v>31</v>
      </c>
      <c r="N195" s="38"/>
      <c r="O195" s="38"/>
      <c r="P195" s="38"/>
      <c r="Q195" s="35" t="s">
        <v>33</v>
      </c>
      <c r="R195" s="28" t="s">
        <v>94</v>
      </c>
      <c r="S195" s="54" t="s">
        <v>35</v>
      </c>
      <c r="T195" s="54" t="s">
        <v>36</v>
      </c>
      <c r="U195" s="34"/>
    </row>
    <row r="196" spans="2:21">
      <c r="B196" s="21" t="s">
        <v>47</v>
      </c>
      <c r="C196" s="121" t="s">
        <v>28</v>
      </c>
      <c r="D196" s="47">
        <v>44246</v>
      </c>
      <c r="E196" s="107"/>
      <c r="F196" s="38"/>
      <c r="G196" s="80"/>
      <c r="H196" s="38"/>
      <c r="I196" s="38"/>
      <c r="J196" s="107"/>
      <c r="K196" s="39" t="s">
        <v>1251</v>
      </c>
      <c r="L196" s="78" t="s">
        <v>1252</v>
      </c>
      <c r="M196" s="82" t="s">
        <v>31</v>
      </c>
      <c r="N196" s="38"/>
      <c r="O196" s="38"/>
      <c r="P196" s="38"/>
      <c r="Q196" s="28" t="s">
        <v>33</v>
      </c>
      <c r="R196" s="28" t="s">
        <v>94</v>
      </c>
      <c r="S196" s="54" t="s">
        <v>35</v>
      </c>
      <c r="T196" s="34" t="s">
        <v>36</v>
      </c>
      <c r="U196" s="34"/>
    </row>
    <row r="197" spans="2:21">
      <c r="B197" s="21" t="s">
        <v>47</v>
      </c>
      <c r="C197" s="121" t="s">
        <v>28</v>
      </c>
      <c r="D197" s="47">
        <v>44246</v>
      </c>
      <c r="E197" s="107"/>
      <c r="F197" s="38"/>
      <c r="G197" s="80"/>
      <c r="H197" s="38"/>
      <c r="I197" s="38"/>
      <c r="J197" s="107"/>
      <c r="K197" s="39">
        <v>573818</v>
      </c>
      <c r="L197" s="78" t="s">
        <v>1253</v>
      </c>
      <c r="M197" s="82" t="s">
        <v>31</v>
      </c>
      <c r="N197" s="38"/>
      <c r="O197" s="38"/>
      <c r="P197" s="38"/>
      <c r="Q197" s="28" t="s">
        <v>33</v>
      </c>
      <c r="R197" s="28" t="s">
        <v>94</v>
      </c>
      <c r="S197" s="54" t="s">
        <v>35</v>
      </c>
      <c r="T197" s="34" t="s">
        <v>36</v>
      </c>
      <c r="U197" s="34"/>
    </row>
    <row r="198" spans="2:21">
      <c r="B198" s="21" t="s">
        <v>47</v>
      </c>
      <c r="C198" s="121" t="s">
        <v>28</v>
      </c>
      <c r="D198" s="47">
        <v>44246</v>
      </c>
      <c r="E198" s="107"/>
      <c r="F198" s="38"/>
      <c r="G198" s="80"/>
      <c r="H198" s="38"/>
      <c r="I198" s="38"/>
      <c r="J198" s="107"/>
      <c r="K198" s="39">
        <v>2246401</v>
      </c>
      <c r="L198" s="78" t="s">
        <v>1254</v>
      </c>
      <c r="M198" s="82" t="s">
        <v>31</v>
      </c>
      <c r="N198" s="38"/>
      <c r="O198" s="38"/>
      <c r="P198" s="38"/>
      <c r="Q198" s="28" t="s">
        <v>33</v>
      </c>
      <c r="R198" s="28" t="s">
        <v>94</v>
      </c>
      <c r="S198" s="54" t="s">
        <v>35</v>
      </c>
      <c r="T198" s="34" t="s">
        <v>36</v>
      </c>
      <c r="U198" s="34"/>
    </row>
    <row r="199" spans="2:21">
      <c r="B199" s="21" t="s">
        <v>47</v>
      </c>
      <c r="C199" s="121" t="s">
        <v>28</v>
      </c>
      <c r="D199" s="47">
        <v>44246</v>
      </c>
      <c r="E199" s="107"/>
      <c r="F199" s="38"/>
      <c r="G199" s="80"/>
      <c r="H199" s="38"/>
      <c r="I199" s="38"/>
      <c r="J199" s="107"/>
      <c r="K199" s="39">
        <v>573903</v>
      </c>
      <c r="L199" s="78" t="s">
        <v>1255</v>
      </c>
      <c r="M199" s="82" t="s">
        <v>31</v>
      </c>
      <c r="N199" s="38"/>
      <c r="O199" s="38"/>
      <c r="P199" s="38"/>
      <c r="Q199" s="28" t="s">
        <v>33</v>
      </c>
      <c r="R199" s="28" t="s">
        <v>94</v>
      </c>
      <c r="S199" s="54" t="s">
        <v>35</v>
      </c>
      <c r="T199" s="34" t="s">
        <v>36</v>
      </c>
      <c r="U199" s="34"/>
    </row>
    <row r="200" spans="2:21">
      <c r="B200" s="21" t="s">
        <v>47</v>
      </c>
      <c r="C200" s="46" t="s">
        <v>28</v>
      </c>
      <c r="D200" s="47">
        <v>44281</v>
      </c>
      <c r="E200" s="107"/>
      <c r="F200" s="38"/>
      <c r="G200" s="80"/>
      <c r="H200" s="38"/>
      <c r="I200" s="38"/>
      <c r="J200" s="107"/>
      <c r="K200" s="39">
        <v>2079503</v>
      </c>
      <c r="L200" s="16" t="s">
        <v>1256</v>
      </c>
      <c r="M200" s="82" t="s">
        <v>31</v>
      </c>
      <c r="N200" s="38"/>
      <c r="O200" s="38"/>
      <c r="P200" s="38"/>
      <c r="Q200" s="28" t="s">
        <v>33</v>
      </c>
      <c r="R200" s="28" t="s">
        <v>94</v>
      </c>
      <c r="S200" s="54" t="s">
        <v>35</v>
      </c>
      <c r="T200" s="54" t="s">
        <v>36</v>
      </c>
      <c r="U200" s="34"/>
    </row>
    <row r="201" spans="2:21">
      <c r="B201" s="21" t="s">
        <v>47</v>
      </c>
      <c r="C201" s="46" t="s">
        <v>28</v>
      </c>
      <c r="D201" s="47">
        <v>44281</v>
      </c>
      <c r="F201" s="34"/>
      <c r="G201" s="46"/>
      <c r="H201" s="34"/>
      <c r="I201" s="34"/>
      <c r="K201" s="39">
        <v>2079303</v>
      </c>
      <c r="L201" s="16" t="s">
        <v>1257</v>
      </c>
      <c r="M201" s="82" t="s">
        <v>31</v>
      </c>
      <c r="N201" s="34"/>
      <c r="O201" s="34"/>
      <c r="P201" s="34"/>
      <c r="Q201" s="28" t="s">
        <v>33</v>
      </c>
      <c r="R201" s="28" t="s">
        <v>94</v>
      </c>
      <c r="S201" s="54" t="s">
        <v>35</v>
      </c>
      <c r="T201" s="54" t="s">
        <v>36</v>
      </c>
      <c r="U201" s="34"/>
    </row>
    <row r="202" spans="2:21">
      <c r="B202" s="21" t="s">
        <v>47</v>
      </c>
      <c r="C202" s="46" t="s">
        <v>28</v>
      </c>
      <c r="D202" s="47">
        <v>44281</v>
      </c>
      <c r="F202" s="34"/>
      <c r="G202" s="46"/>
      <c r="H202" s="34"/>
      <c r="I202" s="34"/>
      <c r="K202" s="39">
        <v>2079603</v>
      </c>
      <c r="L202" s="16" t="s">
        <v>1258</v>
      </c>
      <c r="M202" s="82" t="s">
        <v>31</v>
      </c>
      <c r="N202" s="34"/>
      <c r="O202" s="34"/>
      <c r="P202" s="34"/>
      <c r="Q202" s="28" t="s">
        <v>33</v>
      </c>
      <c r="R202" s="28" t="s">
        <v>94</v>
      </c>
      <c r="S202" s="54" t="s">
        <v>35</v>
      </c>
      <c r="T202" s="54" t="s">
        <v>36</v>
      </c>
      <c r="U202" s="34"/>
    </row>
    <row r="203" spans="2:21">
      <c r="B203" s="21" t="s">
        <v>47</v>
      </c>
      <c r="C203" s="46" t="s">
        <v>28</v>
      </c>
      <c r="D203" s="47">
        <v>44281</v>
      </c>
      <c r="F203" s="34"/>
      <c r="G203" s="46"/>
      <c r="H203" s="34"/>
      <c r="I203" s="34"/>
      <c r="K203" s="39">
        <v>1855303</v>
      </c>
      <c r="L203" s="16" t="s">
        <v>1259</v>
      </c>
      <c r="M203" s="82" t="s">
        <v>31</v>
      </c>
      <c r="N203" s="34"/>
      <c r="O203" s="34"/>
      <c r="P203" s="34"/>
      <c r="Q203" s="28" t="s">
        <v>33</v>
      </c>
      <c r="R203" s="28" t="s">
        <v>94</v>
      </c>
      <c r="S203" s="54" t="s">
        <v>35</v>
      </c>
      <c r="T203" s="54" t="s">
        <v>36</v>
      </c>
      <c r="U203" s="34"/>
    </row>
    <row r="204" spans="2:21">
      <c r="B204" s="21" t="s">
        <v>47</v>
      </c>
      <c r="C204" s="46" t="s">
        <v>28</v>
      </c>
      <c r="D204" s="47">
        <v>44281</v>
      </c>
      <c r="F204" s="34"/>
      <c r="G204" s="46"/>
      <c r="H204" s="34"/>
      <c r="I204" s="34"/>
      <c r="K204" s="39">
        <v>1855304</v>
      </c>
      <c r="L204" s="16" t="s">
        <v>1260</v>
      </c>
      <c r="M204" s="82" t="s">
        <v>31</v>
      </c>
      <c r="N204" s="34"/>
      <c r="O204" s="34"/>
      <c r="P204" s="34"/>
      <c r="Q204" s="28" t="s">
        <v>33</v>
      </c>
      <c r="R204" s="28" t="s">
        <v>94</v>
      </c>
      <c r="S204" s="54" t="s">
        <v>35</v>
      </c>
      <c r="T204" s="34" t="s">
        <v>36</v>
      </c>
      <c r="U204" s="34"/>
    </row>
    <row r="205" spans="2:21">
      <c r="B205" s="21" t="s">
        <v>47</v>
      </c>
      <c r="C205" s="46" t="s">
        <v>28</v>
      </c>
      <c r="D205" s="47">
        <v>44281</v>
      </c>
      <c r="F205" s="34"/>
      <c r="G205" s="46"/>
      <c r="H205" s="34"/>
      <c r="I205" s="34"/>
      <c r="K205" s="39">
        <v>2255401</v>
      </c>
      <c r="L205" s="16" t="s">
        <v>1261</v>
      </c>
      <c r="M205" s="39" t="s">
        <v>31</v>
      </c>
      <c r="N205" s="34"/>
      <c r="O205" s="34"/>
      <c r="P205" s="34"/>
      <c r="Q205" s="28" t="s">
        <v>33</v>
      </c>
      <c r="R205" s="28" t="s">
        <v>94</v>
      </c>
      <c r="S205" s="54" t="s">
        <v>35</v>
      </c>
      <c r="T205" s="34" t="s">
        <v>36</v>
      </c>
      <c r="U205" s="34"/>
    </row>
    <row r="206" spans="2:21">
      <c r="B206" s="21" t="s">
        <v>47</v>
      </c>
      <c r="C206" s="80" t="s">
        <v>28</v>
      </c>
      <c r="D206" s="47">
        <v>44295</v>
      </c>
      <c r="F206" s="34"/>
      <c r="G206" s="46"/>
      <c r="H206" s="34"/>
      <c r="I206" s="34"/>
      <c r="K206" s="39">
        <v>2013610</v>
      </c>
      <c r="L206" s="16" t="s">
        <v>1262</v>
      </c>
      <c r="M206" s="39" t="s">
        <v>31</v>
      </c>
      <c r="N206" s="34"/>
      <c r="O206" s="34"/>
      <c r="P206" s="34"/>
      <c r="Q206" s="35" t="s">
        <v>33</v>
      </c>
      <c r="R206" s="28" t="s">
        <v>94</v>
      </c>
      <c r="S206" s="98" t="s">
        <v>35</v>
      </c>
      <c r="T206" s="38" t="s">
        <v>36</v>
      </c>
      <c r="U206" s="34"/>
    </row>
    <row r="207" spans="2:21">
      <c r="B207" s="21" t="s">
        <v>47</v>
      </c>
      <c r="C207" s="80" t="s">
        <v>28</v>
      </c>
      <c r="D207" s="47">
        <v>44295</v>
      </c>
      <c r="F207" s="34"/>
      <c r="G207" s="46"/>
      <c r="H207" s="34"/>
      <c r="I207" s="34"/>
      <c r="K207" s="39">
        <v>2013611</v>
      </c>
      <c r="L207" s="16" t="s">
        <v>1263</v>
      </c>
      <c r="M207" s="39" t="s">
        <v>31</v>
      </c>
      <c r="N207" s="34"/>
      <c r="O207" s="34"/>
      <c r="P207" s="34"/>
      <c r="Q207" s="35" t="s">
        <v>33</v>
      </c>
      <c r="R207" s="28" t="s">
        <v>94</v>
      </c>
      <c r="S207" s="98" t="s">
        <v>35</v>
      </c>
      <c r="T207" s="38" t="s">
        <v>36</v>
      </c>
      <c r="U207" s="34"/>
    </row>
    <row r="208" spans="2:21">
      <c r="B208" s="21" t="s">
        <v>47</v>
      </c>
      <c r="C208" s="80" t="s">
        <v>28</v>
      </c>
      <c r="D208" s="81">
        <v>44295</v>
      </c>
      <c r="F208" s="34"/>
      <c r="G208" s="46"/>
      <c r="H208" s="34"/>
      <c r="I208" s="34"/>
      <c r="K208" s="39">
        <v>2260401</v>
      </c>
      <c r="L208" s="16" t="s">
        <v>1264</v>
      </c>
      <c r="M208" s="39" t="s">
        <v>31</v>
      </c>
      <c r="N208" s="34"/>
      <c r="O208" s="34"/>
      <c r="P208" s="34"/>
      <c r="Q208" s="35" t="s">
        <v>33</v>
      </c>
      <c r="R208" s="28" t="s">
        <v>94</v>
      </c>
      <c r="S208" s="98" t="s">
        <v>35</v>
      </c>
      <c r="T208" s="38" t="s">
        <v>36</v>
      </c>
      <c r="U208" s="38"/>
    </row>
    <row r="209" spans="2:21">
      <c r="B209" s="21" t="s">
        <v>47</v>
      </c>
      <c r="C209" s="80" t="s">
        <v>28</v>
      </c>
      <c r="D209" s="81">
        <v>44302</v>
      </c>
      <c r="F209" s="34"/>
      <c r="G209" s="46"/>
      <c r="H209" s="34"/>
      <c r="I209" s="34"/>
      <c r="K209" s="82">
        <v>2260601</v>
      </c>
      <c r="L209" s="114" t="s">
        <v>1265</v>
      </c>
      <c r="M209" s="39" t="s">
        <v>31</v>
      </c>
      <c r="N209" s="34"/>
      <c r="O209" s="34"/>
      <c r="P209" s="34"/>
      <c r="Q209" s="35" t="s">
        <v>33</v>
      </c>
      <c r="R209" s="28" t="s">
        <v>94</v>
      </c>
      <c r="S209" s="98" t="s">
        <v>35</v>
      </c>
      <c r="T209" s="38" t="s">
        <v>36</v>
      </c>
      <c r="U209" s="38" t="s">
        <v>1266</v>
      </c>
    </row>
    <row r="210" spans="2:21">
      <c r="B210" s="21" t="s">
        <v>47</v>
      </c>
      <c r="C210" s="80" t="s">
        <v>28</v>
      </c>
      <c r="D210" s="81">
        <v>44302</v>
      </c>
      <c r="F210" s="34"/>
      <c r="G210" s="46"/>
      <c r="H210" s="34"/>
      <c r="I210" s="34"/>
      <c r="K210" s="82" t="s">
        <v>1267</v>
      </c>
      <c r="L210" s="114" t="s">
        <v>1268</v>
      </c>
      <c r="M210" s="39" t="s">
        <v>31</v>
      </c>
      <c r="N210" s="34"/>
      <c r="O210" s="34"/>
      <c r="P210" s="34"/>
      <c r="Q210" s="35" t="s">
        <v>33</v>
      </c>
      <c r="R210" s="28" t="s">
        <v>94</v>
      </c>
      <c r="S210" s="98" t="s">
        <v>35</v>
      </c>
      <c r="T210" s="38" t="s">
        <v>36</v>
      </c>
      <c r="U210" s="38" t="s">
        <v>1266</v>
      </c>
    </row>
    <row r="211" spans="2:21">
      <c r="B211" s="21" t="s">
        <v>47</v>
      </c>
      <c r="C211" s="80" t="s">
        <v>28</v>
      </c>
      <c r="D211" s="81">
        <v>44302</v>
      </c>
      <c r="F211" s="34"/>
      <c r="G211" s="46"/>
      <c r="H211" s="34"/>
      <c r="I211" s="34"/>
      <c r="K211" s="39" t="s">
        <v>1269</v>
      </c>
      <c r="L211" s="16" t="s">
        <v>1270</v>
      </c>
      <c r="M211" s="39" t="s">
        <v>31</v>
      </c>
      <c r="N211" s="34"/>
      <c r="O211" s="34"/>
      <c r="P211" s="34"/>
      <c r="Q211" s="35" t="s">
        <v>33</v>
      </c>
      <c r="R211" s="28" t="s">
        <v>94</v>
      </c>
      <c r="S211" s="98" t="s">
        <v>35</v>
      </c>
      <c r="T211" s="38" t="s">
        <v>36</v>
      </c>
      <c r="U211" s="38"/>
    </row>
    <row r="212" spans="2:21">
      <c r="B212" s="21" t="s">
        <v>47</v>
      </c>
      <c r="C212" s="80" t="s">
        <v>28</v>
      </c>
      <c r="D212" s="81">
        <v>44302</v>
      </c>
      <c r="F212" s="34"/>
      <c r="G212" s="46"/>
      <c r="H212" s="34"/>
      <c r="I212" s="34"/>
      <c r="K212" s="39">
        <v>2262901</v>
      </c>
      <c r="L212" s="16" t="s">
        <v>1271</v>
      </c>
      <c r="M212" s="39" t="s">
        <v>31</v>
      </c>
      <c r="N212" s="34"/>
      <c r="O212" s="34"/>
      <c r="P212" s="34"/>
      <c r="Q212" s="35" t="s">
        <v>33</v>
      </c>
      <c r="R212" s="28" t="s">
        <v>94</v>
      </c>
      <c r="S212" s="98" t="s">
        <v>35</v>
      </c>
      <c r="T212" s="38" t="s">
        <v>36</v>
      </c>
      <c r="U212" s="38"/>
    </row>
    <row r="213" spans="2:21">
      <c r="B213" s="21" t="s">
        <v>47</v>
      </c>
      <c r="C213" s="80" t="s">
        <v>28</v>
      </c>
      <c r="D213" s="81">
        <v>44302</v>
      </c>
      <c r="F213" s="34"/>
      <c r="G213" s="46"/>
      <c r="H213" s="34"/>
      <c r="I213" s="34"/>
      <c r="K213" s="39">
        <v>2262902</v>
      </c>
      <c r="L213" s="16" t="s">
        <v>1272</v>
      </c>
      <c r="M213" s="39" t="s">
        <v>31</v>
      </c>
      <c r="N213" s="34"/>
      <c r="O213" s="34"/>
      <c r="P213" s="34"/>
      <c r="Q213" s="35" t="s">
        <v>33</v>
      </c>
      <c r="R213" s="28" t="s">
        <v>94</v>
      </c>
      <c r="S213" s="98" t="s">
        <v>35</v>
      </c>
      <c r="T213" s="38" t="s">
        <v>36</v>
      </c>
      <c r="U213" s="34"/>
    </row>
    <row r="214" spans="2:21">
      <c r="B214" s="21" t="s">
        <v>47</v>
      </c>
      <c r="C214" s="80" t="s">
        <v>28</v>
      </c>
      <c r="D214" s="81">
        <v>44337</v>
      </c>
      <c r="F214" s="34"/>
      <c r="G214" s="46"/>
      <c r="H214" s="34"/>
      <c r="I214" s="34"/>
      <c r="K214" s="39">
        <v>2263301</v>
      </c>
      <c r="L214" s="16" t="s">
        <v>1273</v>
      </c>
      <c r="M214" s="39" t="s">
        <v>31</v>
      </c>
      <c r="N214" s="34"/>
      <c r="O214" s="34"/>
      <c r="P214" s="34"/>
      <c r="Q214" s="35" t="s">
        <v>33</v>
      </c>
      <c r="R214" s="28" t="s">
        <v>94</v>
      </c>
      <c r="S214" s="98" t="s">
        <v>35</v>
      </c>
      <c r="T214" s="38" t="s">
        <v>36</v>
      </c>
      <c r="U214" s="34" t="s">
        <v>1274</v>
      </c>
    </row>
    <row r="215" spans="2:21">
      <c r="B215" s="21" t="s">
        <v>47</v>
      </c>
      <c r="C215" s="46" t="s">
        <v>28</v>
      </c>
      <c r="D215" s="47">
        <v>44337</v>
      </c>
      <c r="F215" s="34"/>
      <c r="G215" s="46"/>
      <c r="H215" s="34"/>
      <c r="I215" s="34"/>
      <c r="K215" s="39">
        <v>2263302</v>
      </c>
      <c r="L215" s="16" t="s">
        <v>1275</v>
      </c>
      <c r="M215" s="39" t="s">
        <v>31</v>
      </c>
      <c r="N215" s="34"/>
      <c r="O215" s="34"/>
      <c r="P215" s="34"/>
      <c r="Q215" s="28" t="s">
        <v>33</v>
      </c>
      <c r="R215" s="28" t="s">
        <v>94</v>
      </c>
      <c r="S215" s="54" t="s">
        <v>35</v>
      </c>
      <c r="T215" s="34" t="s">
        <v>36</v>
      </c>
      <c r="U215" s="34" t="s">
        <v>1276</v>
      </c>
    </row>
    <row r="216" spans="2:21">
      <c r="B216" s="21" t="s">
        <v>47</v>
      </c>
      <c r="C216" s="46" t="s">
        <v>28</v>
      </c>
      <c r="D216" s="47">
        <v>44337</v>
      </c>
      <c r="F216" s="34"/>
      <c r="G216" s="46"/>
      <c r="H216" s="34"/>
      <c r="I216" s="34"/>
      <c r="K216" s="39">
        <v>2158803</v>
      </c>
      <c r="L216" s="16" t="s">
        <v>1277</v>
      </c>
      <c r="M216" s="39" t="s">
        <v>31</v>
      </c>
      <c r="N216" s="34"/>
      <c r="O216" s="34"/>
      <c r="P216" s="34"/>
      <c r="Q216" s="28" t="s">
        <v>33</v>
      </c>
      <c r="R216" s="28" t="s">
        <v>94</v>
      </c>
      <c r="S216" s="54" t="s">
        <v>35</v>
      </c>
      <c r="T216" s="34" t="s">
        <v>36</v>
      </c>
      <c r="U216" s="34"/>
    </row>
    <row r="217" spans="2:21">
      <c r="B217" s="21" t="s">
        <v>47</v>
      </c>
      <c r="C217" s="46" t="s">
        <v>28</v>
      </c>
      <c r="D217" s="47">
        <v>44337</v>
      </c>
      <c r="F217" s="34"/>
      <c r="G217" s="46"/>
      <c r="H217" s="34"/>
      <c r="I217" s="34"/>
      <c r="K217" s="39">
        <v>2158804</v>
      </c>
      <c r="L217" s="16" t="s">
        <v>1278</v>
      </c>
      <c r="M217" s="39" t="s">
        <v>31</v>
      </c>
      <c r="N217" s="34"/>
      <c r="O217" s="34"/>
      <c r="P217" s="34"/>
      <c r="Q217" s="28" t="s">
        <v>33</v>
      </c>
      <c r="R217" s="28" t="s">
        <v>94</v>
      </c>
      <c r="S217" s="54" t="s">
        <v>35</v>
      </c>
      <c r="T217" s="34" t="s">
        <v>36</v>
      </c>
      <c r="U217" s="34"/>
    </row>
    <row r="218" spans="2:21">
      <c r="B218" s="21" t="s">
        <v>47</v>
      </c>
      <c r="C218" s="46" t="s">
        <v>28</v>
      </c>
      <c r="D218" s="47">
        <v>44337</v>
      </c>
      <c r="F218" s="34"/>
      <c r="G218" s="46"/>
      <c r="H218" s="34"/>
      <c r="I218" s="34"/>
      <c r="K218" s="39">
        <v>1704304</v>
      </c>
      <c r="L218" s="16" t="s">
        <v>1279</v>
      </c>
      <c r="M218" s="39" t="s">
        <v>31</v>
      </c>
      <c r="N218" s="34"/>
      <c r="O218" s="34"/>
      <c r="P218" s="34"/>
      <c r="Q218" s="28" t="s">
        <v>33</v>
      </c>
      <c r="R218" s="28" t="s">
        <v>94</v>
      </c>
      <c r="S218" s="54" t="s">
        <v>35</v>
      </c>
      <c r="T218" s="34" t="s">
        <v>36</v>
      </c>
      <c r="U218" s="34"/>
    </row>
    <row r="219" spans="2:21">
      <c r="B219" s="21" t="s">
        <v>47</v>
      </c>
      <c r="C219" s="46" t="s">
        <v>28</v>
      </c>
      <c r="D219" s="47">
        <v>44337</v>
      </c>
      <c r="F219" s="34"/>
      <c r="G219" s="46"/>
      <c r="H219" s="34"/>
      <c r="I219" s="34"/>
      <c r="K219" s="39">
        <v>2267001</v>
      </c>
      <c r="L219" s="16" t="s">
        <v>1280</v>
      </c>
      <c r="M219" s="39" t="s">
        <v>31</v>
      </c>
      <c r="N219" s="34"/>
      <c r="O219" s="34"/>
      <c r="P219" s="34"/>
      <c r="Q219" s="28" t="s">
        <v>33</v>
      </c>
      <c r="R219" s="28" t="s">
        <v>94</v>
      </c>
      <c r="S219" s="54" t="s">
        <v>35</v>
      </c>
      <c r="T219" s="34" t="s">
        <v>36</v>
      </c>
      <c r="U219" s="34"/>
    </row>
    <row r="220" spans="2:21">
      <c r="B220" s="16" t="s">
        <v>47</v>
      </c>
      <c r="C220" s="46" t="s">
        <v>28</v>
      </c>
      <c r="D220" s="47">
        <v>44344</v>
      </c>
      <c r="F220" s="34"/>
      <c r="G220" s="46"/>
      <c r="H220" s="34"/>
      <c r="I220" s="34"/>
      <c r="K220" s="39">
        <v>1704305</v>
      </c>
      <c r="L220" s="16" t="s">
        <v>1281</v>
      </c>
      <c r="M220" s="39" t="s">
        <v>31</v>
      </c>
      <c r="N220" s="34"/>
      <c r="O220" s="34"/>
      <c r="P220" s="34"/>
      <c r="Q220" s="28" t="s">
        <v>33</v>
      </c>
      <c r="R220" s="28" t="s">
        <v>94</v>
      </c>
      <c r="S220" s="54" t="s">
        <v>35</v>
      </c>
      <c r="T220" s="34" t="s">
        <v>36</v>
      </c>
      <c r="U220" s="34" t="s">
        <v>1282</v>
      </c>
    </row>
    <row r="221" spans="2:21">
      <c r="B221" s="16" t="s">
        <v>47</v>
      </c>
      <c r="C221" s="46" t="s">
        <v>28</v>
      </c>
      <c r="D221" s="47">
        <v>44365</v>
      </c>
      <c r="F221" s="34"/>
      <c r="G221" s="46"/>
      <c r="H221" s="34"/>
      <c r="I221" s="34"/>
      <c r="K221" s="39">
        <v>2269101</v>
      </c>
      <c r="L221" s="16" t="s">
        <v>1283</v>
      </c>
      <c r="M221" s="39" t="s">
        <v>31</v>
      </c>
      <c r="N221" s="34"/>
      <c r="O221" s="34"/>
      <c r="P221" s="34"/>
      <c r="Q221" s="28" t="s">
        <v>33</v>
      </c>
      <c r="R221" s="28" t="s">
        <v>94</v>
      </c>
      <c r="S221" s="54" t="s">
        <v>35</v>
      </c>
      <c r="T221" s="34" t="s">
        <v>36</v>
      </c>
      <c r="U221" s="34"/>
    </row>
    <row r="222" spans="2:21">
      <c r="B222" s="16" t="s">
        <v>47</v>
      </c>
      <c r="C222" s="46" t="s">
        <v>28</v>
      </c>
      <c r="D222" s="47">
        <v>44365</v>
      </c>
      <c r="F222" s="34"/>
      <c r="G222" s="46"/>
      <c r="H222" s="34"/>
      <c r="I222" s="34"/>
      <c r="K222" s="39">
        <v>2269102</v>
      </c>
      <c r="L222" s="16" t="s">
        <v>1284</v>
      </c>
      <c r="M222" s="39" t="s">
        <v>31</v>
      </c>
      <c r="N222" s="34"/>
      <c r="O222" s="34"/>
      <c r="P222" s="34"/>
      <c r="Q222" s="28" t="s">
        <v>33</v>
      </c>
      <c r="R222" s="28" t="s">
        <v>94</v>
      </c>
      <c r="S222" s="54" t="s">
        <v>35</v>
      </c>
      <c r="T222" s="34" t="s">
        <v>36</v>
      </c>
      <c r="U222" s="34"/>
    </row>
    <row r="223" spans="2:21">
      <c r="B223" s="16" t="s">
        <v>47</v>
      </c>
      <c r="C223" s="46" t="s">
        <v>28</v>
      </c>
      <c r="D223" s="47">
        <v>44372</v>
      </c>
      <c r="F223" s="34"/>
      <c r="G223" s="46"/>
      <c r="H223" s="34"/>
      <c r="I223" s="34"/>
      <c r="K223" s="39">
        <v>2274501</v>
      </c>
      <c r="L223" s="16" t="s">
        <v>1285</v>
      </c>
      <c r="M223" s="39" t="s">
        <v>31</v>
      </c>
      <c r="N223" s="34"/>
      <c r="O223" s="34"/>
      <c r="P223" s="34"/>
      <c r="Q223" s="28" t="s">
        <v>33</v>
      </c>
      <c r="R223" s="28" t="s">
        <v>94</v>
      </c>
      <c r="S223" s="54" t="s">
        <v>35</v>
      </c>
      <c r="T223" s="34" t="s">
        <v>36</v>
      </c>
      <c r="U223" s="34"/>
    </row>
    <row r="224" spans="2:21">
      <c r="B224" s="16" t="s">
        <v>47</v>
      </c>
      <c r="C224" s="46" t="s">
        <v>28</v>
      </c>
      <c r="D224" s="47">
        <v>44372</v>
      </c>
      <c r="F224" s="34"/>
      <c r="G224" s="46"/>
      <c r="H224" s="34"/>
      <c r="I224" s="34"/>
      <c r="K224" s="39">
        <v>2274502</v>
      </c>
      <c r="L224" s="16" t="s">
        <v>1286</v>
      </c>
      <c r="M224" s="39" t="s">
        <v>31</v>
      </c>
      <c r="N224" s="34"/>
      <c r="O224" s="34"/>
      <c r="P224" s="34"/>
      <c r="Q224" s="28" t="s">
        <v>33</v>
      </c>
      <c r="R224" s="28" t="s">
        <v>94</v>
      </c>
      <c r="S224" s="54" t="s">
        <v>35</v>
      </c>
      <c r="T224" s="34" t="s">
        <v>36</v>
      </c>
      <c r="U224" s="34"/>
    </row>
    <row r="225" spans="2:21">
      <c r="B225" s="16" t="s">
        <v>47</v>
      </c>
      <c r="C225" s="46" t="s">
        <v>28</v>
      </c>
      <c r="D225" s="47">
        <v>44372</v>
      </c>
      <c r="F225" s="34"/>
      <c r="G225" s="46"/>
      <c r="H225" s="34"/>
      <c r="I225" s="34"/>
      <c r="K225" s="39">
        <v>2274401</v>
      </c>
      <c r="L225" s="16" t="s">
        <v>1287</v>
      </c>
      <c r="M225" s="39" t="s">
        <v>31</v>
      </c>
      <c r="N225" s="34"/>
      <c r="O225" s="34"/>
      <c r="P225" s="34"/>
      <c r="Q225" s="28" t="s">
        <v>33</v>
      </c>
      <c r="R225" s="28" t="s">
        <v>94</v>
      </c>
      <c r="S225" s="54" t="s">
        <v>35</v>
      </c>
      <c r="T225" s="34" t="s">
        <v>36</v>
      </c>
      <c r="U225" s="34"/>
    </row>
    <row r="226" spans="2:21">
      <c r="B226" s="16" t="s">
        <v>47</v>
      </c>
      <c r="C226" s="46" t="s">
        <v>28</v>
      </c>
      <c r="D226" s="47">
        <v>44372</v>
      </c>
      <c r="F226" s="34"/>
      <c r="G226" s="46"/>
      <c r="H226" s="34"/>
      <c r="I226" s="34"/>
      <c r="K226" s="39" t="s">
        <v>1288</v>
      </c>
      <c r="L226" s="16" t="s">
        <v>1289</v>
      </c>
      <c r="M226" s="39" t="s">
        <v>31</v>
      </c>
      <c r="N226" s="34"/>
      <c r="O226" s="34"/>
      <c r="P226" s="34"/>
      <c r="Q226" s="28" t="s">
        <v>33</v>
      </c>
      <c r="R226" s="28" t="s">
        <v>94</v>
      </c>
      <c r="S226" s="54" t="s">
        <v>35</v>
      </c>
      <c r="T226" s="34" t="s">
        <v>36</v>
      </c>
      <c r="U226" s="34"/>
    </row>
    <row r="227" spans="2:21">
      <c r="B227" s="16" t="s">
        <v>47</v>
      </c>
      <c r="C227" s="46" t="s">
        <v>28</v>
      </c>
      <c r="D227" s="47">
        <v>44393</v>
      </c>
      <c r="F227" s="34"/>
      <c r="G227" s="46"/>
      <c r="H227" s="34"/>
      <c r="I227" s="34"/>
      <c r="K227" s="39" t="s">
        <v>1290</v>
      </c>
      <c r="L227" s="16" t="s">
        <v>1291</v>
      </c>
      <c r="M227" s="39" t="s">
        <v>31</v>
      </c>
      <c r="N227" s="34"/>
      <c r="O227" s="34"/>
      <c r="P227" s="34"/>
      <c r="Q227" s="28" t="s">
        <v>33</v>
      </c>
      <c r="R227" s="28" t="s">
        <v>94</v>
      </c>
      <c r="S227" s="54" t="s">
        <v>35</v>
      </c>
      <c r="T227" s="38" t="s">
        <v>36</v>
      </c>
      <c r="U227" s="141" t="s">
        <v>1292</v>
      </c>
    </row>
    <row r="228" spans="2:21">
      <c r="B228" s="16" t="s">
        <v>47</v>
      </c>
      <c r="C228" s="46" t="s">
        <v>28</v>
      </c>
      <c r="D228" s="47">
        <v>44393</v>
      </c>
      <c r="F228" s="34"/>
      <c r="G228" s="46"/>
      <c r="H228" s="34"/>
      <c r="I228" s="34"/>
      <c r="K228" s="39" t="s">
        <v>1293</v>
      </c>
      <c r="L228" s="16" t="s">
        <v>1294</v>
      </c>
      <c r="M228" s="39" t="s">
        <v>31</v>
      </c>
      <c r="N228" s="34"/>
      <c r="O228" s="34"/>
      <c r="P228" s="34"/>
      <c r="Q228" s="28" t="s">
        <v>33</v>
      </c>
      <c r="R228" s="28" t="s">
        <v>94</v>
      </c>
      <c r="S228" s="54" t="s">
        <v>35</v>
      </c>
      <c r="T228" s="38" t="s">
        <v>36</v>
      </c>
      <c r="U228" s="141" t="s">
        <v>1292</v>
      </c>
    </row>
    <row r="229" spans="2:21">
      <c r="B229" s="16" t="s">
        <v>47</v>
      </c>
      <c r="C229" s="46" t="s">
        <v>28</v>
      </c>
      <c r="D229" s="47">
        <v>44393</v>
      </c>
      <c r="F229" s="34"/>
      <c r="G229" s="46"/>
      <c r="H229" s="34"/>
      <c r="I229" s="34"/>
      <c r="K229" s="39" t="s">
        <v>1295</v>
      </c>
      <c r="L229" s="16" t="s">
        <v>1296</v>
      </c>
      <c r="M229" s="39" t="s">
        <v>31</v>
      </c>
      <c r="N229" s="34"/>
      <c r="O229" s="34"/>
      <c r="P229" s="34"/>
      <c r="Q229" s="28" t="s">
        <v>33</v>
      </c>
      <c r="R229" s="28" t="s">
        <v>94</v>
      </c>
      <c r="S229" s="54" t="s">
        <v>35</v>
      </c>
      <c r="T229" s="38" t="s">
        <v>36</v>
      </c>
      <c r="U229" s="141" t="s">
        <v>1292</v>
      </c>
    </row>
    <row r="230" spans="2:21">
      <c r="B230" s="16" t="s">
        <v>47</v>
      </c>
      <c r="C230" s="46" t="s">
        <v>28</v>
      </c>
      <c r="D230" s="47">
        <v>44393</v>
      </c>
      <c r="F230" s="34"/>
      <c r="G230" s="46"/>
      <c r="H230" s="34"/>
      <c r="I230" s="34"/>
      <c r="K230" s="39" t="s">
        <v>1297</v>
      </c>
      <c r="L230" s="16" t="s">
        <v>1298</v>
      </c>
      <c r="M230" s="39" t="s">
        <v>31</v>
      </c>
      <c r="N230" s="34"/>
      <c r="O230" s="34"/>
      <c r="P230" s="34"/>
      <c r="Q230" s="28" t="s">
        <v>33</v>
      </c>
      <c r="R230" s="28" t="s">
        <v>94</v>
      </c>
      <c r="S230" s="54" t="s">
        <v>35</v>
      </c>
      <c r="T230" s="38" t="s">
        <v>36</v>
      </c>
      <c r="U230" s="34"/>
    </row>
    <row r="231" spans="2:21">
      <c r="B231" s="16" t="s">
        <v>47</v>
      </c>
      <c r="C231" s="46" t="s">
        <v>28</v>
      </c>
      <c r="D231" s="47">
        <v>44393</v>
      </c>
      <c r="F231" s="34"/>
      <c r="G231" s="46"/>
      <c r="H231" s="34"/>
      <c r="I231" s="34"/>
      <c r="K231" s="39" t="s">
        <v>1299</v>
      </c>
      <c r="L231" s="16" t="s">
        <v>1300</v>
      </c>
      <c r="M231" s="39" t="s">
        <v>31</v>
      </c>
      <c r="N231" s="34"/>
      <c r="O231" s="34"/>
      <c r="P231" s="34"/>
      <c r="Q231" s="28" t="s">
        <v>33</v>
      </c>
      <c r="R231" s="28" t="s">
        <v>94</v>
      </c>
      <c r="S231" s="54" t="s">
        <v>35</v>
      </c>
      <c r="T231" s="38" t="s">
        <v>36</v>
      </c>
      <c r="U231" s="141" t="s">
        <v>1292</v>
      </c>
    </row>
    <row r="232" spans="2:21">
      <c r="B232" s="16" t="s">
        <v>47</v>
      </c>
      <c r="C232" s="46" t="s">
        <v>28</v>
      </c>
      <c r="D232" s="47">
        <v>44393</v>
      </c>
      <c r="F232" s="34"/>
      <c r="G232" s="46"/>
      <c r="H232" s="34"/>
      <c r="I232" s="34"/>
      <c r="K232" s="39" t="s">
        <v>1301</v>
      </c>
      <c r="L232" s="16" t="s">
        <v>1302</v>
      </c>
      <c r="M232" s="39" t="s">
        <v>31</v>
      </c>
      <c r="N232" s="34"/>
      <c r="O232" s="34"/>
      <c r="P232" s="34"/>
      <c r="Q232" s="28" t="s">
        <v>33</v>
      </c>
      <c r="R232" s="28" t="s">
        <v>94</v>
      </c>
      <c r="S232" s="54" t="s">
        <v>35</v>
      </c>
      <c r="T232" s="38" t="s">
        <v>36</v>
      </c>
      <c r="U232" s="141" t="s">
        <v>1292</v>
      </c>
    </row>
    <row r="233" spans="2:21">
      <c r="B233" s="16" t="s">
        <v>47</v>
      </c>
      <c r="C233" s="46" t="s">
        <v>28</v>
      </c>
      <c r="D233" s="47">
        <v>44393</v>
      </c>
      <c r="F233" s="34"/>
      <c r="G233" s="46"/>
      <c r="H233" s="34"/>
      <c r="I233" s="34"/>
      <c r="K233" s="39" t="s">
        <v>1303</v>
      </c>
      <c r="L233" s="16" t="s">
        <v>1304</v>
      </c>
      <c r="M233" s="39" t="s">
        <v>31</v>
      </c>
      <c r="N233" s="34"/>
      <c r="O233" s="34"/>
      <c r="P233" s="34"/>
      <c r="Q233" s="28" t="s">
        <v>33</v>
      </c>
      <c r="R233" s="28" t="s">
        <v>94</v>
      </c>
      <c r="S233" s="54" t="s">
        <v>35</v>
      </c>
      <c r="T233" s="38" t="s">
        <v>36</v>
      </c>
      <c r="U233" s="141" t="s">
        <v>1292</v>
      </c>
    </row>
    <row r="234" spans="2:21">
      <c r="B234" s="16" t="s">
        <v>47</v>
      </c>
      <c r="C234" s="46" t="s">
        <v>28</v>
      </c>
      <c r="D234" s="47">
        <v>44393</v>
      </c>
      <c r="F234" s="34"/>
      <c r="G234" s="46"/>
      <c r="H234" s="34"/>
      <c r="I234" s="34"/>
      <c r="K234" s="39" t="s">
        <v>1305</v>
      </c>
      <c r="L234" s="16" t="s">
        <v>1306</v>
      </c>
      <c r="M234" s="39" t="s">
        <v>31</v>
      </c>
      <c r="N234" s="34"/>
      <c r="O234" s="34"/>
      <c r="P234" s="34"/>
      <c r="Q234" s="28" t="s">
        <v>33</v>
      </c>
      <c r="R234" s="28" t="s">
        <v>94</v>
      </c>
      <c r="S234" s="54" t="s">
        <v>35</v>
      </c>
      <c r="T234" s="38" t="s">
        <v>36</v>
      </c>
      <c r="U234" s="141" t="s">
        <v>1292</v>
      </c>
    </row>
    <row r="235" spans="2:21">
      <c r="B235" s="16" t="s">
        <v>47</v>
      </c>
      <c r="C235" s="46" t="s">
        <v>28</v>
      </c>
      <c r="D235" s="47">
        <v>44414</v>
      </c>
      <c r="F235" s="34"/>
      <c r="G235" s="46"/>
      <c r="H235" s="34"/>
      <c r="I235" s="34"/>
      <c r="K235" s="39" t="s">
        <v>1307</v>
      </c>
      <c r="L235" s="16" t="s">
        <v>1308</v>
      </c>
      <c r="M235" s="34" t="s">
        <v>31</v>
      </c>
      <c r="N235" s="34"/>
      <c r="O235" s="34"/>
      <c r="P235" s="34"/>
      <c r="Q235" s="28" t="s">
        <v>33</v>
      </c>
      <c r="R235" s="28" t="s">
        <v>94</v>
      </c>
      <c r="S235" s="54" t="s">
        <v>35</v>
      </c>
      <c r="T235" s="34" t="s">
        <v>36</v>
      </c>
      <c r="U235" s="34"/>
    </row>
    <row r="236" spans="2:21">
      <c r="B236" s="16" t="s">
        <v>47</v>
      </c>
      <c r="C236" s="46" t="s">
        <v>28</v>
      </c>
      <c r="D236" s="47">
        <v>44442</v>
      </c>
      <c r="F236" s="34"/>
      <c r="G236" s="46"/>
      <c r="H236" s="34"/>
      <c r="I236" s="34"/>
      <c r="K236" s="39" t="s">
        <v>1309</v>
      </c>
      <c r="L236" s="16" t="s">
        <v>1310</v>
      </c>
      <c r="M236" s="34" t="s">
        <v>31</v>
      </c>
      <c r="N236" s="34"/>
      <c r="O236" s="34"/>
      <c r="P236" s="34"/>
      <c r="Q236" s="28" t="s">
        <v>33</v>
      </c>
      <c r="R236" s="28" t="s">
        <v>94</v>
      </c>
      <c r="S236" s="54" t="s">
        <v>35</v>
      </c>
      <c r="T236" s="34" t="s">
        <v>36</v>
      </c>
      <c r="U236" s="34"/>
    </row>
    <row r="237" spans="2:21">
      <c r="B237" s="16" t="s">
        <v>47</v>
      </c>
      <c r="C237" s="46" t="s">
        <v>28</v>
      </c>
      <c r="D237" s="47">
        <v>44442</v>
      </c>
      <c r="F237" s="34"/>
      <c r="G237" s="46"/>
      <c r="H237" s="34"/>
      <c r="I237" s="34"/>
      <c r="K237" s="39" t="s">
        <v>1311</v>
      </c>
      <c r="L237" s="16" t="s">
        <v>1312</v>
      </c>
      <c r="M237" s="34" t="s">
        <v>31</v>
      </c>
      <c r="N237" s="34"/>
      <c r="O237" s="34"/>
      <c r="P237" s="34"/>
      <c r="Q237" s="28" t="s">
        <v>33</v>
      </c>
      <c r="R237" s="28" t="s">
        <v>94</v>
      </c>
      <c r="S237" s="54" t="s">
        <v>35</v>
      </c>
      <c r="T237" s="34" t="s">
        <v>36</v>
      </c>
      <c r="U237" s="34"/>
    </row>
    <row r="238" spans="2:21">
      <c r="B238" s="16" t="s">
        <v>47</v>
      </c>
      <c r="C238" s="46" t="s">
        <v>28</v>
      </c>
      <c r="D238" s="47">
        <v>44442</v>
      </c>
      <c r="F238" s="34"/>
      <c r="G238" s="46"/>
      <c r="H238" s="34"/>
      <c r="I238" s="34"/>
      <c r="K238" s="39" t="s">
        <v>1313</v>
      </c>
      <c r="L238" s="16" t="s">
        <v>1314</v>
      </c>
      <c r="M238" s="34" t="s">
        <v>31</v>
      </c>
      <c r="N238" s="34"/>
      <c r="O238" s="34"/>
      <c r="P238" s="34"/>
      <c r="Q238" s="28" t="s">
        <v>33</v>
      </c>
      <c r="R238" s="28" t="s">
        <v>94</v>
      </c>
      <c r="S238" s="54" t="s">
        <v>35</v>
      </c>
      <c r="T238" s="34" t="s">
        <v>36</v>
      </c>
      <c r="U238" s="111" t="s">
        <v>1315</v>
      </c>
    </row>
    <row r="239" spans="2:21">
      <c r="B239" s="16" t="s">
        <v>47</v>
      </c>
      <c r="C239" s="46" t="s">
        <v>28</v>
      </c>
      <c r="D239" s="47">
        <v>44463</v>
      </c>
      <c r="F239" s="34"/>
      <c r="G239" s="46"/>
      <c r="H239" s="34"/>
      <c r="I239" s="34"/>
      <c r="K239" s="39" t="s">
        <v>1316</v>
      </c>
      <c r="L239" s="16" t="s">
        <v>1317</v>
      </c>
      <c r="M239" s="39" t="s">
        <v>31</v>
      </c>
      <c r="N239" s="16"/>
      <c r="O239" s="39"/>
      <c r="P239" s="16"/>
      <c r="Q239" s="28" t="s">
        <v>33</v>
      </c>
      <c r="R239" s="28" t="s">
        <v>94</v>
      </c>
      <c r="S239" s="54" t="s">
        <v>35</v>
      </c>
      <c r="T239" s="34" t="s">
        <v>36</v>
      </c>
      <c r="U239" s="111" t="s">
        <v>1318</v>
      </c>
    </row>
    <row r="240" spans="2:21">
      <c r="B240" s="16" t="s">
        <v>47</v>
      </c>
      <c r="C240" s="46" t="s">
        <v>28</v>
      </c>
      <c r="D240" s="47">
        <v>44463</v>
      </c>
      <c r="F240" s="34"/>
      <c r="G240" s="46"/>
      <c r="H240" s="34"/>
      <c r="I240" s="34"/>
      <c r="K240" s="39" t="s">
        <v>1319</v>
      </c>
      <c r="L240" s="16" t="s">
        <v>1320</v>
      </c>
      <c r="M240" s="39" t="s">
        <v>31</v>
      </c>
      <c r="N240" s="34"/>
      <c r="O240" s="34"/>
      <c r="P240" s="34"/>
      <c r="Q240" s="28" t="s">
        <v>33</v>
      </c>
      <c r="R240" s="28" t="s">
        <v>94</v>
      </c>
      <c r="S240" s="54" t="s">
        <v>35</v>
      </c>
      <c r="T240" s="34" t="s">
        <v>36</v>
      </c>
      <c r="U240" s="34"/>
    </row>
    <row r="241" spans="2:21">
      <c r="B241" s="16" t="s">
        <v>47</v>
      </c>
      <c r="C241" s="46" t="s">
        <v>28</v>
      </c>
      <c r="D241" s="47">
        <v>44463</v>
      </c>
      <c r="F241" s="34"/>
      <c r="G241" s="46"/>
      <c r="H241" s="34"/>
      <c r="I241" s="34"/>
      <c r="K241" s="39" t="s">
        <v>1321</v>
      </c>
      <c r="L241" s="115" t="s">
        <v>1322</v>
      </c>
      <c r="M241" s="39" t="s">
        <v>31</v>
      </c>
      <c r="N241" s="34"/>
      <c r="O241" s="34"/>
      <c r="P241" s="34"/>
      <c r="Q241" s="28" t="s">
        <v>33</v>
      </c>
      <c r="R241" s="28" t="s">
        <v>94</v>
      </c>
      <c r="S241" s="54" t="s">
        <v>35</v>
      </c>
      <c r="T241" s="34" t="s">
        <v>36</v>
      </c>
      <c r="U241" s="34" t="s">
        <v>1323</v>
      </c>
    </row>
    <row r="242" spans="2:21">
      <c r="B242" s="16" t="s">
        <v>47</v>
      </c>
      <c r="C242" s="46" t="s">
        <v>28</v>
      </c>
      <c r="D242" s="47">
        <v>44477</v>
      </c>
      <c r="F242" s="34"/>
      <c r="G242" s="46"/>
      <c r="H242" s="34"/>
      <c r="I242" s="34"/>
      <c r="K242" s="39">
        <v>2308201</v>
      </c>
      <c r="L242" s="16" t="s">
        <v>1324</v>
      </c>
      <c r="M242" s="39" t="s">
        <v>31</v>
      </c>
      <c r="N242" s="34"/>
      <c r="O242" s="34"/>
      <c r="P242" s="34"/>
      <c r="Q242" s="28" t="s">
        <v>33</v>
      </c>
      <c r="R242" s="28" t="s">
        <v>94</v>
      </c>
      <c r="S242" s="54" t="s">
        <v>35</v>
      </c>
      <c r="T242" s="34" t="s">
        <v>36</v>
      </c>
      <c r="U242" s="34"/>
    </row>
    <row r="243" spans="2:21">
      <c r="B243" s="16" t="s">
        <v>47</v>
      </c>
      <c r="C243" s="46" t="s">
        <v>28</v>
      </c>
      <c r="D243" s="47">
        <v>44477</v>
      </c>
      <c r="F243" s="34"/>
      <c r="G243" s="46"/>
      <c r="H243" s="34"/>
      <c r="I243" s="34"/>
      <c r="K243" s="39">
        <v>2308202</v>
      </c>
      <c r="L243" s="16" t="s">
        <v>1325</v>
      </c>
      <c r="M243" s="39" t="s">
        <v>31</v>
      </c>
      <c r="N243" s="34"/>
      <c r="O243" s="34"/>
      <c r="P243" s="34"/>
      <c r="Q243" s="28" t="s">
        <v>33</v>
      </c>
      <c r="R243" s="28" t="s">
        <v>94</v>
      </c>
      <c r="S243" s="54" t="s">
        <v>35</v>
      </c>
      <c r="T243" s="34" t="s">
        <v>36</v>
      </c>
      <c r="U243" s="34"/>
    </row>
    <row r="244" spans="2:21">
      <c r="B244" s="16" t="s">
        <v>47</v>
      </c>
      <c r="C244" s="46" t="s">
        <v>28</v>
      </c>
      <c r="D244" s="47">
        <v>44484</v>
      </c>
      <c r="F244" s="34"/>
      <c r="G244" s="46"/>
      <c r="H244" s="34"/>
      <c r="I244" s="34"/>
      <c r="K244" s="39">
        <v>1486107</v>
      </c>
      <c r="L244" s="16" t="s">
        <v>1326</v>
      </c>
      <c r="M244" s="39" t="s">
        <v>31</v>
      </c>
      <c r="N244" s="34"/>
      <c r="O244" s="34"/>
      <c r="P244" s="34"/>
      <c r="Q244" s="28" t="s">
        <v>33</v>
      </c>
      <c r="R244" s="28" t="s">
        <v>94</v>
      </c>
      <c r="S244" s="54" t="s">
        <v>35</v>
      </c>
      <c r="T244" s="34" t="s">
        <v>36</v>
      </c>
      <c r="U244" s="34"/>
    </row>
    <row r="245" spans="2:21">
      <c r="B245" s="16" t="s">
        <v>47</v>
      </c>
      <c r="C245" s="46" t="s">
        <v>28</v>
      </c>
      <c r="D245" s="47">
        <v>44512</v>
      </c>
      <c r="F245" s="34"/>
      <c r="G245" s="46"/>
      <c r="H245" s="34"/>
      <c r="I245" s="34"/>
      <c r="K245" s="39">
        <v>2314401</v>
      </c>
      <c r="L245" s="16" t="s">
        <v>1327</v>
      </c>
      <c r="M245" s="39" t="s">
        <v>31</v>
      </c>
      <c r="N245" s="34"/>
      <c r="O245" s="34"/>
      <c r="P245" s="34"/>
      <c r="Q245" s="28" t="s">
        <v>33</v>
      </c>
      <c r="R245" s="28" t="s">
        <v>94</v>
      </c>
      <c r="S245" s="54" t="s">
        <v>35</v>
      </c>
      <c r="T245" s="34" t="s">
        <v>36</v>
      </c>
      <c r="U245" s="34"/>
    </row>
    <row r="246" spans="2:21">
      <c r="B246" s="16" t="s">
        <v>47</v>
      </c>
      <c r="C246" s="46" t="s">
        <v>28</v>
      </c>
      <c r="D246" s="47">
        <v>44512</v>
      </c>
      <c r="F246" s="34"/>
      <c r="G246" s="46"/>
      <c r="H246" s="34"/>
      <c r="I246" s="34"/>
      <c r="K246" s="39">
        <v>2314402</v>
      </c>
      <c r="L246" s="16" t="s">
        <v>1328</v>
      </c>
      <c r="M246" s="39" t="s">
        <v>31</v>
      </c>
      <c r="N246" s="34"/>
      <c r="O246" s="34"/>
      <c r="P246" s="34"/>
      <c r="Q246" s="28" t="s">
        <v>33</v>
      </c>
      <c r="R246" s="28" t="s">
        <v>94</v>
      </c>
      <c r="S246" s="54" t="s">
        <v>35</v>
      </c>
      <c r="T246" s="34" t="s">
        <v>36</v>
      </c>
      <c r="U246" s="34"/>
    </row>
    <row r="247" spans="2:21">
      <c r="B247" s="16" t="s">
        <v>47</v>
      </c>
      <c r="C247" s="46" t="s">
        <v>28</v>
      </c>
      <c r="D247" s="47">
        <v>44519</v>
      </c>
      <c r="F247" s="34"/>
      <c r="G247" s="46"/>
      <c r="H247" s="34"/>
      <c r="I247" s="34"/>
      <c r="K247" s="39">
        <v>2311401</v>
      </c>
      <c r="L247" s="16" t="s">
        <v>1329</v>
      </c>
      <c r="M247" s="39" t="s">
        <v>31</v>
      </c>
      <c r="N247" s="39"/>
      <c r="O247" s="39"/>
      <c r="P247" s="39"/>
      <c r="Q247" s="28" t="s">
        <v>33</v>
      </c>
      <c r="R247" s="28" t="s">
        <v>94</v>
      </c>
      <c r="S247" s="54" t="s">
        <v>35</v>
      </c>
      <c r="T247" s="34" t="s">
        <v>36</v>
      </c>
      <c r="U247" s="34"/>
    </row>
    <row r="248" spans="2:21">
      <c r="B248" s="16" t="s">
        <v>47</v>
      </c>
      <c r="C248" s="46" t="s">
        <v>28</v>
      </c>
      <c r="D248" s="47">
        <v>44519</v>
      </c>
      <c r="F248" s="34"/>
      <c r="G248" s="46"/>
      <c r="H248" s="34"/>
      <c r="I248" s="34"/>
      <c r="K248" s="39">
        <v>2311402</v>
      </c>
      <c r="L248" s="16" t="s">
        <v>1330</v>
      </c>
      <c r="M248" s="39" t="s">
        <v>31</v>
      </c>
      <c r="N248" s="39"/>
      <c r="O248" s="39"/>
      <c r="P248" s="39"/>
      <c r="Q248" s="28" t="s">
        <v>33</v>
      </c>
      <c r="R248" s="28" t="s">
        <v>94</v>
      </c>
      <c r="S248" s="54" t="s">
        <v>35</v>
      </c>
      <c r="T248" s="34" t="s">
        <v>36</v>
      </c>
      <c r="U248" s="34"/>
    </row>
    <row r="249" spans="2:21">
      <c r="B249" s="16" t="s">
        <v>47</v>
      </c>
      <c r="C249" s="46" t="s">
        <v>28</v>
      </c>
      <c r="D249" s="47">
        <v>44526</v>
      </c>
      <c r="F249" s="34"/>
      <c r="G249" s="46"/>
      <c r="H249" s="34"/>
      <c r="I249" s="34"/>
      <c r="K249" s="39">
        <v>2219605</v>
      </c>
      <c r="L249" s="16" t="s">
        <v>1331</v>
      </c>
      <c r="M249" s="39" t="s">
        <v>31</v>
      </c>
      <c r="N249" s="34"/>
      <c r="O249" s="34"/>
      <c r="P249" s="34"/>
      <c r="Q249" s="28" t="s">
        <v>33</v>
      </c>
      <c r="R249" s="28" t="s">
        <v>94</v>
      </c>
      <c r="S249" s="54" t="s">
        <v>35</v>
      </c>
      <c r="T249" s="34" t="s">
        <v>36</v>
      </c>
      <c r="U249" s="34"/>
    </row>
    <row r="250" spans="2:21">
      <c r="B250" s="158" t="s">
        <v>47</v>
      </c>
      <c r="C250" s="159" t="s">
        <v>28</v>
      </c>
      <c r="D250" s="160">
        <v>44526</v>
      </c>
      <c r="F250" s="34"/>
      <c r="G250" s="46"/>
      <c r="H250" s="34"/>
      <c r="I250" s="34"/>
      <c r="K250" s="283">
        <v>2336901</v>
      </c>
      <c r="L250" s="284" t="s">
        <v>1332</v>
      </c>
      <c r="M250" s="39" t="s">
        <v>31</v>
      </c>
      <c r="N250" s="34"/>
      <c r="O250" s="34"/>
      <c r="P250" s="34"/>
      <c r="Q250" s="28" t="s">
        <v>33</v>
      </c>
      <c r="R250" s="28" t="s">
        <v>94</v>
      </c>
      <c r="S250" s="54" t="s">
        <v>35</v>
      </c>
      <c r="T250" s="34" t="s">
        <v>36</v>
      </c>
      <c r="U250" s="34"/>
    </row>
    <row r="251" spans="2:21">
      <c r="B251" s="16" t="s">
        <v>47</v>
      </c>
      <c r="C251" s="46" t="s">
        <v>28</v>
      </c>
      <c r="D251" s="47">
        <v>44533</v>
      </c>
      <c r="F251" s="34"/>
      <c r="G251" s="46"/>
      <c r="H251" s="34"/>
      <c r="I251" s="34"/>
      <c r="K251" s="39">
        <v>2284802</v>
      </c>
      <c r="L251" s="16" t="s">
        <v>1333</v>
      </c>
      <c r="M251" s="39" t="s">
        <v>31</v>
      </c>
      <c r="N251" s="34"/>
      <c r="O251" s="34"/>
      <c r="P251" s="34"/>
      <c r="Q251" s="28" t="s">
        <v>33</v>
      </c>
      <c r="R251" s="28" t="s">
        <v>94</v>
      </c>
      <c r="S251" s="54" t="s">
        <v>35</v>
      </c>
      <c r="T251" s="34" t="s">
        <v>36</v>
      </c>
      <c r="U251" s="34"/>
    </row>
    <row r="252" spans="2:21">
      <c r="B252" s="16" t="s">
        <v>47</v>
      </c>
      <c r="C252" s="46" t="s">
        <v>28</v>
      </c>
      <c r="D252" s="47">
        <v>44540</v>
      </c>
      <c r="F252" s="34"/>
      <c r="G252" s="46"/>
      <c r="H252" s="34"/>
      <c r="I252" s="34"/>
      <c r="K252" s="39">
        <v>1911905</v>
      </c>
      <c r="L252" s="16" t="s">
        <v>1334</v>
      </c>
      <c r="M252" s="39" t="s">
        <v>31</v>
      </c>
      <c r="N252" s="34"/>
      <c r="O252" s="34"/>
      <c r="P252" s="34"/>
      <c r="Q252" s="28" t="s">
        <v>33</v>
      </c>
      <c r="R252" s="28" t="s">
        <v>94</v>
      </c>
      <c r="S252" s="54" t="s">
        <v>35</v>
      </c>
      <c r="T252" s="34" t="s">
        <v>36</v>
      </c>
      <c r="U252" s="34"/>
    </row>
    <row r="253" spans="2:21">
      <c r="B253" s="16" t="s">
        <v>47</v>
      </c>
      <c r="C253" s="46" t="s">
        <v>28</v>
      </c>
      <c r="D253" s="47">
        <v>44540</v>
      </c>
      <c r="F253" s="34"/>
      <c r="G253" s="46"/>
      <c r="H253" s="34"/>
      <c r="I253" s="34"/>
      <c r="K253" s="39">
        <v>1704306</v>
      </c>
      <c r="L253" s="16" t="s">
        <v>1335</v>
      </c>
      <c r="M253" s="39" t="s">
        <v>31</v>
      </c>
      <c r="N253" s="34"/>
      <c r="O253" s="34"/>
      <c r="P253" s="34"/>
      <c r="Q253" s="28" t="s">
        <v>33</v>
      </c>
      <c r="R253" s="28" t="s">
        <v>94</v>
      </c>
      <c r="S253" s="54" t="s">
        <v>35</v>
      </c>
      <c r="T253" s="34" t="s">
        <v>36</v>
      </c>
      <c r="U253" s="34"/>
    </row>
    <row r="254" spans="2:21">
      <c r="B254" s="16" t="s">
        <v>47</v>
      </c>
      <c r="C254" s="46" t="s">
        <v>28</v>
      </c>
      <c r="D254" s="47">
        <v>44547</v>
      </c>
      <c r="F254" s="34"/>
      <c r="G254" s="46"/>
      <c r="H254" s="34"/>
      <c r="I254" s="34"/>
      <c r="K254" s="39">
        <v>2342801</v>
      </c>
      <c r="L254" s="16" t="s">
        <v>1336</v>
      </c>
      <c r="M254" s="39" t="s">
        <v>31</v>
      </c>
      <c r="N254" s="34"/>
      <c r="O254" s="34"/>
      <c r="P254" s="34"/>
      <c r="Q254" s="28" t="s">
        <v>33</v>
      </c>
      <c r="R254" s="28" t="s">
        <v>94</v>
      </c>
      <c r="S254" s="54" t="s">
        <v>35</v>
      </c>
      <c r="T254" s="34" t="s">
        <v>36</v>
      </c>
      <c r="U254" s="34"/>
    </row>
    <row r="255" spans="2:21">
      <c r="B255" s="16" t="s">
        <v>47</v>
      </c>
      <c r="C255" s="46" t="s">
        <v>28</v>
      </c>
      <c r="D255" s="47">
        <v>44547</v>
      </c>
      <c r="F255" s="34"/>
      <c r="G255" s="46"/>
      <c r="H255" s="34"/>
      <c r="I255" s="34"/>
      <c r="K255" s="39">
        <v>2342802</v>
      </c>
      <c r="L255" s="16" t="s">
        <v>1337</v>
      </c>
      <c r="M255" s="39" t="s">
        <v>31</v>
      </c>
      <c r="N255" s="34"/>
      <c r="O255" s="34"/>
      <c r="P255" s="34"/>
      <c r="Q255" s="28" t="s">
        <v>33</v>
      </c>
      <c r="R255" s="28" t="s">
        <v>94</v>
      </c>
      <c r="S255" s="54" t="s">
        <v>35</v>
      </c>
      <c r="T255" s="34" t="s">
        <v>36</v>
      </c>
      <c r="U255" s="34"/>
    </row>
    <row r="256" spans="2:21">
      <c r="B256" s="16" t="s">
        <v>47</v>
      </c>
      <c r="C256" s="46" t="s">
        <v>28</v>
      </c>
      <c r="D256" s="47">
        <v>44547</v>
      </c>
      <c r="F256" s="34"/>
      <c r="G256" s="46"/>
      <c r="H256" s="34"/>
      <c r="I256" s="34"/>
      <c r="K256" s="39">
        <v>2343001</v>
      </c>
      <c r="L256" s="16" t="s">
        <v>1338</v>
      </c>
      <c r="M256" s="39" t="s">
        <v>31</v>
      </c>
      <c r="N256" s="34"/>
      <c r="O256" s="34"/>
      <c r="P256" s="34"/>
      <c r="Q256" s="28" t="s">
        <v>33</v>
      </c>
      <c r="R256" s="28" t="s">
        <v>94</v>
      </c>
      <c r="S256" s="54" t="s">
        <v>35</v>
      </c>
      <c r="T256" s="34" t="s">
        <v>36</v>
      </c>
      <c r="U256" s="34"/>
    </row>
    <row r="257" spans="2:21">
      <c r="B257" s="16" t="s">
        <v>47</v>
      </c>
      <c r="C257" s="46" t="s">
        <v>28</v>
      </c>
      <c r="D257" s="47">
        <v>44547</v>
      </c>
      <c r="F257" s="34"/>
      <c r="G257" s="46"/>
      <c r="H257" s="34"/>
      <c r="I257" s="34"/>
      <c r="K257" s="39">
        <v>2343002</v>
      </c>
      <c r="L257" s="16" t="s">
        <v>1339</v>
      </c>
      <c r="M257" s="39" t="s">
        <v>31</v>
      </c>
      <c r="N257" s="34"/>
      <c r="O257" s="34"/>
      <c r="P257" s="34"/>
      <c r="Q257" s="28" t="s">
        <v>33</v>
      </c>
      <c r="R257" s="28" t="s">
        <v>94</v>
      </c>
      <c r="S257" s="54" t="s">
        <v>35</v>
      </c>
      <c r="T257" s="34" t="s">
        <v>36</v>
      </c>
      <c r="U257" s="34"/>
    </row>
    <row r="258" spans="2:21">
      <c r="B258" s="16" t="s">
        <v>47</v>
      </c>
      <c r="C258" s="46" t="s">
        <v>28</v>
      </c>
      <c r="D258" s="47">
        <v>44575</v>
      </c>
      <c r="F258" s="34"/>
      <c r="G258" s="46"/>
      <c r="H258" s="34"/>
      <c r="I258" s="34"/>
      <c r="K258" s="39">
        <v>2357003</v>
      </c>
      <c r="L258" s="16" t="s">
        <v>1340</v>
      </c>
      <c r="M258" s="39" t="s">
        <v>31</v>
      </c>
      <c r="N258" s="34"/>
      <c r="O258" s="34"/>
      <c r="P258" s="34"/>
      <c r="Q258" s="28" t="s">
        <v>33</v>
      </c>
      <c r="R258" s="28" t="s">
        <v>94</v>
      </c>
      <c r="S258" s="54" t="s">
        <v>35</v>
      </c>
      <c r="T258" s="34" t="s">
        <v>36</v>
      </c>
      <c r="U258" s="34"/>
    </row>
    <row r="259" spans="2:21">
      <c r="B259" s="16" t="s">
        <v>47</v>
      </c>
      <c r="C259" s="46" t="s">
        <v>28</v>
      </c>
      <c r="D259" s="47">
        <v>44575</v>
      </c>
      <c r="F259" s="34"/>
      <c r="G259" s="46"/>
      <c r="H259" s="34"/>
      <c r="I259" s="34"/>
      <c r="K259" s="39">
        <v>2357004</v>
      </c>
      <c r="L259" s="16" t="s">
        <v>1341</v>
      </c>
      <c r="M259" s="39" t="s">
        <v>31</v>
      </c>
      <c r="N259" s="34"/>
      <c r="O259" s="34"/>
      <c r="P259" s="34"/>
      <c r="Q259" s="28" t="s">
        <v>33</v>
      </c>
      <c r="R259" s="28" t="s">
        <v>94</v>
      </c>
      <c r="S259" s="54" t="s">
        <v>35</v>
      </c>
      <c r="T259" s="34" t="s">
        <v>36</v>
      </c>
      <c r="U259" s="34"/>
    </row>
    <row r="260" spans="2:21">
      <c r="B260" s="16" t="s">
        <v>47</v>
      </c>
      <c r="C260" s="46" t="s">
        <v>28</v>
      </c>
      <c r="D260" s="47">
        <v>44575</v>
      </c>
      <c r="F260" s="34"/>
      <c r="G260" s="46"/>
      <c r="H260" s="34"/>
      <c r="I260" s="34"/>
      <c r="K260" s="39">
        <v>2219606</v>
      </c>
      <c r="L260" s="16" t="s">
        <v>1342</v>
      </c>
      <c r="M260" s="39" t="s">
        <v>31</v>
      </c>
      <c r="N260" s="34"/>
      <c r="O260" s="34"/>
      <c r="P260" s="34"/>
      <c r="Q260" s="28" t="s">
        <v>33</v>
      </c>
      <c r="R260" s="28" t="s">
        <v>94</v>
      </c>
      <c r="S260" s="54" t="s">
        <v>35</v>
      </c>
      <c r="T260" s="34" t="s">
        <v>36</v>
      </c>
      <c r="U260" s="34"/>
    </row>
    <row r="261" spans="2:21">
      <c r="B261" s="16" t="s">
        <v>47</v>
      </c>
      <c r="C261" s="46" t="s">
        <v>28</v>
      </c>
      <c r="D261" s="47">
        <v>44575</v>
      </c>
      <c r="F261" s="34"/>
      <c r="G261" s="46"/>
      <c r="H261" s="34"/>
      <c r="I261" s="34"/>
      <c r="K261" s="39">
        <v>2219607</v>
      </c>
      <c r="L261" s="16" t="s">
        <v>1343</v>
      </c>
      <c r="M261" s="39" t="s">
        <v>31</v>
      </c>
      <c r="N261" s="34"/>
      <c r="O261" s="34"/>
      <c r="P261" s="34"/>
      <c r="Q261" s="28" t="s">
        <v>33</v>
      </c>
      <c r="R261" s="28" t="s">
        <v>94</v>
      </c>
      <c r="S261" s="54" t="s">
        <v>35</v>
      </c>
      <c r="T261" s="34" t="s">
        <v>36</v>
      </c>
      <c r="U261" s="34"/>
    </row>
    <row r="262" spans="2:21">
      <c r="B262" s="16" t="s">
        <v>47</v>
      </c>
      <c r="C262" s="46" t="s">
        <v>28</v>
      </c>
      <c r="D262" s="47">
        <v>44575</v>
      </c>
      <c r="F262" s="34"/>
      <c r="G262" s="46"/>
      <c r="H262" s="34"/>
      <c r="I262" s="34"/>
      <c r="K262" s="39">
        <v>2109303</v>
      </c>
      <c r="L262" s="16" t="s">
        <v>1344</v>
      </c>
      <c r="M262" s="39" t="s">
        <v>31</v>
      </c>
      <c r="N262" s="34"/>
      <c r="O262" s="34"/>
      <c r="P262" s="34"/>
      <c r="Q262" s="28" t="s">
        <v>33</v>
      </c>
      <c r="R262" s="28" t="s">
        <v>94</v>
      </c>
      <c r="S262" s="54" t="s">
        <v>35</v>
      </c>
      <c r="T262" s="34" t="s">
        <v>36</v>
      </c>
      <c r="U262" s="34"/>
    </row>
    <row r="263" spans="2:21">
      <c r="B263" s="16" t="s">
        <v>47</v>
      </c>
      <c r="C263" s="46" t="s">
        <v>28</v>
      </c>
      <c r="D263" s="47">
        <v>44575</v>
      </c>
      <c r="F263" s="34"/>
      <c r="G263" s="46"/>
      <c r="H263" s="34"/>
      <c r="I263" s="34"/>
      <c r="K263" s="39">
        <v>2109304</v>
      </c>
      <c r="L263" s="16" t="s">
        <v>1345</v>
      </c>
      <c r="M263" s="39" t="s">
        <v>31</v>
      </c>
      <c r="N263" s="34"/>
      <c r="O263" s="34"/>
      <c r="P263" s="34"/>
      <c r="Q263" s="28" t="s">
        <v>33</v>
      </c>
      <c r="R263" s="28" t="s">
        <v>94</v>
      </c>
      <c r="S263" s="54" t="s">
        <v>35</v>
      </c>
      <c r="T263" s="34" t="s">
        <v>36</v>
      </c>
      <c r="U263" s="34"/>
    </row>
    <row r="264" spans="2:21">
      <c r="B264" s="16" t="s">
        <v>47</v>
      </c>
      <c r="C264" s="46" t="s">
        <v>28</v>
      </c>
      <c r="D264" s="47">
        <v>44575</v>
      </c>
      <c r="F264" s="34"/>
      <c r="G264" s="46"/>
      <c r="H264" s="34"/>
      <c r="I264" s="34"/>
      <c r="K264" s="39">
        <v>2013612</v>
      </c>
      <c r="L264" s="16" t="s">
        <v>1346</v>
      </c>
      <c r="M264" s="39" t="s">
        <v>31</v>
      </c>
      <c r="N264" s="34"/>
      <c r="O264" s="34"/>
      <c r="P264" s="34"/>
      <c r="Q264" s="28" t="s">
        <v>33</v>
      </c>
      <c r="R264" s="28" t="s">
        <v>94</v>
      </c>
      <c r="S264" s="54" t="s">
        <v>35</v>
      </c>
      <c r="T264" s="34" t="s">
        <v>36</v>
      </c>
      <c r="U264" s="34"/>
    </row>
    <row r="265" spans="2:21">
      <c r="B265" s="16" t="s">
        <v>47</v>
      </c>
      <c r="C265" s="46" t="s">
        <v>28</v>
      </c>
      <c r="D265" s="47">
        <v>44575</v>
      </c>
      <c r="F265" s="34"/>
      <c r="G265" s="46"/>
      <c r="H265" s="34"/>
      <c r="I265" s="34"/>
      <c r="K265" s="39">
        <v>1582411</v>
      </c>
      <c r="L265" s="16" t="s">
        <v>1347</v>
      </c>
      <c r="M265" s="39" t="s">
        <v>31</v>
      </c>
      <c r="N265" s="34"/>
      <c r="O265" s="34"/>
      <c r="P265" s="34"/>
      <c r="Q265" s="28" t="s">
        <v>33</v>
      </c>
      <c r="R265" s="28" t="s">
        <v>94</v>
      </c>
      <c r="S265" s="54" t="s">
        <v>35</v>
      </c>
      <c r="T265" s="34" t="s">
        <v>36</v>
      </c>
      <c r="U265" s="34"/>
    </row>
    <row r="266" spans="2:21">
      <c r="B266" s="16" t="s">
        <v>47</v>
      </c>
      <c r="C266" s="46" t="s">
        <v>28</v>
      </c>
      <c r="D266" s="47">
        <v>44575</v>
      </c>
      <c r="F266" s="34"/>
      <c r="G266" s="46"/>
      <c r="H266" s="34"/>
      <c r="I266" s="34"/>
      <c r="K266" s="39">
        <v>1582410</v>
      </c>
      <c r="L266" s="16" t="s">
        <v>1348</v>
      </c>
      <c r="M266" s="39" t="s">
        <v>31</v>
      </c>
      <c r="N266" s="34"/>
      <c r="O266" s="34"/>
      <c r="P266" s="34"/>
      <c r="Q266" s="28" t="s">
        <v>33</v>
      </c>
      <c r="R266" s="28" t="s">
        <v>94</v>
      </c>
      <c r="S266" s="54" t="s">
        <v>35</v>
      </c>
      <c r="T266" s="34" t="s">
        <v>36</v>
      </c>
      <c r="U266" s="34"/>
    </row>
    <row r="267" spans="2:21">
      <c r="B267" s="16" t="s">
        <v>47</v>
      </c>
      <c r="C267" s="46" t="s">
        <v>28</v>
      </c>
      <c r="D267" s="47">
        <v>44575</v>
      </c>
      <c r="F267" s="34"/>
      <c r="G267" s="46"/>
      <c r="H267" s="34"/>
      <c r="I267" s="34"/>
      <c r="K267" s="39">
        <v>1647602</v>
      </c>
      <c r="L267" s="16" t="s">
        <v>1349</v>
      </c>
      <c r="M267" s="39" t="s">
        <v>31</v>
      </c>
      <c r="N267" s="34"/>
      <c r="O267" s="34"/>
      <c r="P267" s="34"/>
      <c r="Q267" s="28" t="s">
        <v>33</v>
      </c>
      <c r="R267" s="28" t="s">
        <v>94</v>
      </c>
      <c r="S267" s="54" t="s">
        <v>35</v>
      </c>
      <c r="T267" s="34" t="s">
        <v>36</v>
      </c>
      <c r="U267" s="147" t="s">
        <v>1350</v>
      </c>
    </row>
    <row r="268" spans="2:21">
      <c r="B268" s="16" t="s">
        <v>47</v>
      </c>
      <c r="C268" s="46" t="s">
        <v>28</v>
      </c>
      <c r="D268" s="47">
        <v>44575</v>
      </c>
      <c r="F268" s="34"/>
      <c r="G268" s="46"/>
      <c r="H268" s="34"/>
      <c r="I268" s="34"/>
      <c r="K268" s="39">
        <v>2352501</v>
      </c>
      <c r="L268" s="16" t="s">
        <v>1351</v>
      </c>
      <c r="M268" s="34" t="s">
        <v>31</v>
      </c>
      <c r="N268" s="34"/>
      <c r="O268" s="34"/>
      <c r="P268" s="34"/>
      <c r="Q268" s="28" t="s">
        <v>33</v>
      </c>
      <c r="R268" s="28" t="s">
        <v>94</v>
      </c>
      <c r="S268" s="54" t="s">
        <v>35</v>
      </c>
      <c r="T268" s="34" t="s">
        <v>36</v>
      </c>
      <c r="U268" s="34"/>
    </row>
    <row r="269" spans="2:21">
      <c r="B269" s="16" t="s">
        <v>47</v>
      </c>
      <c r="C269" s="46" t="s">
        <v>28</v>
      </c>
      <c r="D269" s="47">
        <v>44575</v>
      </c>
      <c r="F269" s="34"/>
      <c r="G269" s="46"/>
      <c r="H269" s="34"/>
      <c r="I269" s="34"/>
      <c r="K269" s="39">
        <v>2267102</v>
      </c>
      <c r="L269" s="16" t="s">
        <v>1352</v>
      </c>
      <c r="M269" s="34" t="s">
        <v>31</v>
      </c>
      <c r="N269" s="34"/>
      <c r="O269" s="34"/>
      <c r="P269" s="34"/>
      <c r="Q269" s="28" t="s">
        <v>33</v>
      </c>
      <c r="R269" s="28" t="s">
        <v>94</v>
      </c>
      <c r="S269" s="54" t="s">
        <v>35</v>
      </c>
      <c r="T269" s="34" t="s">
        <v>36</v>
      </c>
      <c r="U269" s="34"/>
    </row>
    <row r="270" spans="2:21">
      <c r="B270" s="16" t="s">
        <v>47</v>
      </c>
      <c r="C270" s="46" t="s">
        <v>28</v>
      </c>
      <c r="D270" s="47">
        <v>44575</v>
      </c>
      <c r="F270" s="34"/>
      <c r="G270" s="46"/>
      <c r="H270" s="34"/>
      <c r="I270" s="34"/>
      <c r="K270" s="39">
        <v>2267101</v>
      </c>
      <c r="L270" s="16" t="s">
        <v>1353</v>
      </c>
      <c r="M270" s="34" t="s">
        <v>31</v>
      </c>
      <c r="N270" s="34"/>
      <c r="O270" s="34"/>
      <c r="P270" s="34"/>
      <c r="Q270" s="28" t="s">
        <v>33</v>
      </c>
      <c r="R270" s="28" t="s">
        <v>94</v>
      </c>
      <c r="S270" s="54" t="s">
        <v>35</v>
      </c>
      <c r="T270" s="34" t="s">
        <v>36</v>
      </c>
      <c r="U270" s="34"/>
    </row>
    <row r="271" spans="2:21">
      <c r="B271" s="16" t="s">
        <v>47</v>
      </c>
      <c r="C271" s="46" t="s">
        <v>28</v>
      </c>
      <c r="D271" s="47">
        <v>44575</v>
      </c>
      <c r="F271" s="34"/>
      <c r="G271" s="46"/>
      <c r="H271" s="34"/>
      <c r="I271" s="34"/>
      <c r="K271" s="39">
        <v>2354701</v>
      </c>
      <c r="L271" s="16" t="s">
        <v>1354</v>
      </c>
      <c r="M271" s="34" t="s">
        <v>31</v>
      </c>
      <c r="N271" s="34"/>
      <c r="O271" s="34"/>
      <c r="P271" s="34"/>
      <c r="Q271" s="28" t="s">
        <v>33</v>
      </c>
      <c r="R271" s="28" t="s">
        <v>94</v>
      </c>
      <c r="S271" s="54" t="s">
        <v>35</v>
      </c>
      <c r="T271" s="34" t="s">
        <v>36</v>
      </c>
      <c r="U271" s="34"/>
    </row>
    <row r="272" spans="2:21">
      <c r="B272" s="16" t="s">
        <v>47</v>
      </c>
      <c r="C272" s="46" t="s">
        <v>28</v>
      </c>
      <c r="D272" s="47">
        <v>44575</v>
      </c>
      <c r="F272" s="34"/>
      <c r="G272" s="46"/>
      <c r="H272" s="34"/>
      <c r="I272" s="34"/>
      <c r="K272" s="39">
        <v>2351502</v>
      </c>
      <c r="L272" s="16" t="s">
        <v>1355</v>
      </c>
      <c r="M272" s="34" t="s">
        <v>31</v>
      </c>
      <c r="N272" s="34"/>
      <c r="O272" s="34"/>
      <c r="P272" s="34"/>
      <c r="Q272" s="34" t="s">
        <v>33</v>
      </c>
      <c r="R272" s="28" t="s">
        <v>94</v>
      </c>
      <c r="S272" s="54" t="s">
        <v>35</v>
      </c>
      <c r="T272" s="34" t="s">
        <v>36</v>
      </c>
      <c r="U272" s="34"/>
    </row>
    <row r="273" spans="2:21">
      <c r="B273" s="16" t="s">
        <v>47</v>
      </c>
      <c r="C273" s="46" t="s">
        <v>28</v>
      </c>
      <c r="D273" s="47">
        <v>44575</v>
      </c>
      <c r="F273" s="34"/>
      <c r="G273" s="46"/>
      <c r="H273" s="34"/>
      <c r="I273" s="34"/>
      <c r="K273" s="39">
        <v>2351501</v>
      </c>
      <c r="L273" s="16" t="s">
        <v>1356</v>
      </c>
      <c r="M273" s="34" t="s">
        <v>31</v>
      </c>
      <c r="N273" s="34"/>
      <c r="O273" s="34"/>
      <c r="P273" s="34"/>
      <c r="Q273" s="34" t="s">
        <v>33</v>
      </c>
      <c r="R273" s="28" t="s">
        <v>94</v>
      </c>
      <c r="S273" s="54" t="s">
        <v>35</v>
      </c>
      <c r="T273" s="34" t="s">
        <v>36</v>
      </c>
      <c r="U273" s="34"/>
    </row>
    <row r="274" spans="2:21">
      <c r="B274" s="16" t="s">
        <v>47</v>
      </c>
      <c r="C274" s="46" t="s">
        <v>28</v>
      </c>
      <c r="D274" s="47">
        <v>44575</v>
      </c>
      <c r="F274" s="34"/>
      <c r="G274" s="46"/>
      <c r="H274" s="34"/>
      <c r="I274" s="34"/>
      <c r="K274" s="39">
        <v>2357001</v>
      </c>
      <c r="L274" s="16" t="s">
        <v>1357</v>
      </c>
      <c r="M274" s="34" t="s">
        <v>31</v>
      </c>
      <c r="N274" s="34"/>
      <c r="O274" s="34"/>
      <c r="P274" s="34"/>
      <c r="Q274" s="34" t="s">
        <v>33</v>
      </c>
      <c r="R274" s="28" t="s">
        <v>94</v>
      </c>
      <c r="S274" s="54" t="s">
        <v>35</v>
      </c>
      <c r="T274" s="34" t="s">
        <v>36</v>
      </c>
      <c r="U274" s="34"/>
    </row>
    <row r="275" spans="2:21">
      <c r="B275" s="16" t="s">
        <v>47</v>
      </c>
      <c r="C275" s="46" t="s">
        <v>28</v>
      </c>
      <c r="D275" s="47">
        <v>44575</v>
      </c>
      <c r="F275" s="34"/>
      <c r="G275" s="46"/>
      <c r="H275" s="34"/>
      <c r="I275" s="34"/>
      <c r="K275" s="39">
        <v>2357002</v>
      </c>
      <c r="L275" s="16" t="s">
        <v>1358</v>
      </c>
      <c r="M275" s="34" t="s">
        <v>31</v>
      </c>
      <c r="N275" s="34"/>
      <c r="O275" s="34"/>
      <c r="P275" s="34"/>
      <c r="Q275" s="34" t="s">
        <v>33</v>
      </c>
      <c r="R275" s="28" t="s">
        <v>94</v>
      </c>
      <c r="S275" s="54" t="s">
        <v>35</v>
      </c>
      <c r="T275" s="34" t="s">
        <v>36</v>
      </c>
      <c r="U275" s="34"/>
    </row>
    <row r="276" spans="2:21">
      <c r="B276" s="16" t="s">
        <v>47</v>
      </c>
      <c r="C276" s="46" t="s">
        <v>28</v>
      </c>
      <c r="D276" s="47">
        <v>44575</v>
      </c>
      <c r="F276" s="34"/>
      <c r="G276" s="46"/>
      <c r="H276" s="34"/>
      <c r="I276" s="34"/>
      <c r="K276" s="39">
        <v>2239707</v>
      </c>
      <c r="L276" s="16" t="s">
        <v>1359</v>
      </c>
      <c r="M276" s="34" t="s">
        <v>31</v>
      </c>
      <c r="N276" s="34"/>
      <c r="O276" s="34"/>
      <c r="P276" s="34"/>
      <c r="Q276" s="34" t="s">
        <v>33</v>
      </c>
      <c r="R276" s="28" t="s">
        <v>94</v>
      </c>
      <c r="S276" s="54" t="s">
        <v>35</v>
      </c>
      <c r="T276" s="34" t="s">
        <v>36</v>
      </c>
      <c r="U276" s="34"/>
    </row>
    <row r="277" spans="2:21">
      <c r="B277" s="16" t="s">
        <v>47</v>
      </c>
      <c r="C277" s="46" t="s">
        <v>28</v>
      </c>
      <c r="D277" s="47">
        <v>44575</v>
      </c>
      <c r="F277" s="34"/>
      <c r="G277" s="46"/>
      <c r="H277" s="34"/>
      <c r="I277" s="34"/>
      <c r="K277" s="39">
        <v>2239706</v>
      </c>
      <c r="L277" s="16" t="s">
        <v>1360</v>
      </c>
      <c r="M277" s="34" t="s">
        <v>31</v>
      </c>
      <c r="N277" s="34"/>
      <c r="O277" s="34"/>
      <c r="P277" s="34"/>
      <c r="Q277" s="34" t="s">
        <v>33</v>
      </c>
      <c r="R277" s="28" t="s">
        <v>94</v>
      </c>
      <c r="S277" s="54" t="s">
        <v>35</v>
      </c>
      <c r="T277" s="34" t="s">
        <v>36</v>
      </c>
      <c r="U277" s="34"/>
    </row>
    <row r="278" spans="2:21">
      <c r="B278" s="16" t="s">
        <v>47</v>
      </c>
      <c r="C278" s="46" t="s">
        <v>28</v>
      </c>
      <c r="D278" s="47">
        <v>44575</v>
      </c>
      <c r="F278" s="34"/>
      <c r="G278" s="46"/>
      <c r="H278" s="34"/>
      <c r="I278" s="34"/>
      <c r="K278" s="39">
        <v>2239705</v>
      </c>
      <c r="L278" s="16" t="s">
        <v>1361</v>
      </c>
      <c r="M278" s="34" t="s">
        <v>31</v>
      </c>
      <c r="N278" s="34"/>
      <c r="O278" s="34"/>
      <c r="P278" s="34"/>
      <c r="Q278" s="34" t="s">
        <v>33</v>
      </c>
      <c r="R278" s="28" t="s">
        <v>94</v>
      </c>
      <c r="S278" s="54" t="s">
        <v>35</v>
      </c>
      <c r="T278" s="34" t="s">
        <v>36</v>
      </c>
      <c r="U278" s="34"/>
    </row>
    <row r="279" spans="2:21">
      <c r="B279" s="16" t="s">
        <v>47</v>
      </c>
      <c r="C279" s="46" t="s">
        <v>28</v>
      </c>
      <c r="D279" s="47">
        <v>44575</v>
      </c>
      <c r="F279" s="34"/>
      <c r="G279" s="46"/>
      <c r="H279" s="34"/>
      <c r="I279" s="34"/>
      <c r="K279" s="39">
        <v>2239710</v>
      </c>
      <c r="L279" s="16" t="s">
        <v>1362</v>
      </c>
      <c r="M279" s="34" t="s">
        <v>31</v>
      </c>
      <c r="N279" s="34"/>
      <c r="O279" s="34"/>
      <c r="P279" s="34"/>
      <c r="Q279" s="34" t="s">
        <v>33</v>
      </c>
      <c r="R279" s="28" t="s">
        <v>94</v>
      </c>
      <c r="S279" s="54" t="s">
        <v>35</v>
      </c>
      <c r="T279" s="34" t="s">
        <v>36</v>
      </c>
      <c r="U279" s="34"/>
    </row>
    <row r="280" spans="2:21">
      <c r="B280" s="16" t="s">
        <v>47</v>
      </c>
      <c r="C280" s="46" t="s">
        <v>28</v>
      </c>
      <c r="D280" s="47">
        <v>44575</v>
      </c>
      <c r="F280" s="34"/>
      <c r="G280" s="46"/>
      <c r="H280" s="34"/>
      <c r="I280" s="34"/>
      <c r="K280" s="39">
        <v>2239704</v>
      </c>
      <c r="L280" s="16" t="s">
        <v>1363</v>
      </c>
      <c r="M280" s="34" t="s">
        <v>31</v>
      </c>
      <c r="N280" s="34"/>
      <c r="O280" s="34"/>
      <c r="P280" s="34"/>
      <c r="Q280" s="34" t="s">
        <v>33</v>
      </c>
      <c r="R280" s="28" t="s">
        <v>94</v>
      </c>
      <c r="S280" s="54" t="s">
        <v>35</v>
      </c>
      <c r="T280" s="34" t="s">
        <v>36</v>
      </c>
      <c r="U280" s="34"/>
    </row>
    <row r="281" spans="2:21">
      <c r="B281" s="16" t="s">
        <v>47</v>
      </c>
      <c r="C281" s="46" t="s">
        <v>28</v>
      </c>
      <c r="D281" s="47">
        <v>44575</v>
      </c>
      <c r="F281" s="34"/>
      <c r="G281" s="46"/>
      <c r="H281" s="34"/>
      <c r="I281" s="34"/>
      <c r="K281" s="39">
        <v>2239703</v>
      </c>
      <c r="L281" s="16" t="s">
        <v>1364</v>
      </c>
      <c r="M281" s="34" t="s">
        <v>31</v>
      </c>
      <c r="N281" s="34"/>
      <c r="O281" s="34"/>
      <c r="P281" s="34"/>
      <c r="Q281" s="34" t="s">
        <v>33</v>
      </c>
      <c r="R281" s="28" t="s">
        <v>94</v>
      </c>
      <c r="S281" s="54" t="s">
        <v>35</v>
      </c>
      <c r="T281" s="34" t="s">
        <v>36</v>
      </c>
      <c r="U281" s="34"/>
    </row>
    <row r="282" spans="2:21">
      <c r="B282" s="16" t="s">
        <v>47</v>
      </c>
      <c r="C282" s="46" t="s">
        <v>28</v>
      </c>
      <c r="D282" s="47">
        <v>44582</v>
      </c>
      <c r="F282" s="34"/>
      <c r="G282" s="46"/>
      <c r="H282" s="34"/>
      <c r="I282" s="34"/>
      <c r="K282" s="39">
        <v>2109305</v>
      </c>
      <c r="L282" s="16" t="s">
        <v>1365</v>
      </c>
      <c r="M282" s="34" t="s">
        <v>31</v>
      </c>
      <c r="N282" s="34"/>
      <c r="O282" s="34"/>
      <c r="P282" s="34"/>
      <c r="Q282" s="34" t="s">
        <v>33</v>
      </c>
      <c r="R282" s="28" t="s">
        <v>94</v>
      </c>
      <c r="S282" s="54" t="s">
        <v>35</v>
      </c>
      <c r="T282" s="34" t="s">
        <v>36</v>
      </c>
      <c r="U282" s="34"/>
    </row>
    <row r="283" spans="2:21">
      <c r="B283" s="16" t="s">
        <v>47</v>
      </c>
      <c r="C283" s="46" t="s">
        <v>28</v>
      </c>
      <c r="D283" s="47">
        <v>44582</v>
      </c>
      <c r="F283" s="34"/>
      <c r="G283" s="46"/>
      <c r="H283" s="34"/>
      <c r="I283" s="34"/>
      <c r="K283" s="39">
        <v>2109306</v>
      </c>
      <c r="L283" s="16" t="s">
        <v>1366</v>
      </c>
      <c r="M283" s="34" t="s">
        <v>31</v>
      </c>
      <c r="N283" s="34"/>
      <c r="O283" s="34"/>
      <c r="P283" s="34"/>
      <c r="Q283" s="34" t="s">
        <v>33</v>
      </c>
      <c r="R283" s="28" t="s">
        <v>94</v>
      </c>
      <c r="S283" s="54" t="s">
        <v>35</v>
      </c>
      <c r="T283" s="34" t="s">
        <v>36</v>
      </c>
      <c r="U283" s="34"/>
    </row>
    <row r="284" spans="2:21">
      <c r="B284" s="16" t="s">
        <v>47</v>
      </c>
      <c r="C284" s="46" t="s">
        <v>28</v>
      </c>
      <c r="D284" s="47">
        <v>44582</v>
      </c>
      <c r="F284" s="34"/>
      <c r="G284" s="46"/>
      <c r="H284" s="34"/>
      <c r="I284" s="34"/>
      <c r="K284" s="39">
        <v>1839505</v>
      </c>
      <c r="L284" s="16" t="s">
        <v>1367</v>
      </c>
      <c r="M284" s="34" t="s">
        <v>31</v>
      </c>
      <c r="N284" s="34"/>
      <c r="O284" s="34"/>
      <c r="P284" s="34"/>
      <c r="Q284" s="34" t="s">
        <v>33</v>
      </c>
      <c r="R284" s="28" t="s">
        <v>94</v>
      </c>
      <c r="S284" s="54" t="s">
        <v>35</v>
      </c>
      <c r="T284" s="34" t="s">
        <v>36</v>
      </c>
      <c r="U284" s="34"/>
    </row>
    <row r="285" spans="2:21">
      <c r="B285" s="16" t="s">
        <v>47</v>
      </c>
      <c r="C285" s="46" t="s">
        <v>28</v>
      </c>
      <c r="D285" s="47">
        <v>44582</v>
      </c>
      <c r="F285" s="34"/>
      <c r="G285" s="46"/>
      <c r="H285" s="34"/>
      <c r="I285" s="34"/>
      <c r="K285" s="39">
        <v>1839506</v>
      </c>
      <c r="L285" s="16" t="s">
        <v>1368</v>
      </c>
      <c r="M285" s="34" t="s">
        <v>31</v>
      </c>
      <c r="N285" s="34"/>
      <c r="O285" s="34"/>
      <c r="P285" s="34"/>
      <c r="Q285" s="34" t="s">
        <v>33</v>
      </c>
      <c r="R285" s="28" t="s">
        <v>94</v>
      </c>
      <c r="S285" s="54" t="s">
        <v>35</v>
      </c>
      <c r="T285" s="34" t="s">
        <v>36</v>
      </c>
      <c r="U285" s="34"/>
    </row>
    <row r="286" spans="2:21">
      <c r="B286" s="16" t="s">
        <v>47</v>
      </c>
      <c r="C286" s="46" t="s">
        <v>28</v>
      </c>
      <c r="D286" s="47">
        <v>44582</v>
      </c>
      <c r="F286" s="34"/>
      <c r="G286" s="46"/>
      <c r="H286" s="34"/>
      <c r="I286" s="34"/>
      <c r="K286" s="39">
        <v>1704307</v>
      </c>
      <c r="L286" s="16" t="s">
        <v>1369</v>
      </c>
      <c r="M286" s="34" t="s">
        <v>31</v>
      </c>
      <c r="N286" s="34"/>
      <c r="O286" s="34"/>
      <c r="P286" s="34"/>
      <c r="Q286" s="34" t="s">
        <v>33</v>
      </c>
      <c r="R286" s="28" t="s">
        <v>94</v>
      </c>
      <c r="S286" s="54" t="s">
        <v>35</v>
      </c>
      <c r="T286" s="34" t="s">
        <v>36</v>
      </c>
      <c r="U286" s="34"/>
    </row>
    <row r="287" spans="2:21">
      <c r="B287" s="16" t="s">
        <v>47</v>
      </c>
      <c r="C287" s="46" t="s">
        <v>28</v>
      </c>
      <c r="D287" s="47">
        <v>44582</v>
      </c>
      <c r="F287" s="34"/>
      <c r="G287" s="46"/>
      <c r="H287" s="34"/>
      <c r="I287" s="34"/>
      <c r="K287" s="39">
        <v>1595205</v>
      </c>
      <c r="L287" s="16" t="s">
        <v>1370</v>
      </c>
      <c r="M287" s="34" t="s">
        <v>31</v>
      </c>
      <c r="N287" s="34"/>
      <c r="O287" s="34"/>
      <c r="P287" s="34"/>
      <c r="Q287" s="34" t="s">
        <v>33</v>
      </c>
      <c r="R287" s="28" t="s">
        <v>94</v>
      </c>
      <c r="S287" s="54" t="s">
        <v>35</v>
      </c>
      <c r="T287" s="34" t="s">
        <v>36</v>
      </c>
      <c r="U287" s="34"/>
    </row>
    <row r="288" spans="2:21">
      <c r="B288" s="16" t="s">
        <v>47</v>
      </c>
      <c r="C288" s="46" t="s">
        <v>28</v>
      </c>
      <c r="D288" s="47">
        <v>44582</v>
      </c>
      <c r="F288" s="34"/>
      <c r="G288" s="46"/>
      <c r="H288" s="34"/>
      <c r="I288" s="34"/>
      <c r="K288" s="39">
        <v>1595206</v>
      </c>
      <c r="L288" s="16" t="s">
        <v>1371</v>
      </c>
      <c r="M288" s="34" t="s">
        <v>31</v>
      </c>
      <c r="N288" s="34"/>
      <c r="O288" s="34"/>
      <c r="P288" s="34"/>
      <c r="Q288" s="34" t="s">
        <v>33</v>
      </c>
      <c r="R288" s="28" t="s">
        <v>94</v>
      </c>
      <c r="S288" s="54" t="s">
        <v>35</v>
      </c>
      <c r="T288" s="34" t="s">
        <v>36</v>
      </c>
      <c r="U288" s="34"/>
    </row>
    <row r="289" spans="2:21">
      <c r="B289" s="16" t="s">
        <v>47</v>
      </c>
      <c r="C289" s="46" t="s">
        <v>28</v>
      </c>
      <c r="D289" s="47">
        <v>44582</v>
      </c>
      <c r="F289" s="34"/>
      <c r="G289" s="46"/>
      <c r="H289" s="34"/>
      <c r="I289" s="34"/>
      <c r="K289" s="39">
        <v>1595209</v>
      </c>
      <c r="L289" s="16" t="s">
        <v>1372</v>
      </c>
      <c r="M289" s="34" t="s">
        <v>31</v>
      </c>
      <c r="N289" s="34"/>
      <c r="O289" s="34"/>
      <c r="P289" s="34"/>
      <c r="Q289" s="34" t="s">
        <v>33</v>
      </c>
      <c r="R289" s="28" t="s">
        <v>94</v>
      </c>
      <c r="S289" s="54" t="s">
        <v>35</v>
      </c>
      <c r="T289" s="34" t="s">
        <v>36</v>
      </c>
      <c r="U289" s="34"/>
    </row>
    <row r="290" spans="2:21">
      <c r="B290" s="16" t="s">
        <v>47</v>
      </c>
      <c r="C290" s="46" t="s">
        <v>28</v>
      </c>
      <c r="D290" s="47">
        <v>44582</v>
      </c>
      <c r="F290" s="34"/>
      <c r="G290" s="46"/>
      <c r="H290" s="34"/>
      <c r="I290" s="34"/>
      <c r="K290" s="39">
        <v>1595208</v>
      </c>
      <c r="L290" s="16" t="s">
        <v>1373</v>
      </c>
      <c r="M290" s="34" t="s">
        <v>31</v>
      </c>
      <c r="N290" s="34"/>
      <c r="O290" s="34"/>
      <c r="P290" s="34"/>
      <c r="Q290" s="34" t="s">
        <v>33</v>
      </c>
      <c r="R290" s="28" t="s">
        <v>94</v>
      </c>
      <c r="S290" s="54" t="s">
        <v>35</v>
      </c>
      <c r="T290" s="34" t="s">
        <v>36</v>
      </c>
      <c r="U290" s="34"/>
    </row>
    <row r="291" spans="2:21">
      <c r="B291" s="16" t="s">
        <v>47</v>
      </c>
      <c r="C291" s="46" t="s">
        <v>28</v>
      </c>
      <c r="D291" s="47">
        <v>44582</v>
      </c>
      <c r="F291" s="34"/>
      <c r="G291" s="46"/>
      <c r="H291" s="34"/>
      <c r="I291" s="34"/>
      <c r="K291" s="39">
        <v>1595207</v>
      </c>
      <c r="L291" s="16" t="s">
        <v>1374</v>
      </c>
      <c r="M291" s="34" t="s">
        <v>31</v>
      </c>
      <c r="N291" s="34"/>
      <c r="O291" s="34"/>
      <c r="P291" s="34"/>
      <c r="Q291" s="34" t="s">
        <v>33</v>
      </c>
      <c r="R291" s="28" t="s">
        <v>94</v>
      </c>
      <c r="S291" s="54" t="s">
        <v>35</v>
      </c>
      <c r="T291" s="34" t="s">
        <v>36</v>
      </c>
      <c r="U291" s="34"/>
    </row>
    <row r="292" spans="2:21">
      <c r="B292" s="16" t="s">
        <v>47</v>
      </c>
      <c r="C292" s="46" t="s">
        <v>28</v>
      </c>
      <c r="D292" s="47">
        <v>44582</v>
      </c>
      <c r="F292" s="34"/>
      <c r="G292" s="46"/>
      <c r="H292" s="34"/>
      <c r="I292" s="34"/>
      <c r="K292" s="39">
        <v>1582412</v>
      </c>
      <c r="L292" s="16" t="s">
        <v>1375</v>
      </c>
      <c r="M292" s="34" t="s">
        <v>31</v>
      </c>
      <c r="N292" s="34"/>
      <c r="O292" s="34"/>
      <c r="P292" s="34"/>
      <c r="Q292" s="34" t="s">
        <v>33</v>
      </c>
      <c r="R292" s="28" t="s">
        <v>94</v>
      </c>
      <c r="S292" s="54" t="s">
        <v>35</v>
      </c>
      <c r="T292" s="34" t="s">
        <v>36</v>
      </c>
      <c r="U292" s="34"/>
    </row>
    <row r="293" spans="2:21">
      <c r="B293" s="16" t="s">
        <v>47</v>
      </c>
      <c r="C293" s="46" t="s">
        <v>28</v>
      </c>
      <c r="D293" s="47">
        <v>44582</v>
      </c>
      <c r="F293" s="34"/>
      <c r="G293" s="46"/>
      <c r="H293" s="34"/>
      <c r="I293" s="34"/>
      <c r="K293" s="39">
        <v>135715</v>
      </c>
      <c r="L293" s="16" t="s">
        <v>1376</v>
      </c>
      <c r="M293" s="34" t="s">
        <v>31</v>
      </c>
      <c r="N293" s="34"/>
      <c r="O293" s="34"/>
      <c r="P293" s="34"/>
      <c r="Q293" s="34" t="s">
        <v>33</v>
      </c>
      <c r="R293" s="28" t="s">
        <v>94</v>
      </c>
      <c r="S293" s="54" t="s">
        <v>35</v>
      </c>
      <c r="T293" s="34" t="s">
        <v>36</v>
      </c>
      <c r="U293" s="34"/>
    </row>
    <row r="294" spans="2:21">
      <c r="B294" s="16" t="s">
        <v>47</v>
      </c>
      <c r="C294" s="46" t="s">
        <v>28</v>
      </c>
      <c r="D294" s="47">
        <v>44582</v>
      </c>
      <c r="F294" s="34"/>
      <c r="G294" s="46"/>
      <c r="H294" s="34"/>
      <c r="I294" s="34"/>
      <c r="K294" s="39">
        <v>1704308</v>
      </c>
      <c r="L294" s="16" t="s">
        <v>1377</v>
      </c>
      <c r="M294" s="34" t="s">
        <v>31</v>
      </c>
      <c r="N294" s="34"/>
      <c r="O294" s="34"/>
      <c r="P294" s="34"/>
      <c r="Q294" s="34" t="s">
        <v>33</v>
      </c>
      <c r="R294" s="28" t="s">
        <v>94</v>
      </c>
      <c r="S294" s="54" t="s">
        <v>35</v>
      </c>
      <c r="T294" s="34" t="s">
        <v>36</v>
      </c>
      <c r="U294" s="34"/>
    </row>
    <row r="295" spans="2:21">
      <c r="B295" s="16" t="s">
        <v>47</v>
      </c>
      <c r="C295" s="46" t="s">
        <v>28</v>
      </c>
      <c r="D295" s="47">
        <v>44596</v>
      </c>
      <c r="F295" s="34"/>
      <c r="G295" s="46"/>
      <c r="H295" s="34"/>
      <c r="I295" s="34"/>
      <c r="K295" s="39">
        <v>2356001</v>
      </c>
      <c r="L295" s="16" t="s">
        <v>1378</v>
      </c>
      <c r="M295" s="34" t="s">
        <v>31</v>
      </c>
      <c r="N295" s="34"/>
      <c r="O295" s="34"/>
      <c r="P295" s="34"/>
      <c r="Q295" s="34" t="s">
        <v>33</v>
      </c>
      <c r="R295" s="28" t="s">
        <v>94</v>
      </c>
      <c r="S295" s="54" t="s">
        <v>35</v>
      </c>
      <c r="T295" s="34" t="s">
        <v>36</v>
      </c>
      <c r="U295" s="34"/>
    </row>
    <row r="296" spans="2:21">
      <c r="B296" s="16" t="s">
        <v>47</v>
      </c>
      <c r="C296" s="46" t="s">
        <v>28</v>
      </c>
      <c r="D296" s="47">
        <v>44596</v>
      </c>
      <c r="F296" s="34"/>
      <c r="G296" s="46"/>
      <c r="H296" s="34"/>
      <c r="I296" s="34"/>
      <c r="K296" s="39">
        <v>2356002</v>
      </c>
      <c r="L296" s="16" t="s">
        <v>1379</v>
      </c>
      <c r="M296" s="34" t="s">
        <v>31</v>
      </c>
      <c r="N296" s="34"/>
      <c r="O296" s="34"/>
      <c r="P296" s="34"/>
      <c r="Q296" s="34" t="s">
        <v>33</v>
      </c>
      <c r="R296" s="28" t="s">
        <v>94</v>
      </c>
      <c r="S296" s="54" t="s">
        <v>35</v>
      </c>
      <c r="T296" s="34" t="s">
        <v>36</v>
      </c>
      <c r="U296" s="34"/>
    </row>
    <row r="297" spans="2:21">
      <c r="B297" s="16" t="s">
        <v>47</v>
      </c>
      <c r="C297" s="46" t="s">
        <v>28</v>
      </c>
      <c r="D297" s="47">
        <v>44596</v>
      </c>
      <c r="F297" s="34"/>
      <c r="G297" s="46"/>
      <c r="H297" s="34"/>
      <c r="I297" s="34"/>
      <c r="K297" s="39">
        <v>2357302</v>
      </c>
      <c r="L297" s="16" t="s">
        <v>1380</v>
      </c>
      <c r="M297" s="34" t="s">
        <v>31</v>
      </c>
      <c r="N297" s="34"/>
      <c r="O297" s="34"/>
      <c r="P297" s="34"/>
      <c r="Q297" s="34" t="s">
        <v>33</v>
      </c>
      <c r="R297" s="28" t="s">
        <v>94</v>
      </c>
      <c r="S297" s="54" t="s">
        <v>35</v>
      </c>
      <c r="T297" s="34" t="s">
        <v>36</v>
      </c>
      <c r="U297" s="34"/>
    </row>
    <row r="298" spans="2:21">
      <c r="B298" s="16" t="s">
        <v>47</v>
      </c>
      <c r="C298" s="46" t="s">
        <v>28</v>
      </c>
      <c r="D298" s="47">
        <v>44596</v>
      </c>
      <c r="F298" s="34"/>
      <c r="G298" s="46"/>
      <c r="H298" s="34"/>
      <c r="I298" s="34"/>
      <c r="K298" s="39">
        <v>2357301</v>
      </c>
      <c r="L298" s="16" t="s">
        <v>1381</v>
      </c>
      <c r="M298" s="34" t="s">
        <v>31</v>
      </c>
      <c r="N298" s="34"/>
      <c r="O298" s="34"/>
      <c r="P298" s="34"/>
      <c r="Q298" s="34" t="s">
        <v>33</v>
      </c>
      <c r="R298" s="28" t="s">
        <v>94</v>
      </c>
      <c r="S298" s="54" t="s">
        <v>35</v>
      </c>
      <c r="T298" s="34" t="s">
        <v>36</v>
      </c>
      <c r="U298" s="34"/>
    </row>
    <row r="299" spans="2:21">
      <c r="B299" s="16" t="s">
        <v>47</v>
      </c>
      <c r="C299" s="46" t="s">
        <v>28</v>
      </c>
      <c r="D299" s="47">
        <v>44596</v>
      </c>
      <c r="F299" s="34"/>
      <c r="G299" s="46"/>
      <c r="H299" s="34"/>
      <c r="I299" s="34"/>
      <c r="K299" s="39">
        <v>2357502</v>
      </c>
      <c r="L299" s="16" t="s">
        <v>1382</v>
      </c>
      <c r="M299" s="34" t="s">
        <v>31</v>
      </c>
      <c r="N299" s="34"/>
      <c r="O299" s="34"/>
      <c r="P299" s="34"/>
      <c r="Q299" s="34" t="s">
        <v>33</v>
      </c>
      <c r="R299" s="28" t="s">
        <v>94</v>
      </c>
      <c r="S299" s="54" t="s">
        <v>35</v>
      </c>
      <c r="T299" s="34" t="s">
        <v>36</v>
      </c>
      <c r="U299" s="34"/>
    </row>
    <row r="300" spans="2:21">
      <c r="B300" s="16" t="s">
        <v>47</v>
      </c>
      <c r="C300" s="46" t="s">
        <v>28</v>
      </c>
      <c r="D300" s="47">
        <v>44596</v>
      </c>
      <c r="F300" s="34"/>
      <c r="G300" s="46"/>
      <c r="H300" s="34"/>
      <c r="I300" s="34"/>
      <c r="K300" s="39">
        <v>2357501</v>
      </c>
      <c r="L300" s="16" t="s">
        <v>1383</v>
      </c>
      <c r="M300" s="34" t="s">
        <v>31</v>
      </c>
      <c r="N300" s="34"/>
      <c r="O300" s="34"/>
      <c r="P300" s="34"/>
      <c r="Q300" s="34" t="s">
        <v>33</v>
      </c>
      <c r="R300" s="28" t="s">
        <v>94</v>
      </c>
      <c r="S300" s="54" t="s">
        <v>35</v>
      </c>
      <c r="T300" s="34" t="s">
        <v>36</v>
      </c>
      <c r="U300" s="34"/>
    </row>
    <row r="301" spans="2:21">
      <c r="B301" s="16" t="s">
        <v>47</v>
      </c>
      <c r="C301" s="46" t="s">
        <v>28</v>
      </c>
      <c r="D301" s="47">
        <v>44596</v>
      </c>
      <c r="F301" s="34"/>
      <c r="G301" s="46"/>
      <c r="H301" s="34"/>
      <c r="I301" s="34"/>
      <c r="K301" s="39">
        <v>2356902</v>
      </c>
      <c r="L301" s="16" t="s">
        <v>1384</v>
      </c>
      <c r="M301" s="34" t="s">
        <v>31</v>
      </c>
      <c r="N301" s="34"/>
      <c r="O301" s="34"/>
      <c r="P301" s="34"/>
      <c r="Q301" s="34" t="s">
        <v>33</v>
      </c>
      <c r="R301" s="28" t="s">
        <v>94</v>
      </c>
      <c r="S301" s="54" t="s">
        <v>35</v>
      </c>
      <c r="T301" s="34" t="s">
        <v>36</v>
      </c>
      <c r="U301" s="34"/>
    </row>
    <row r="302" spans="2:21">
      <c r="B302" s="16" t="s">
        <v>47</v>
      </c>
      <c r="C302" s="46" t="s">
        <v>28</v>
      </c>
      <c r="D302" s="47">
        <v>44596</v>
      </c>
      <c r="F302" s="34"/>
      <c r="G302" s="46"/>
      <c r="H302" s="34"/>
      <c r="I302" s="34"/>
      <c r="K302" s="39">
        <v>2356901</v>
      </c>
      <c r="L302" s="16" t="s">
        <v>1385</v>
      </c>
      <c r="M302" s="34" t="s">
        <v>31</v>
      </c>
      <c r="N302" s="34"/>
      <c r="O302" s="34"/>
      <c r="P302" s="34"/>
      <c r="Q302" s="34" t="s">
        <v>33</v>
      </c>
      <c r="R302" s="28" t="s">
        <v>94</v>
      </c>
      <c r="S302" s="54" t="s">
        <v>35</v>
      </c>
      <c r="T302" s="34" t="s">
        <v>36</v>
      </c>
      <c r="U302" s="34"/>
    </row>
    <row r="303" spans="2:21">
      <c r="B303" s="16" t="s">
        <v>47</v>
      </c>
      <c r="C303" s="46" t="s">
        <v>28</v>
      </c>
      <c r="D303" s="47">
        <v>44603</v>
      </c>
      <c r="F303" s="34"/>
      <c r="G303" s="46"/>
      <c r="H303" s="34"/>
      <c r="I303" s="34"/>
      <c r="K303" s="39">
        <v>1936504</v>
      </c>
      <c r="L303" s="85" t="s">
        <v>1386</v>
      </c>
      <c r="M303" s="34" t="s">
        <v>31</v>
      </c>
      <c r="N303" s="34"/>
      <c r="O303" s="34"/>
      <c r="P303" s="34"/>
      <c r="Q303" s="34" t="s">
        <v>33</v>
      </c>
      <c r="R303" s="28" t="s">
        <v>94</v>
      </c>
      <c r="S303" s="54" t="s">
        <v>35</v>
      </c>
      <c r="T303" s="34" t="s">
        <v>36</v>
      </c>
      <c r="U303" s="34"/>
    </row>
    <row r="304" spans="2:21">
      <c r="B304" s="16" t="s">
        <v>47</v>
      </c>
      <c r="C304" s="46" t="s">
        <v>28</v>
      </c>
      <c r="D304" s="47">
        <v>44603</v>
      </c>
      <c r="F304" s="34"/>
      <c r="G304" s="46"/>
      <c r="H304" s="34"/>
      <c r="I304" s="34"/>
      <c r="K304" s="39">
        <v>1936503</v>
      </c>
      <c r="L304" s="85" t="s">
        <v>1387</v>
      </c>
      <c r="M304" s="34" t="s">
        <v>31</v>
      </c>
      <c r="N304" s="34"/>
      <c r="O304" s="34"/>
      <c r="P304" s="34"/>
      <c r="Q304" s="34" t="s">
        <v>33</v>
      </c>
      <c r="R304" s="28" t="s">
        <v>94</v>
      </c>
      <c r="S304" s="54" t="s">
        <v>35</v>
      </c>
      <c r="T304" s="34" t="s">
        <v>36</v>
      </c>
      <c r="U304" s="34"/>
    </row>
    <row r="305" spans="2:21">
      <c r="B305" s="16" t="s">
        <v>47</v>
      </c>
      <c r="C305" s="46" t="s">
        <v>28</v>
      </c>
      <c r="D305" s="47">
        <v>44603</v>
      </c>
      <c r="F305" s="34"/>
      <c r="G305" s="46"/>
      <c r="H305" s="34"/>
      <c r="I305" s="34"/>
      <c r="K305" s="39">
        <v>2239709</v>
      </c>
      <c r="L305" s="85" t="s">
        <v>1388</v>
      </c>
      <c r="M305" s="34" t="s">
        <v>31</v>
      </c>
      <c r="N305" s="34"/>
      <c r="O305" s="34"/>
      <c r="P305" s="34"/>
      <c r="Q305" s="34" t="s">
        <v>33</v>
      </c>
      <c r="R305" s="28" t="s">
        <v>94</v>
      </c>
      <c r="S305" s="54" t="s">
        <v>35</v>
      </c>
      <c r="T305" s="34" t="s">
        <v>36</v>
      </c>
      <c r="U305" s="34"/>
    </row>
    <row r="306" spans="2:21">
      <c r="B306" s="16" t="s">
        <v>47</v>
      </c>
      <c r="C306" s="46" t="s">
        <v>28</v>
      </c>
      <c r="D306" s="47">
        <v>44603</v>
      </c>
      <c r="F306" s="34"/>
      <c r="G306" s="46"/>
      <c r="H306" s="34"/>
      <c r="I306" s="34"/>
      <c r="K306" s="39" t="s">
        <v>1389</v>
      </c>
      <c r="L306" s="85" t="s">
        <v>1390</v>
      </c>
      <c r="M306" s="34" t="s">
        <v>31</v>
      </c>
      <c r="N306" s="34"/>
      <c r="O306" s="34"/>
      <c r="P306" s="34"/>
      <c r="Q306" s="34" t="s">
        <v>33</v>
      </c>
      <c r="R306" s="28" t="s">
        <v>94</v>
      </c>
      <c r="S306" s="54" t="s">
        <v>35</v>
      </c>
      <c r="T306" s="34" t="s">
        <v>36</v>
      </c>
      <c r="U306" s="34"/>
    </row>
    <row r="307" spans="2:21">
      <c r="B307" s="16" t="s">
        <v>47</v>
      </c>
      <c r="C307" s="46" t="s">
        <v>28</v>
      </c>
      <c r="D307" s="47">
        <v>44603</v>
      </c>
      <c r="F307" s="34"/>
      <c r="G307" s="46"/>
      <c r="H307" s="34"/>
      <c r="I307" s="34"/>
      <c r="K307" s="39">
        <v>2343003</v>
      </c>
      <c r="L307" s="85" t="s">
        <v>1391</v>
      </c>
      <c r="M307" s="34" t="s">
        <v>31</v>
      </c>
      <c r="N307" s="34"/>
      <c r="O307" s="34"/>
      <c r="P307" s="34"/>
      <c r="Q307" s="34" t="s">
        <v>33</v>
      </c>
      <c r="R307" s="28" t="s">
        <v>94</v>
      </c>
      <c r="S307" s="54" t="s">
        <v>35</v>
      </c>
      <c r="T307" s="34" t="s">
        <v>36</v>
      </c>
      <c r="U307" s="34"/>
    </row>
    <row r="308" spans="2:21">
      <c r="B308" s="16" t="s">
        <v>47</v>
      </c>
      <c r="C308" s="46" t="s">
        <v>28</v>
      </c>
      <c r="D308" s="47">
        <v>44603</v>
      </c>
      <c r="F308" s="34"/>
      <c r="G308" s="46"/>
      <c r="H308" s="34"/>
      <c r="I308" s="34"/>
      <c r="K308" s="39">
        <v>2343004</v>
      </c>
      <c r="L308" s="85" t="s">
        <v>1392</v>
      </c>
      <c r="M308" s="34" t="s">
        <v>31</v>
      </c>
      <c r="N308" s="34"/>
      <c r="O308" s="34"/>
      <c r="P308" s="34"/>
      <c r="Q308" s="34" t="s">
        <v>33</v>
      </c>
      <c r="R308" s="28" t="s">
        <v>94</v>
      </c>
      <c r="S308" s="54" t="s">
        <v>35</v>
      </c>
      <c r="T308" s="34" t="s">
        <v>36</v>
      </c>
      <c r="U308" s="34"/>
    </row>
    <row r="309" spans="2:21">
      <c r="B309" s="16" t="s">
        <v>47</v>
      </c>
      <c r="C309" s="46" t="s">
        <v>28</v>
      </c>
      <c r="D309" s="47">
        <v>44617</v>
      </c>
      <c r="F309" s="34"/>
      <c r="G309" s="46"/>
      <c r="H309" s="34"/>
      <c r="I309" s="34"/>
      <c r="K309" s="39">
        <v>1502604</v>
      </c>
      <c r="L309" s="16" t="s">
        <v>1393</v>
      </c>
      <c r="M309" s="34" t="s">
        <v>31</v>
      </c>
      <c r="N309" s="34"/>
      <c r="O309" s="34"/>
      <c r="P309" s="34"/>
      <c r="Q309" s="34" t="s">
        <v>33</v>
      </c>
      <c r="R309" s="28" t="s">
        <v>94</v>
      </c>
      <c r="S309" s="54" t="s">
        <v>35</v>
      </c>
      <c r="T309" s="34" t="s">
        <v>36</v>
      </c>
      <c r="U309" s="34"/>
    </row>
    <row r="310" spans="2:21">
      <c r="B310" s="16" t="s">
        <v>47</v>
      </c>
      <c r="C310" s="46" t="s">
        <v>28</v>
      </c>
      <c r="D310" s="47">
        <v>44617</v>
      </c>
      <c r="F310" s="34"/>
      <c r="G310" s="46"/>
      <c r="H310" s="34"/>
      <c r="I310" s="34"/>
      <c r="K310" s="39">
        <v>1502603</v>
      </c>
      <c r="L310" s="16" t="s">
        <v>1394</v>
      </c>
      <c r="M310" s="34" t="s">
        <v>31</v>
      </c>
      <c r="N310" s="34"/>
      <c r="O310" s="34"/>
      <c r="P310" s="34"/>
      <c r="Q310" s="34" t="s">
        <v>33</v>
      </c>
      <c r="R310" s="28" t="s">
        <v>94</v>
      </c>
      <c r="S310" s="54" t="s">
        <v>35</v>
      </c>
      <c r="T310" s="34" t="s">
        <v>36</v>
      </c>
      <c r="U310" s="34"/>
    </row>
    <row r="311" spans="2:21">
      <c r="B311" s="16" t="s">
        <v>47</v>
      </c>
      <c r="C311" s="46" t="s">
        <v>28</v>
      </c>
      <c r="D311" s="47">
        <v>44624</v>
      </c>
      <c r="F311" s="34"/>
      <c r="G311" s="46"/>
      <c r="H311" s="34"/>
      <c r="I311" s="34"/>
      <c r="K311" s="39">
        <v>2109307</v>
      </c>
      <c r="L311" s="16" t="s">
        <v>1395</v>
      </c>
      <c r="M311" s="34" t="s">
        <v>31</v>
      </c>
      <c r="N311" s="34"/>
      <c r="O311" s="34"/>
      <c r="P311" s="34"/>
      <c r="Q311" s="34" t="s">
        <v>33</v>
      </c>
      <c r="R311" s="28" t="s">
        <v>94</v>
      </c>
      <c r="S311" s="54" t="s">
        <v>35</v>
      </c>
      <c r="T311" s="34" t="s">
        <v>36</v>
      </c>
      <c r="U311" s="34"/>
    </row>
    <row r="312" spans="2:21">
      <c r="B312" s="16" t="s">
        <v>47</v>
      </c>
      <c r="C312" s="46" t="s">
        <v>28</v>
      </c>
      <c r="D312" s="47">
        <v>44624</v>
      </c>
      <c r="F312" s="34"/>
      <c r="G312" s="46"/>
      <c r="H312" s="34"/>
      <c r="I312" s="34"/>
      <c r="K312" s="39">
        <v>2109308</v>
      </c>
      <c r="L312" s="16" t="s">
        <v>1396</v>
      </c>
      <c r="M312" s="34" t="s">
        <v>31</v>
      </c>
      <c r="N312" s="34"/>
      <c r="O312" s="34"/>
      <c r="P312" s="34"/>
      <c r="Q312" s="34" t="s">
        <v>33</v>
      </c>
      <c r="R312" s="28" t="s">
        <v>94</v>
      </c>
      <c r="S312" s="54" t="s">
        <v>35</v>
      </c>
      <c r="T312" s="34" t="s">
        <v>36</v>
      </c>
      <c r="U312" s="34"/>
    </row>
    <row r="313" spans="2:21">
      <c r="B313" s="16" t="s">
        <v>47</v>
      </c>
      <c r="C313" s="46" t="s">
        <v>28</v>
      </c>
      <c r="D313" s="47">
        <v>44624</v>
      </c>
      <c r="F313" s="34"/>
      <c r="G313" s="46"/>
      <c r="H313" s="34"/>
      <c r="I313" s="34"/>
      <c r="K313" s="39">
        <v>1502605</v>
      </c>
      <c r="L313" s="16" t="s">
        <v>1397</v>
      </c>
      <c r="M313" s="34" t="s">
        <v>31</v>
      </c>
      <c r="N313" s="34"/>
      <c r="O313" s="34"/>
      <c r="P313" s="34"/>
      <c r="Q313" s="34" t="s">
        <v>33</v>
      </c>
      <c r="R313" s="28" t="s">
        <v>94</v>
      </c>
      <c r="S313" s="54" t="s">
        <v>35</v>
      </c>
      <c r="T313" s="34" t="s">
        <v>36</v>
      </c>
      <c r="U313" s="34"/>
    </row>
    <row r="314" spans="2:21">
      <c r="B314" s="16" t="s">
        <v>47</v>
      </c>
      <c r="C314" s="46" t="s">
        <v>28</v>
      </c>
      <c r="D314" s="47">
        <v>44624</v>
      </c>
      <c r="F314" s="34"/>
      <c r="G314" s="46"/>
      <c r="H314" s="34"/>
      <c r="I314" s="34"/>
      <c r="K314" s="39">
        <v>2382102</v>
      </c>
      <c r="L314" s="16" t="s">
        <v>1398</v>
      </c>
      <c r="M314" s="34" t="s">
        <v>31</v>
      </c>
      <c r="N314" s="34"/>
      <c r="O314" s="34"/>
      <c r="P314" s="34"/>
      <c r="Q314" s="34" t="s">
        <v>33</v>
      </c>
      <c r="R314" s="28" t="s">
        <v>94</v>
      </c>
      <c r="S314" s="54" t="s">
        <v>35</v>
      </c>
      <c r="T314" s="34" t="s">
        <v>36</v>
      </c>
      <c r="U314" s="111" t="s">
        <v>1399</v>
      </c>
    </row>
    <row r="315" spans="2:21">
      <c r="B315" s="16" t="s">
        <v>47</v>
      </c>
      <c r="C315" s="46" t="s">
        <v>28</v>
      </c>
      <c r="D315" s="47">
        <v>44624</v>
      </c>
      <c r="F315" s="34"/>
      <c r="G315" s="46"/>
      <c r="H315" s="34"/>
      <c r="I315" s="34"/>
      <c r="K315" s="39">
        <v>2382101</v>
      </c>
      <c r="L315" s="16" t="s">
        <v>1400</v>
      </c>
      <c r="M315" s="34" t="s">
        <v>31</v>
      </c>
      <c r="N315" s="34"/>
      <c r="O315" s="34"/>
      <c r="P315" s="34"/>
      <c r="Q315" s="34" t="s">
        <v>33</v>
      </c>
      <c r="R315" s="28" t="s">
        <v>94</v>
      </c>
      <c r="S315" s="54" t="s">
        <v>35</v>
      </c>
      <c r="T315" s="34" t="s">
        <v>36</v>
      </c>
      <c r="U315" s="111" t="s">
        <v>1399</v>
      </c>
    </row>
    <row r="316" spans="2:21">
      <c r="B316" s="16" t="s">
        <v>47</v>
      </c>
      <c r="C316" s="46" t="s">
        <v>28</v>
      </c>
      <c r="D316" s="47">
        <v>44624</v>
      </c>
      <c r="F316" s="34"/>
      <c r="G316" s="46"/>
      <c r="H316" s="34"/>
      <c r="I316" s="34"/>
      <c r="K316" s="39">
        <v>2336902</v>
      </c>
      <c r="L316" s="16" t="s">
        <v>1401</v>
      </c>
      <c r="M316" s="34" t="s">
        <v>31</v>
      </c>
      <c r="N316" s="34"/>
      <c r="O316" s="34"/>
      <c r="P316" s="34"/>
      <c r="Q316" s="34" t="s">
        <v>33</v>
      </c>
      <c r="R316" s="28" t="s">
        <v>94</v>
      </c>
      <c r="S316" s="54" t="s">
        <v>35</v>
      </c>
      <c r="T316" s="34" t="s">
        <v>36</v>
      </c>
      <c r="U316" s="111" t="s">
        <v>1399</v>
      </c>
    </row>
    <row r="317" spans="2:21">
      <c r="B317" s="16" t="s">
        <v>47</v>
      </c>
      <c r="C317" s="46" t="s">
        <v>28</v>
      </c>
      <c r="D317" s="47">
        <v>44631</v>
      </c>
      <c r="F317" s="34"/>
      <c r="G317" s="46"/>
      <c r="H317" s="34"/>
      <c r="I317" s="34"/>
      <c r="K317" s="39">
        <v>2380701</v>
      </c>
      <c r="L317" s="16" t="s">
        <v>1402</v>
      </c>
      <c r="M317" s="34" t="s">
        <v>31</v>
      </c>
      <c r="N317" s="34"/>
      <c r="O317" s="34"/>
      <c r="P317" s="34"/>
      <c r="Q317" s="34" t="s">
        <v>33</v>
      </c>
      <c r="R317" s="28" t="s">
        <v>94</v>
      </c>
      <c r="S317" s="54" t="s">
        <v>35</v>
      </c>
      <c r="T317" s="34" t="s">
        <v>36</v>
      </c>
      <c r="U317" s="141"/>
    </row>
    <row r="318" spans="2:21">
      <c r="B318" s="16" t="s">
        <v>47</v>
      </c>
      <c r="C318" s="46" t="s">
        <v>28</v>
      </c>
      <c r="D318" s="47">
        <v>44631</v>
      </c>
      <c r="F318" s="34"/>
      <c r="G318" s="46"/>
      <c r="H318" s="34"/>
      <c r="I318" s="34"/>
      <c r="K318" s="39">
        <v>2381502</v>
      </c>
      <c r="L318" s="16" t="s">
        <v>1403</v>
      </c>
      <c r="M318" s="34" t="s">
        <v>31</v>
      </c>
      <c r="N318" s="34"/>
      <c r="O318" s="34"/>
      <c r="P318" s="34"/>
      <c r="Q318" s="34" t="s">
        <v>33</v>
      </c>
      <c r="R318" s="28" t="s">
        <v>94</v>
      </c>
      <c r="S318" s="54" t="s">
        <v>35</v>
      </c>
      <c r="T318" s="34" t="s">
        <v>36</v>
      </c>
      <c r="U318" s="141"/>
    </row>
    <row r="319" spans="2:21">
      <c r="B319" s="16" t="s">
        <v>47</v>
      </c>
      <c r="C319" s="46" t="s">
        <v>28</v>
      </c>
      <c r="D319" s="47">
        <v>44631</v>
      </c>
      <c r="F319" s="34"/>
      <c r="G319" s="46"/>
      <c r="H319" s="34"/>
      <c r="I319" s="34"/>
      <c r="K319" s="39">
        <v>2381501</v>
      </c>
      <c r="L319" s="16" t="s">
        <v>1404</v>
      </c>
      <c r="M319" s="34" t="s">
        <v>31</v>
      </c>
      <c r="N319" s="34"/>
      <c r="O319" s="34"/>
      <c r="P319" s="34"/>
      <c r="Q319" s="34" t="s">
        <v>33</v>
      </c>
      <c r="R319" s="28" t="s">
        <v>94</v>
      </c>
      <c r="S319" s="54" t="s">
        <v>35</v>
      </c>
      <c r="T319" s="34" t="s">
        <v>36</v>
      </c>
      <c r="U319" s="141"/>
    </row>
    <row r="320" spans="2:21">
      <c r="B320" s="16" t="s">
        <v>47</v>
      </c>
      <c r="C320" s="46" t="s">
        <v>28</v>
      </c>
      <c r="D320" s="47">
        <v>44631</v>
      </c>
      <c r="F320" s="34"/>
      <c r="G320" s="46"/>
      <c r="H320" s="34"/>
      <c r="I320" s="34"/>
      <c r="K320" s="39">
        <v>2385101</v>
      </c>
      <c r="L320" s="16" t="s">
        <v>1405</v>
      </c>
      <c r="M320" s="34" t="s">
        <v>31</v>
      </c>
      <c r="N320" s="34"/>
      <c r="O320" s="34"/>
      <c r="P320" s="34"/>
      <c r="Q320" s="34" t="s">
        <v>33</v>
      </c>
      <c r="R320" s="28" t="s">
        <v>94</v>
      </c>
      <c r="S320" s="54" t="s">
        <v>35</v>
      </c>
      <c r="T320" s="34" t="s">
        <v>36</v>
      </c>
      <c r="U320" s="111" t="s">
        <v>1399</v>
      </c>
    </row>
    <row r="321" spans="2:21">
      <c r="B321" s="16" t="s">
        <v>47</v>
      </c>
      <c r="C321" s="46" t="s">
        <v>28</v>
      </c>
      <c r="D321" s="47">
        <v>44631</v>
      </c>
      <c r="F321" s="34"/>
      <c r="G321" s="46"/>
      <c r="H321" s="34"/>
      <c r="I321" s="34"/>
      <c r="K321" s="39">
        <v>2385102</v>
      </c>
      <c r="L321" s="16" t="s">
        <v>1406</v>
      </c>
      <c r="M321" s="34" t="s">
        <v>31</v>
      </c>
      <c r="N321" s="34"/>
      <c r="O321" s="34"/>
      <c r="P321" s="34"/>
      <c r="Q321" s="34" t="s">
        <v>33</v>
      </c>
      <c r="R321" s="28" t="s">
        <v>94</v>
      </c>
      <c r="S321" s="54" t="s">
        <v>35</v>
      </c>
      <c r="T321" s="34" t="s">
        <v>36</v>
      </c>
      <c r="U321" s="111" t="s">
        <v>1399</v>
      </c>
    </row>
    <row r="322" spans="2:21">
      <c r="B322" s="16" t="s">
        <v>47</v>
      </c>
      <c r="C322" s="46" t="s">
        <v>28</v>
      </c>
      <c r="D322" s="47">
        <v>44665</v>
      </c>
      <c r="F322" s="34"/>
      <c r="G322" s="46"/>
      <c r="H322" s="34"/>
      <c r="I322" s="34"/>
      <c r="K322" s="39">
        <v>2389301</v>
      </c>
      <c r="L322" s="16" t="s">
        <v>1407</v>
      </c>
      <c r="M322" s="34" t="s">
        <v>31</v>
      </c>
      <c r="N322" s="34"/>
      <c r="O322" s="34"/>
      <c r="P322" s="34"/>
      <c r="Q322" s="34" t="s">
        <v>33</v>
      </c>
      <c r="R322" s="34" t="s">
        <v>94</v>
      </c>
      <c r="S322" s="34" t="s">
        <v>35</v>
      </c>
      <c r="T322" s="34" t="s">
        <v>36</v>
      </c>
      <c r="U322" s="34"/>
    </row>
    <row r="323" spans="2:21">
      <c r="B323" s="16" t="s">
        <v>47</v>
      </c>
      <c r="C323" s="46" t="s">
        <v>28</v>
      </c>
      <c r="D323" s="47">
        <v>44665</v>
      </c>
      <c r="F323" s="34"/>
      <c r="G323" s="46"/>
      <c r="H323" s="34"/>
      <c r="I323" s="34"/>
      <c r="K323" s="39">
        <v>2394901</v>
      </c>
      <c r="L323" s="16" t="s">
        <v>1408</v>
      </c>
      <c r="M323" s="34" t="s">
        <v>31</v>
      </c>
      <c r="N323" s="34"/>
      <c r="O323" s="34"/>
      <c r="P323" s="34"/>
      <c r="Q323" s="34" t="s">
        <v>33</v>
      </c>
      <c r="R323" s="34" t="s">
        <v>94</v>
      </c>
      <c r="S323" s="34" t="s">
        <v>35</v>
      </c>
      <c r="T323" s="34" t="s">
        <v>36</v>
      </c>
      <c r="U323" s="34"/>
    </row>
    <row r="324" spans="2:21">
      <c r="B324" s="16" t="s">
        <v>47</v>
      </c>
      <c r="C324" s="46" t="s">
        <v>28</v>
      </c>
      <c r="D324" s="47">
        <v>44665</v>
      </c>
      <c r="F324" s="34"/>
      <c r="G324" s="46"/>
      <c r="H324" s="34"/>
      <c r="I324" s="34"/>
      <c r="K324" s="39">
        <v>2357503</v>
      </c>
      <c r="L324" s="16" t="s">
        <v>1409</v>
      </c>
      <c r="M324" s="34" t="s">
        <v>31</v>
      </c>
      <c r="N324" s="34"/>
      <c r="O324" s="34"/>
      <c r="P324" s="34"/>
      <c r="Q324" s="34" t="s">
        <v>33</v>
      </c>
      <c r="R324" s="28" t="s">
        <v>94</v>
      </c>
      <c r="S324" s="54" t="s">
        <v>35</v>
      </c>
      <c r="T324" s="34" t="s">
        <v>36</v>
      </c>
      <c r="U324" s="34"/>
    </row>
    <row r="325" spans="2:21">
      <c r="B325" s="16" t="s">
        <v>47</v>
      </c>
      <c r="C325" s="46" t="s">
        <v>28</v>
      </c>
      <c r="D325" s="47">
        <v>44665</v>
      </c>
      <c r="F325" s="34"/>
      <c r="G325" s="46"/>
      <c r="H325" s="34"/>
      <c r="I325" s="34"/>
      <c r="K325" s="39">
        <v>2388601</v>
      </c>
      <c r="L325" s="16" t="s">
        <v>1410</v>
      </c>
      <c r="M325" s="34" t="s">
        <v>31</v>
      </c>
      <c r="N325" s="34"/>
      <c r="O325" s="34"/>
      <c r="P325" s="34"/>
      <c r="Q325" s="34" t="s">
        <v>33</v>
      </c>
      <c r="R325" s="28" t="s">
        <v>94</v>
      </c>
      <c r="S325" s="54" t="s">
        <v>35</v>
      </c>
      <c r="T325" s="34" t="s">
        <v>36</v>
      </c>
      <c r="U325" s="34"/>
    </row>
    <row r="326" spans="2:21">
      <c r="B326" s="16" t="s">
        <v>47</v>
      </c>
      <c r="C326" s="46" t="s">
        <v>28</v>
      </c>
      <c r="D326" s="47">
        <v>44665</v>
      </c>
      <c r="F326" s="34"/>
      <c r="G326" s="46"/>
      <c r="H326" s="34"/>
      <c r="I326" s="34"/>
      <c r="K326" s="39">
        <v>2388001</v>
      </c>
      <c r="L326" s="16" t="s">
        <v>1411</v>
      </c>
      <c r="M326" s="34" t="s">
        <v>31</v>
      </c>
      <c r="N326" s="34"/>
      <c r="O326" s="34"/>
      <c r="P326" s="34"/>
      <c r="Q326" s="34" t="s">
        <v>33</v>
      </c>
      <c r="R326" s="28" t="s">
        <v>94</v>
      </c>
      <c r="S326" s="54" t="s">
        <v>35</v>
      </c>
      <c r="T326" s="34" t="s">
        <v>36</v>
      </c>
      <c r="U326" s="34"/>
    </row>
    <row r="327" spans="2:21">
      <c r="B327" s="16" t="s">
        <v>47</v>
      </c>
      <c r="C327" s="46" t="s">
        <v>28</v>
      </c>
      <c r="D327" s="47">
        <v>44701</v>
      </c>
      <c r="F327" s="34"/>
      <c r="G327" s="46"/>
      <c r="H327" s="34"/>
      <c r="I327" s="34"/>
      <c r="K327" s="39">
        <v>2380702</v>
      </c>
      <c r="L327" s="16" t="s">
        <v>1412</v>
      </c>
      <c r="M327" s="34" t="s">
        <v>31</v>
      </c>
      <c r="N327" s="34"/>
      <c r="O327" s="34"/>
      <c r="P327" s="34"/>
      <c r="Q327" s="34" t="s">
        <v>33</v>
      </c>
      <c r="R327" s="28" t="s">
        <v>94</v>
      </c>
      <c r="S327" s="54" t="s">
        <v>35</v>
      </c>
      <c r="T327" s="34" t="s">
        <v>36</v>
      </c>
      <c r="U327" s="34"/>
    </row>
    <row r="328" spans="2:21">
      <c r="B328" s="16" t="s">
        <v>47</v>
      </c>
      <c r="C328" s="46" t="s">
        <v>28</v>
      </c>
      <c r="D328" s="47">
        <v>44722</v>
      </c>
      <c r="F328" s="34"/>
      <c r="G328" s="46"/>
      <c r="H328" s="34"/>
      <c r="I328" s="34"/>
      <c r="K328" s="39">
        <v>2411801</v>
      </c>
      <c r="L328" s="16" t="s">
        <v>1413</v>
      </c>
      <c r="M328" s="34" t="s">
        <v>31</v>
      </c>
      <c r="N328" s="34"/>
      <c r="O328" s="34"/>
      <c r="P328" s="34"/>
      <c r="Q328" s="34" t="s">
        <v>33</v>
      </c>
      <c r="R328" s="28" t="s">
        <v>94</v>
      </c>
      <c r="S328" s="54" t="s">
        <v>35</v>
      </c>
      <c r="T328" s="34" t="s">
        <v>36</v>
      </c>
      <c r="U328" s="34"/>
    </row>
    <row r="329" spans="2:21">
      <c r="B329" s="16" t="s">
        <v>47</v>
      </c>
      <c r="C329" s="46" t="s">
        <v>28</v>
      </c>
      <c r="D329" s="47">
        <v>44722</v>
      </c>
      <c r="F329" s="34"/>
      <c r="G329" s="46"/>
      <c r="H329" s="34"/>
      <c r="I329" s="34"/>
      <c r="K329" s="39">
        <v>2274504</v>
      </c>
      <c r="L329" s="16" t="s">
        <v>1414</v>
      </c>
      <c r="M329" s="34" t="s">
        <v>31</v>
      </c>
      <c r="N329" s="34"/>
      <c r="O329" s="34"/>
      <c r="P329" s="34"/>
      <c r="Q329" s="34" t="s">
        <v>33</v>
      </c>
      <c r="R329" s="28" t="s">
        <v>94</v>
      </c>
      <c r="S329" s="54" t="s">
        <v>35</v>
      </c>
      <c r="T329" s="34" t="s">
        <v>36</v>
      </c>
      <c r="U329" s="34"/>
    </row>
    <row r="330" spans="2:21">
      <c r="B330" s="16" t="s">
        <v>47</v>
      </c>
      <c r="C330" s="46" t="s">
        <v>28</v>
      </c>
      <c r="D330" s="47">
        <v>44722</v>
      </c>
      <c r="F330" s="34"/>
      <c r="G330" s="46"/>
      <c r="H330" s="34"/>
      <c r="I330" s="34"/>
      <c r="K330" s="39">
        <v>2274503</v>
      </c>
      <c r="L330" s="16" t="s">
        <v>1415</v>
      </c>
      <c r="M330" s="34" t="s">
        <v>31</v>
      </c>
      <c r="N330" s="34"/>
      <c r="O330" s="34"/>
      <c r="P330" s="34"/>
      <c r="Q330" s="34" t="s">
        <v>33</v>
      </c>
      <c r="R330" s="28" t="s">
        <v>94</v>
      </c>
      <c r="S330" s="54" t="s">
        <v>35</v>
      </c>
      <c r="T330" s="34" t="s">
        <v>36</v>
      </c>
      <c r="U330" s="34"/>
    </row>
    <row r="331" spans="2:21">
      <c r="B331" s="16" t="s">
        <v>47</v>
      </c>
      <c r="C331" s="46" t="s">
        <v>28</v>
      </c>
      <c r="D331" s="47">
        <v>44722</v>
      </c>
      <c r="F331" s="34"/>
      <c r="G331" s="46"/>
      <c r="H331" s="34"/>
      <c r="I331" s="34"/>
      <c r="K331" s="39">
        <v>2416601</v>
      </c>
      <c r="L331" s="16" t="s">
        <v>1416</v>
      </c>
      <c r="M331" s="34" t="s">
        <v>31</v>
      </c>
      <c r="N331" s="34"/>
      <c r="O331" s="34"/>
      <c r="P331" s="34"/>
      <c r="Q331" s="34" t="s">
        <v>33</v>
      </c>
      <c r="R331" s="28" t="s">
        <v>94</v>
      </c>
      <c r="S331" s="54" t="s">
        <v>35</v>
      </c>
      <c r="T331" s="34" t="s">
        <v>36</v>
      </c>
      <c r="U331" s="34"/>
    </row>
    <row r="332" spans="2:21">
      <c r="B332" s="16" t="s">
        <v>47</v>
      </c>
      <c r="C332" s="46" t="s">
        <v>28</v>
      </c>
      <c r="D332" s="47">
        <v>44722</v>
      </c>
      <c r="F332" s="34"/>
      <c r="G332" s="46"/>
      <c r="H332" s="34"/>
      <c r="I332" s="34"/>
      <c r="K332" s="39">
        <v>2411802</v>
      </c>
      <c r="L332" s="16" t="s">
        <v>1417</v>
      </c>
      <c r="M332" s="34" t="s">
        <v>31</v>
      </c>
      <c r="N332" s="34"/>
      <c r="O332" s="34"/>
      <c r="P332" s="34"/>
      <c r="Q332" s="34" t="s">
        <v>33</v>
      </c>
      <c r="R332" s="28" t="s">
        <v>94</v>
      </c>
      <c r="S332" s="54" t="s">
        <v>35</v>
      </c>
      <c r="T332" s="34" t="s">
        <v>36</v>
      </c>
      <c r="U332" s="34"/>
    </row>
    <row r="333" spans="2:21">
      <c r="B333" s="16" t="s">
        <v>47</v>
      </c>
      <c r="C333" s="46" t="s">
        <v>28</v>
      </c>
      <c r="D333" s="47">
        <v>44722</v>
      </c>
      <c r="F333" s="34"/>
      <c r="G333" s="46"/>
      <c r="H333" s="34"/>
      <c r="I333" s="34"/>
      <c r="K333" s="39" t="s">
        <v>1418</v>
      </c>
      <c r="L333" s="16" t="s">
        <v>1419</v>
      </c>
      <c r="M333" s="34" t="s">
        <v>31</v>
      </c>
      <c r="N333" s="34"/>
      <c r="O333" s="34"/>
      <c r="P333" s="34"/>
      <c r="Q333" s="34" t="s">
        <v>33</v>
      </c>
      <c r="R333" s="28" t="s">
        <v>94</v>
      </c>
      <c r="S333" s="54" t="s">
        <v>35</v>
      </c>
      <c r="T333" s="34" t="s">
        <v>36</v>
      </c>
      <c r="U333" s="34"/>
    </row>
    <row r="334" spans="2:21">
      <c r="B334" s="16" t="s">
        <v>47</v>
      </c>
      <c r="C334" s="46" t="s">
        <v>28</v>
      </c>
      <c r="D334" s="47">
        <v>44722</v>
      </c>
      <c r="F334" s="34"/>
      <c r="G334" s="46"/>
      <c r="H334" s="34"/>
      <c r="I334" s="34"/>
      <c r="K334" s="39" t="s">
        <v>1420</v>
      </c>
      <c r="L334" s="16" t="s">
        <v>1421</v>
      </c>
      <c r="M334" s="34" t="s">
        <v>31</v>
      </c>
      <c r="N334" s="34"/>
      <c r="O334" s="34"/>
      <c r="P334" s="34"/>
      <c r="Q334" s="34" t="s">
        <v>33</v>
      </c>
      <c r="R334" s="28" t="s">
        <v>94</v>
      </c>
      <c r="S334" s="54" t="s">
        <v>35</v>
      </c>
      <c r="T334" s="34" t="s">
        <v>36</v>
      </c>
      <c r="U334" s="34"/>
    </row>
    <row r="335" spans="2:21">
      <c r="B335" s="16" t="s">
        <v>47</v>
      </c>
      <c r="C335" s="46" t="s">
        <v>28</v>
      </c>
      <c r="D335" s="47">
        <v>44764</v>
      </c>
      <c r="F335" s="34"/>
      <c r="G335" s="46"/>
      <c r="H335" s="34"/>
      <c r="I335" s="34"/>
      <c r="K335" s="39" t="s">
        <v>1422</v>
      </c>
      <c r="L335" s="16" t="s">
        <v>1423</v>
      </c>
      <c r="M335" s="34" t="s">
        <v>31</v>
      </c>
      <c r="N335" s="34"/>
      <c r="O335" s="34"/>
      <c r="P335" s="34"/>
      <c r="Q335" s="34" t="s">
        <v>33</v>
      </c>
      <c r="R335" s="28" t="s">
        <v>94</v>
      </c>
      <c r="S335" s="54" t="s">
        <v>35</v>
      </c>
      <c r="T335" s="34" t="s">
        <v>36</v>
      </c>
      <c r="U335" s="34"/>
    </row>
    <row r="336" spans="2:21">
      <c r="B336" s="16" t="s">
        <v>47</v>
      </c>
      <c r="C336" s="46" t="s">
        <v>28</v>
      </c>
      <c r="D336" s="47">
        <v>44792</v>
      </c>
      <c r="F336" s="34"/>
      <c r="G336" s="46"/>
      <c r="H336" s="34"/>
      <c r="I336" s="34"/>
      <c r="K336" s="39" t="s">
        <v>1424</v>
      </c>
      <c r="L336" s="16" t="s">
        <v>1425</v>
      </c>
      <c r="M336" s="34" t="s">
        <v>31</v>
      </c>
      <c r="N336" s="34"/>
      <c r="O336" s="34"/>
      <c r="P336" s="34"/>
      <c r="Q336" s="34" t="s">
        <v>33</v>
      </c>
      <c r="R336" s="28" t="s">
        <v>94</v>
      </c>
      <c r="S336" s="54" t="s">
        <v>35</v>
      </c>
      <c r="T336" s="34" t="s">
        <v>36</v>
      </c>
      <c r="U336" s="34"/>
    </row>
    <row r="337" spans="2:21">
      <c r="B337" s="16" t="s">
        <v>47</v>
      </c>
      <c r="C337" s="46" t="s">
        <v>28</v>
      </c>
      <c r="D337" s="47">
        <v>44792</v>
      </c>
      <c r="F337" s="34"/>
      <c r="G337" s="46"/>
      <c r="H337" s="34"/>
      <c r="I337" s="34"/>
      <c r="K337" s="39" t="s">
        <v>1426</v>
      </c>
      <c r="L337" s="16" t="s">
        <v>1427</v>
      </c>
      <c r="M337" s="34" t="s">
        <v>31</v>
      </c>
      <c r="N337" s="34"/>
      <c r="O337" s="34"/>
      <c r="P337" s="34"/>
      <c r="Q337" s="34" t="s">
        <v>33</v>
      </c>
      <c r="R337" s="28" t="s">
        <v>94</v>
      </c>
      <c r="S337" s="54" t="s">
        <v>35</v>
      </c>
      <c r="T337" s="34" t="s">
        <v>36</v>
      </c>
      <c r="U337" s="34"/>
    </row>
    <row r="338" spans="2:21">
      <c r="B338" s="21" t="s">
        <v>47</v>
      </c>
      <c r="C338" s="31" t="s">
        <v>28</v>
      </c>
      <c r="D338" s="29">
        <v>44848</v>
      </c>
      <c r="E338" s="23"/>
      <c r="F338" s="54"/>
      <c r="G338" s="31"/>
      <c r="H338" s="54"/>
      <c r="I338" s="54"/>
      <c r="J338" s="23"/>
      <c r="K338" s="22" t="s">
        <v>1428</v>
      </c>
      <c r="L338" s="21" t="s">
        <v>1429</v>
      </c>
      <c r="M338" s="34" t="s">
        <v>31</v>
      </c>
      <c r="N338" s="34"/>
      <c r="O338" s="34"/>
      <c r="P338" s="34"/>
      <c r="Q338" s="34" t="s">
        <v>33</v>
      </c>
      <c r="R338" s="28" t="s">
        <v>94</v>
      </c>
      <c r="S338" s="54" t="s">
        <v>35</v>
      </c>
      <c r="T338" s="34" t="s">
        <v>36</v>
      </c>
      <c r="U338" s="34"/>
    </row>
    <row r="339" spans="2:21">
      <c r="B339" s="21" t="s">
        <v>47</v>
      </c>
      <c r="C339" s="31" t="s">
        <v>28</v>
      </c>
      <c r="D339" s="29">
        <v>44848</v>
      </c>
      <c r="E339" s="23"/>
      <c r="F339" s="54"/>
      <c r="G339" s="31"/>
      <c r="H339" s="54"/>
      <c r="I339" s="54"/>
      <c r="J339" s="23"/>
      <c r="K339" s="22" t="s">
        <v>1430</v>
      </c>
      <c r="L339" s="21" t="s">
        <v>1431</v>
      </c>
      <c r="M339" s="34" t="s">
        <v>31</v>
      </c>
      <c r="N339" s="34"/>
      <c r="O339" s="34"/>
      <c r="P339" s="34"/>
      <c r="Q339" s="34" t="s">
        <v>33</v>
      </c>
      <c r="R339" s="28" t="s">
        <v>94</v>
      </c>
      <c r="S339" s="54" t="s">
        <v>35</v>
      </c>
      <c r="T339" s="34" t="s">
        <v>36</v>
      </c>
      <c r="U339" s="34"/>
    </row>
    <row r="340" spans="2:21">
      <c r="B340" s="16" t="s">
        <v>47</v>
      </c>
      <c r="C340" s="46" t="s">
        <v>28</v>
      </c>
      <c r="D340" s="47">
        <v>44848</v>
      </c>
      <c r="F340" s="34"/>
      <c r="G340" s="46"/>
      <c r="H340" s="34"/>
      <c r="I340" s="34"/>
      <c r="K340" s="39" t="s">
        <v>1432</v>
      </c>
      <c r="L340" s="16" t="s">
        <v>1433</v>
      </c>
      <c r="M340" s="34" t="s">
        <v>31</v>
      </c>
      <c r="N340" s="34"/>
      <c r="O340" s="34"/>
      <c r="P340" s="34"/>
      <c r="Q340" s="34" t="s">
        <v>33</v>
      </c>
      <c r="R340" s="28" t="s">
        <v>94</v>
      </c>
      <c r="S340" s="54" t="s">
        <v>35</v>
      </c>
      <c r="T340" s="34" t="s">
        <v>36</v>
      </c>
      <c r="U340" s="34"/>
    </row>
    <row r="341" spans="2:21">
      <c r="B341" s="16" t="s">
        <v>47</v>
      </c>
      <c r="C341" s="46" t="s">
        <v>28</v>
      </c>
      <c r="D341" s="47">
        <v>44862</v>
      </c>
      <c r="F341" s="34"/>
      <c r="G341" s="46"/>
      <c r="H341" s="34"/>
      <c r="I341" s="34"/>
      <c r="K341" s="39" t="s">
        <v>1434</v>
      </c>
      <c r="L341" s="16" t="s">
        <v>1435</v>
      </c>
      <c r="M341" s="34" t="s">
        <v>31</v>
      </c>
      <c r="N341" s="34"/>
      <c r="O341" s="34"/>
      <c r="P341" s="34"/>
      <c r="Q341" s="34" t="s">
        <v>33</v>
      </c>
      <c r="R341" s="28" t="s">
        <v>94</v>
      </c>
      <c r="S341" s="54" t="s">
        <v>35</v>
      </c>
      <c r="T341" s="34" t="s">
        <v>36</v>
      </c>
      <c r="U341" s="34"/>
    </row>
    <row r="342" spans="2:21">
      <c r="B342" s="21" t="s">
        <v>47</v>
      </c>
      <c r="C342" s="31" t="s">
        <v>28</v>
      </c>
      <c r="D342" s="29">
        <v>44869</v>
      </c>
      <c r="E342" s="23"/>
      <c r="F342" s="54"/>
      <c r="G342" s="31"/>
      <c r="H342" s="54"/>
      <c r="I342" s="54"/>
      <c r="J342" s="23"/>
      <c r="K342" s="22" t="s">
        <v>1436</v>
      </c>
      <c r="L342" s="21" t="s">
        <v>1437</v>
      </c>
      <c r="M342" s="34" t="s">
        <v>31</v>
      </c>
      <c r="N342" s="34"/>
      <c r="O342" s="34"/>
      <c r="P342" s="34"/>
      <c r="Q342" s="34" t="s">
        <v>33</v>
      </c>
      <c r="R342" s="28" t="s">
        <v>94</v>
      </c>
      <c r="S342" s="54" t="s">
        <v>35</v>
      </c>
      <c r="T342" s="34" t="s">
        <v>36</v>
      </c>
      <c r="U342" s="34"/>
    </row>
    <row r="343" spans="2:21">
      <c r="B343" s="21" t="s">
        <v>47</v>
      </c>
      <c r="C343" s="31" t="s">
        <v>28</v>
      </c>
      <c r="D343" s="29">
        <v>44869</v>
      </c>
      <c r="E343" s="23"/>
      <c r="F343" s="54"/>
      <c r="G343" s="31"/>
      <c r="H343" s="54"/>
      <c r="I343" s="54"/>
      <c r="J343" s="23"/>
      <c r="K343" s="22" t="s">
        <v>1438</v>
      </c>
      <c r="L343" s="21" t="s">
        <v>1439</v>
      </c>
      <c r="M343" s="34" t="s">
        <v>31</v>
      </c>
      <c r="N343" s="34"/>
      <c r="O343" s="34"/>
      <c r="P343" s="34"/>
      <c r="Q343" s="34" t="s">
        <v>33</v>
      </c>
      <c r="R343" s="28" t="s">
        <v>94</v>
      </c>
      <c r="S343" s="54" t="s">
        <v>35</v>
      </c>
      <c r="T343" s="34" t="s">
        <v>36</v>
      </c>
      <c r="U343" s="34"/>
    </row>
    <row r="344" spans="2:21">
      <c r="B344" s="16" t="s">
        <v>47</v>
      </c>
      <c r="C344" s="46" t="s">
        <v>28</v>
      </c>
      <c r="D344" s="47">
        <v>44883</v>
      </c>
      <c r="F344" s="34"/>
      <c r="G344" s="46"/>
      <c r="H344" s="34"/>
      <c r="I344" s="34"/>
      <c r="K344" s="39">
        <v>2219608</v>
      </c>
      <c r="L344" s="16" t="s">
        <v>1440</v>
      </c>
      <c r="M344" s="34" t="s">
        <v>31</v>
      </c>
      <c r="N344" s="34"/>
      <c r="O344" s="34"/>
      <c r="P344" s="34"/>
      <c r="Q344" s="34" t="s">
        <v>33</v>
      </c>
      <c r="R344" s="28" t="s">
        <v>94</v>
      </c>
      <c r="S344" s="54" t="s">
        <v>35</v>
      </c>
      <c r="T344" s="34" t="s">
        <v>36</v>
      </c>
      <c r="U344" s="34" t="s">
        <v>1441</v>
      </c>
    </row>
    <row r="345" spans="2:21">
      <c r="B345" s="16" t="s">
        <v>47</v>
      </c>
      <c r="C345" s="46" t="s">
        <v>28</v>
      </c>
      <c r="D345" s="47">
        <v>44883</v>
      </c>
      <c r="F345" s="34"/>
      <c r="G345" s="46"/>
      <c r="H345" s="34"/>
      <c r="I345" s="34"/>
      <c r="K345" s="39">
        <v>2234205</v>
      </c>
      <c r="L345" s="16" t="s">
        <v>1442</v>
      </c>
      <c r="M345" s="34" t="s">
        <v>31</v>
      </c>
      <c r="N345" s="34"/>
      <c r="O345" s="34"/>
      <c r="P345" s="34"/>
      <c r="Q345" s="34" t="s">
        <v>33</v>
      </c>
      <c r="R345" s="28" t="s">
        <v>94</v>
      </c>
      <c r="S345" s="54" t="s">
        <v>35</v>
      </c>
      <c r="T345" s="34" t="s">
        <v>36</v>
      </c>
      <c r="U345" s="34" t="s">
        <v>1441</v>
      </c>
    </row>
    <row r="346" spans="2:21">
      <c r="B346" s="16" t="s">
        <v>47</v>
      </c>
      <c r="C346" s="46" t="s">
        <v>28</v>
      </c>
      <c r="D346" s="47">
        <v>44883</v>
      </c>
      <c r="F346" s="34"/>
      <c r="G346" s="46"/>
      <c r="H346" s="34"/>
      <c r="I346" s="34"/>
      <c r="K346" s="39">
        <v>2013613</v>
      </c>
      <c r="L346" s="16" t="s">
        <v>1443</v>
      </c>
      <c r="M346" s="34" t="s">
        <v>31</v>
      </c>
      <c r="N346" s="34"/>
      <c r="O346" s="34"/>
      <c r="P346" s="34"/>
      <c r="Q346" s="34" t="s">
        <v>33</v>
      </c>
      <c r="R346" s="28" t="s">
        <v>94</v>
      </c>
      <c r="S346" s="54" t="s">
        <v>35</v>
      </c>
      <c r="T346" s="34" t="s">
        <v>36</v>
      </c>
      <c r="U346" s="34" t="s">
        <v>1441</v>
      </c>
    </row>
    <row r="347" spans="2:21">
      <c r="B347" s="16" t="s">
        <v>47</v>
      </c>
      <c r="C347" s="46" t="s">
        <v>28</v>
      </c>
      <c r="D347" s="47">
        <v>44883</v>
      </c>
      <c r="F347" s="34"/>
      <c r="G347" s="46"/>
      <c r="H347" s="34"/>
      <c r="I347" s="34"/>
      <c r="K347" s="39">
        <v>2013614</v>
      </c>
      <c r="L347" s="16" t="s">
        <v>1444</v>
      </c>
      <c r="M347" s="34" t="s">
        <v>31</v>
      </c>
      <c r="N347" s="34"/>
      <c r="O347" s="34"/>
      <c r="P347" s="34"/>
      <c r="Q347" s="34" t="s">
        <v>33</v>
      </c>
      <c r="R347" s="28" t="s">
        <v>94</v>
      </c>
      <c r="S347" s="54" t="s">
        <v>35</v>
      </c>
      <c r="T347" s="34" t="s">
        <v>36</v>
      </c>
      <c r="U347" s="34" t="s">
        <v>1441</v>
      </c>
    </row>
    <row r="348" spans="2:21">
      <c r="B348" s="16" t="s">
        <v>47</v>
      </c>
      <c r="C348" s="46" t="s">
        <v>28</v>
      </c>
      <c r="D348" s="47">
        <v>44883</v>
      </c>
      <c r="F348" s="34"/>
      <c r="G348" s="46"/>
      <c r="H348" s="34"/>
      <c r="I348" s="34"/>
      <c r="K348" s="39">
        <v>1443002</v>
      </c>
      <c r="L348" s="16" t="s">
        <v>1445</v>
      </c>
      <c r="M348" s="34" t="s">
        <v>31</v>
      </c>
      <c r="N348" s="34"/>
      <c r="O348" s="34"/>
      <c r="P348" s="34"/>
      <c r="Q348" s="34" t="s">
        <v>33</v>
      </c>
      <c r="R348" s="28" t="s">
        <v>94</v>
      </c>
      <c r="S348" s="54" t="s">
        <v>35</v>
      </c>
      <c r="T348" s="34" t="s">
        <v>36</v>
      </c>
      <c r="U348" s="34" t="s">
        <v>1446</v>
      </c>
    </row>
    <row r="349" spans="2:21">
      <c r="B349" s="16" t="s">
        <v>47</v>
      </c>
      <c r="C349" s="46" t="s">
        <v>28</v>
      </c>
      <c r="D349" s="47">
        <v>44883</v>
      </c>
      <c r="F349" s="34"/>
      <c r="G349" s="46"/>
      <c r="H349" s="34"/>
      <c r="I349" s="34"/>
      <c r="K349" s="39">
        <v>2234204</v>
      </c>
      <c r="L349" s="16" t="s">
        <v>1447</v>
      </c>
      <c r="M349" s="34" t="s">
        <v>31</v>
      </c>
      <c r="N349" s="34"/>
      <c r="O349" s="34"/>
      <c r="P349" s="34"/>
      <c r="Q349" s="34" t="s">
        <v>33</v>
      </c>
      <c r="R349" s="28" t="s">
        <v>94</v>
      </c>
      <c r="S349" s="54" t="s">
        <v>35</v>
      </c>
      <c r="T349" s="34" t="s">
        <v>36</v>
      </c>
      <c r="U349" s="34" t="s">
        <v>1446</v>
      </c>
    </row>
    <row r="350" spans="2:21">
      <c r="B350" s="16" t="s">
        <v>47</v>
      </c>
      <c r="C350" s="46" t="s">
        <v>28</v>
      </c>
      <c r="D350" s="47">
        <v>44890</v>
      </c>
      <c r="F350" s="34"/>
      <c r="G350" s="46"/>
      <c r="H350" s="34"/>
      <c r="I350" s="34"/>
      <c r="K350" s="39">
        <v>2109310</v>
      </c>
      <c r="L350" s="16" t="s">
        <v>1448</v>
      </c>
      <c r="M350" s="34" t="s">
        <v>31</v>
      </c>
      <c r="N350" s="34"/>
      <c r="O350" s="34"/>
      <c r="P350" s="34"/>
      <c r="Q350" s="34" t="s">
        <v>33</v>
      </c>
      <c r="R350" s="28" t="s">
        <v>94</v>
      </c>
      <c r="S350" s="54" t="s">
        <v>35</v>
      </c>
      <c r="T350" s="34" t="s">
        <v>36</v>
      </c>
      <c r="U350" s="34" t="s">
        <v>1446</v>
      </c>
    </row>
    <row r="351" spans="2:21">
      <c r="B351" s="16" t="s">
        <v>47</v>
      </c>
      <c r="C351" s="46" t="s">
        <v>28</v>
      </c>
      <c r="D351" s="47">
        <v>44890</v>
      </c>
      <c r="F351" s="34"/>
      <c r="G351" s="46"/>
      <c r="H351" s="34"/>
      <c r="I351" s="34"/>
      <c r="K351" s="39">
        <v>2109309</v>
      </c>
      <c r="L351" s="16" t="s">
        <v>1449</v>
      </c>
      <c r="M351" s="34" t="s">
        <v>31</v>
      </c>
      <c r="N351" s="34"/>
      <c r="O351" s="34"/>
      <c r="P351" s="34"/>
      <c r="Q351" s="34" t="s">
        <v>33</v>
      </c>
      <c r="R351" s="28" t="s">
        <v>94</v>
      </c>
      <c r="S351" s="54" t="s">
        <v>35</v>
      </c>
      <c r="T351" s="34" t="s">
        <v>36</v>
      </c>
      <c r="U351" s="34" t="s">
        <v>1446</v>
      </c>
    </row>
    <row r="352" spans="2:21">
      <c r="B352" s="16" t="s">
        <v>47</v>
      </c>
      <c r="C352" s="46" t="s">
        <v>28</v>
      </c>
      <c r="D352" s="47">
        <v>44890</v>
      </c>
      <c r="F352" s="34"/>
      <c r="G352" s="46"/>
      <c r="H352" s="34"/>
      <c r="I352" s="34"/>
      <c r="K352" s="39">
        <v>2219609</v>
      </c>
      <c r="L352" s="16" t="s">
        <v>1450</v>
      </c>
      <c r="M352" s="34" t="s">
        <v>31</v>
      </c>
      <c r="N352" s="34"/>
      <c r="O352" s="34"/>
      <c r="P352" s="34"/>
      <c r="Q352" s="34" t="s">
        <v>33</v>
      </c>
      <c r="R352" s="28" t="s">
        <v>94</v>
      </c>
      <c r="S352" s="54" t="s">
        <v>35</v>
      </c>
      <c r="T352" s="34" t="s">
        <v>36</v>
      </c>
      <c r="U352" s="34" t="s">
        <v>1446</v>
      </c>
    </row>
    <row r="353" spans="2:21">
      <c r="B353" s="16" t="s">
        <v>47</v>
      </c>
      <c r="C353" s="46" t="s">
        <v>28</v>
      </c>
      <c r="D353" s="47">
        <v>44890</v>
      </c>
      <c r="F353" s="34"/>
      <c r="G353" s="46"/>
      <c r="H353" s="34"/>
      <c r="I353" s="34"/>
      <c r="K353" s="39">
        <v>2109311</v>
      </c>
      <c r="L353" s="16" t="s">
        <v>1451</v>
      </c>
      <c r="M353" s="34" t="s">
        <v>31</v>
      </c>
      <c r="N353" s="34"/>
      <c r="O353" s="34"/>
      <c r="P353" s="34"/>
      <c r="Q353" s="34" t="s">
        <v>33</v>
      </c>
      <c r="R353" s="28" t="s">
        <v>94</v>
      </c>
      <c r="S353" s="54" t="s">
        <v>35</v>
      </c>
      <c r="T353" s="34" t="s">
        <v>36</v>
      </c>
      <c r="U353" s="34" t="s">
        <v>637</v>
      </c>
    </row>
    <row r="354" spans="2:21">
      <c r="B354" s="16" t="s">
        <v>47</v>
      </c>
      <c r="C354" s="46" t="s">
        <v>28</v>
      </c>
      <c r="D354" s="47">
        <v>44890</v>
      </c>
      <c r="F354" s="34"/>
      <c r="G354" s="46"/>
      <c r="H354" s="34"/>
      <c r="I354" s="34"/>
      <c r="K354" s="39">
        <v>2013615</v>
      </c>
      <c r="L354" s="16" t="s">
        <v>1452</v>
      </c>
      <c r="M354" s="34" t="s">
        <v>31</v>
      </c>
      <c r="N354" s="34"/>
      <c r="O354" s="34"/>
      <c r="P354" s="34"/>
      <c r="Q354" s="34" t="s">
        <v>33</v>
      </c>
      <c r="R354" s="34" t="s">
        <v>94</v>
      </c>
      <c r="S354" s="34" t="s">
        <v>35</v>
      </c>
      <c r="T354" s="34" t="s">
        <v>36</v>
      </c>
      <c r="U354" s="34" t="s">
        <v>1446</v>
      </c>
    </row>
    <row r="355" spans="2:21">
      <c r="B355" s="16" t="s">
        <v>47</v>
      </c>
      <c r="C355" s="46" t="s">
        <v>28</v>
      </c>
      <c r="D355" s="47">
        <v>44897</v>
      </c>
      <c r="F355" s="34"/>
      <c r="G355" s="46"/>
      <c r="H355" s="34"/>
      <c r="I355" s="34"/>
      <c r="K355" s="39">
        <v>2219610</v>
      </c>
      <c r="L355" s="16" t="s">
        <v>1453</v>
      </c>
      <c r="M355" s="34" t="s">
        <v>31</v>
      </c>
      <c r="N355" s="34"/>
      <c r="O355" s="34"/>
      <c r="P355" s="34"/>
      <c r="Q355" s="34" t="s">
        <v>33</v>
      </c>
      <c r="R355" s="34" t="s">
        <v>94</v>
      </c>
      <c r="S355" s="34" t="s">
        <v>35</v>
      </c>
      <c r="T355" s="34" t="s">
        <v>36</v>
      </c>
      <c r="U355" s="34" t="s">
        <v>1441</v>
      </c>
    </row>
    <row r="356" spans="2:21">
      <c r="B356" s="16" t="s">
        <v>47</v>
      </c>
      <c r="C356" s="46" t="s">
        <v>28</v>
      </c>
      <c r="D356" s="47">
        <v>44897</v>
      </c>
      <c r="F356" s="34"/>
      <c r="G356" s="46"/>
      <c r="H356" s="34"/>
      <c r="I356" s="34"/>
      <c r="K356" s="39">
        <v>2234206</v>
      </c>
      <c r="L356" s="16" t="s">
        <v>1454</v>
      </c>
      <c r="M356" s="34" t="s">
        <v>31</v>
      </c>
      <c r="N356" s="34"/>
      <c r="O356" s="34"/>
      <c r="P356" s="34"/>
      <c r="Q356" s="34" t="s">
        <v>33</v>
      </c>
      <c r="R356" s="28" t="s">
        <v>94</v>
      </c>
      <c r="S356" s="54" t="s">
        <v>35</v>
      </c>
      <c r="T356" s="34" t="s">
        <v>36</v>
      </c>
      <c r="U356" s="34" t="s">
        <v>1441</v>
      </c>
    </row>
    <row r="357" spans="2:21">
      <c r="B357" s="16" t="s">
        <v>47</v>
      </c>
      <c r="C357" s="46" t="s">
        <v>28</v>
      </c>
      <c r="D357" s="47">
        <v>44911</v>
      </c>
      <c r="F357" s="34"/>
      <c r="G357" s="46"/>
      <c r="H357" s="34"/>
      <c r="I357" s="34"/>
      <c r="K357" s="39">
        <v>2389302</v>
      </c>
      <c r="L357" s="16" t="s">
        <v>1455</v>
      </c>
      <c r="M357" s="34" t="s">
        <v>31</v>
      </c>
      <c r="N357" s="34"/>
      <c r="O357" s="34"/>
      <c r="P357" s="34"/>
      <c r="Q357" s="34" t="s">
        <v>33</v>
      </c>
      <c r="R357" s="34" t="s">
        <v>94</v>
      </c>
      <c r="S357" s="34" t="s">
        <v>35</v>
      </c>
      <c r="T357" s="34" t="s">
        <v>36</v>
      </c>
      <c r="U357" s="34"/>
    </row>
    <row r="358" spans="2:21">
      <c r="B358" s="16" t="s">
        <v>47</v>
      </c>
      <c r="C358" s="46" t="s">
        <v>28</v>
      </c>
      <c r="D358" s="47">
        <v>44911</v>
      </c>
      <c r="F358" s="34"/>
      <c r="G358" s="46"/>
      <c r="H358" s="34"/>
      <c r="I358" s="34"/>
      <c r="K358" s="39">
        <v>1318203</v>
      </c>
      <c r="L358" s="16" t="s">
        <v>1456</v>
      </c>
      <c r="M358" s="34" t="s">
        <v>31</v>
      </c>
      <c r="N358" s="34"/>
      <c r="O358" s="34"/>
      <c r="P358" s="34"/>
      <c r="Q358" s="34" t="s">
        <v>33</v>
      </c>
      <c r="R358" s="34" t="s">
        <v>94</v>
      </c>
      <c r="S358" s="34" t="s">
        <v>35</v>
      </c>
      <c r="T358" s="34" t="s">
        <v>36</v>
      </c>
      <c r="U358" s="34"/>
    </row>
    <row r="359" spans="2:21">
      <c r="B359" s="16" t="s">
        <v>47</v>
      </c>
      <c r="C359" s="46" t="s">
        <v>28</v>
      </c>
      <c r="D359" s="47">
        <v>44911</v>
      </c>
      <c r="F359" s="34"/>
      <c r="G359" s="46"/>
      <c r="H359" s="34"/>
      <c r="I359" s="34"/>
      <c r="K359" s="39">
        <v>1318202</v>
      </c>
      <c r="L359" s="16" t="s">
        <v>1457</v>
      </c>
      <c r="M359" s="34" t="s">
        <v>31</v>
      </c>
      <c r="N359" s="34"/>
      <c r="O359" s="34"/>
      <c r="P359" s="34"/>
      <c r="Q359" s="34" t="s">
        <v>33</v>
      </c>
      <c r="R359" s="34" t="s">
        <v>94</v>
      </c>
      <c r="S359" s="34" t="s">
        <v>35</v>
      </c>
      <c r="T359" s="34" t="s">
        <v>36</v>
      </c>
      <c r="U359" s="34"/>
    </row>
    <row r="360" spans="2:21">
      <c r="B360" s="16" t="s">
        <v>47</v>
      </c>
      <c r="C360" s="46" t="s">
        <v>28</v>
      </c>
      <c r="D360" s="47">
        <v>44911</v>
      </c>
      <c r="F360" s="34"/>
      <c r="G360" s="46"/>
      <c r="H360" s="34"/>
      <c r="I360" s="34"/>
      <c r="K360" s="39">
        <v>2466301</v>
      </c>
      <c r="L360" s="16" t="s">
        <v>1458</v>
      </c>
      <c r="M360" s="34" t="s">
        <v>31</v>
      </c>
      <c r="N360" s="34"/>
      <c r="O360" s="34"/>
      <c r="P360" s="34"/>
      <c r="Q360" s="34" t="s">
        <v>33</v>
      </c>
      <c r="R360" s="34" t="s">
        <v>94</v>
      </c>
      <c r="S360" s="34" t="s">
        <v>35</v>
      </c>
      <c r="T360" s="34" t="s">
        <v>36</v>
      </c>
      <c r="U360" s="34"/>
    </row>
    <row r="361" spans="2:21">
      <c r="B361" s="16" t="s">
        <v>47</v>
      </c>
      <c r="C361" s="46" t="s">
        <v>28</v>
      </c>
      <c r="D361" s="47">
        <v>44911</v>
      </c>
      <c r="F361" s="34"/>
      <c r="G361" s="46"/>
      <c r="H361" s="34"/>
      <c r="I361" s="34"/>
      <c r="K361" s="39">
        <v>1318205</v>
      </c>
      <c r="L361" s="16" t="s">
        <v>1459</v>
      </c>
      <c r="M361" s="34" t="s">
        <v>31</v>
      </c>
      <c r="N361" s="34"/>
      <c r="O361" s="34"/>
      <c r="P361" s="34"/>
      <c r="Q361" s="34" t="s">
        <v>33</v>
      </c>
      <c r="R361" s="34" t="s">
        <v>94</v>
      </c>
      <c r="S361" s="34" t="s">
        <v>35</v>
      </c>
      <c r="T361" s="34" t="s">
        <v>36</v>
      </c>
      <c r="U361" s="34"/>
    </row>
    <row r="362" spans="2:21">
      <c r="B362" s="16" t="s">
        <v>47</v>
      </c>
      <c r="C362" s="46" t="s">
        <v>28</v>
      </c>
      <c r="D362" s="47">
        <v>44911</v>
      </c>
      <c r="F362" s="34"/>
      <c r="G362" s="46"/>
      <c r="H362" s="34"/>
      <c r="I362" s="34"/>
      <c r="K362" s="39">
        <v>1318204</v>
      </c>
      <c r="L362" s="16" t="s">
        <v>1460</v>
      </c>
      <c r="M362" s="34" t="s">
        <v>31</v>
      </c>
      <c r="N362" s="34"/>
      <c r="O362" s="34"/>
      <c r="P362" s="34"/>
      <c r="Q362" s="34" t="s">
        <v>33</v>
      </c>
      <c r="R362" s="34" t="s">
        <v>94</v>
      </c>
      <c r="S362" s="34" t="s">
        <v>35</v>
      </c>
      <c r="T362" s="111" t="s">
        <v>36</v>
      </c>
      <c r="U362" s="34"/>
    </row>
    <row r="363" spans="2:21">
      <c r="B363" s="16" t="s">
        <v>47</v>
      </c>
      <c r="C363" s="46" t="s">
        <v>28</v>
      </c>
      <c r="D363" s="47">
        <v>44911</v>
      </c>
      <c r="F363" s="34"/>
      <c r="G363" s="46"/>
      <c r="H363" s="34"/>
      <c r="I363" s="34"/>
      <c r="K363" s="39">
        <v>2236602</v>
      </c>
      <c r="L363" s="16" t="s">
        <v>1461</v>
      </c>
      <c r="M363" s="34" t="s">
        <v>31</v>
      </c>
      <c r="N363" s="34"/>
      <c r="O363" s="34"/>
      <c r="P363" s="34"/>
      <c r="Q363" s="34" t="s">
        <v>33</v>
      </c>
      <c r="R363" s="34" t="s">
        <v>94</v>
      </c>
      <c r="S363" s="34" t="s">
        <v>35</v>
      </c>
      <c r="T363" s="34" t="s">
        <v>36</v>
      </c>
      <c r="U363" s="34"/>
    </row>
    <row r="364" spans="2:21">
      <c r="B364" s="16" t="s">
        <v>47</v>
      </c>
      <c r="C364" s="46" t="s">
        <v>28</v>
      </c>
      <c r="D364" s="47">
        <v>44911</v>
      </c>
      <c r="F364" s="34"/>
      <c r="G364" s="46"/>
      <c r="H364" s="34"/>
      <c r="I364" s="34"/>
      <c r="K364" s="39">
        <v>2219611</v>
      </c>
      <c r="L364" s="16" t="s">
        <v>1462</v>
      </c>
      <c r="M364" s="34" t="s">
        <v>31</v>
      </c>
      <c r="N364" s="34"/>
      <c r="O364" s="34"/>
      <c r="P364" s="34"/>
      <c r="Q364" s="34" t="s">
        <v>33</v>
      </c>
      <c r="R364" s="34" t="s">
        <v>94</v>
      </c>
      <c r="S364" s="34" t="s">
        <v>35</v>
      </c>
      <c r="T364" s="34" t="s">
        <v>36</v>
      </c>
      <c r="U364" s="34" t="s">
        <v>1446</v>
      </c>
    </row>
    <row r="365" spans="2:21">
      <c r="B365" s="16" t="s">
        <v>47</v>
      </c>
      <c r="C365" s="46" t="s">
        <v>28</v>
      </c>
      <c r="D365" s="47">
        <v>44911</v>
      </c>
      <c r="F365" s="34"/>
      <c r="G365" s="46"/>
      <c r="H365" s="34"/>
      <c r="I365" s="34"/>
      <c r="K365" s="39">
        <v>2234207</v>
      </c>
      <c r="L365" s="16" t="s">
        <v>1463</v>
      </c>
      <c r="M365" s="34" t="s">
        <v>31</v>
      </c>
      <c r="N365" s="34"/>
      <c r="O365" s="34"/>
      <c r="P365" s="34"/>
      <c r="Q365" s="34" t="s">
        <v>33</v>
      </c>
      <c r="R365" s="34" t="s">
        <v>94</v>
      </c>
      <c r="S365" s="34" t="s">
        <v>35</v>
      </c>
      <c r="T365" s="34" t="s">
        <v>36</v>
      </c>
      <c r="U365" s="34" t="s">
        <v>1446</v>
      </c>
    </row>
    <row r="366" spans="2:21">
      <c r="B366" s="16" t="s">
        <v>47</v>
      </c>
      <c r="C366" s="80" t="s">
        <v>28</v>
      </c>
      <c r="D366" s="47">
        <v>44911</v>
      </c>
      <c r="F366" s="34"/>
      <c r="G366" s="46"/>
      <c r="H366" s="34"/>
      <c r="I366" s="34"/>
      <c r="K366" s="39">
        <v>2234208</v>
      </c>
      <c r="L366" s="16" t="s">
        <v>1464</v>
      </c>
      <c r="M366" s="34" t="s">
        <v>31</v>
      </c>
      <c r="N366" s="34"/>
      <c r="O366" s="34"/>
      <c r="P366" s="34"/>
      <c r="Q366" s="34" t="s">
        <v>33</v>
      </c>
      <c r="R366" s="38" t="s">
        <v>94</v>
      </c>
      <c r="S366" s="38" t="s">
        <v>35</v>
      </c>
      <c r="T366" s="38" t="s">
        <v>36</v>
      </c>
      <c r="U366" s="34" t="s">
        <v>637</v>
      </c>
    </row>
    <row r="367" spans="2:21">
      <c r="B367" s="16" t="s">
        <v>47</v>
      </c>
      <c r="C367" s="46" t="s">
        <v>28</v>
      </c>
      <c r="D367" s="47">
        <v>44918</v>
      </c>
      <c r="F367" s="34"/>
      <c r="G367" s="46"/>
      <c r="H367" s="34"/>
      <c r="I367" s="34"/>
      <c r="K367" s="39">
        <v>2219612</v>
      </c>
      <c r="L367" s="16" t="s">
        <v>1465</v>
      </c>
      <c r="M367" s="34" t="s">
        <v>31</v>
      </c>
      <c r="N367" s="34"/>
      <c r="O367" s="34"/>
      <c r="P367" s="34"/>
      <c r="Q367" s="34" t="s">
        <v>33</v>
      </c>
      <c r="R367" s="34" t="s">
        <v>94</v>
      </c>
      <c r="S367" s="34" t="s">
        <v>35</v>
      </c>
      <c r="T367" s="34" t="s">
        <v>36</v>
      </c>
      <c r="U367" s="34" t="s">
        <v>1446</v>
      </c>
    </row>
    <row r="368" spans="2:21">
      <c r="B368" s="16" t="s">
        <v>47</v>
      </c>
      <c r="C368" s="46" t="s">
        <v>28</v>
      </c>
      <c r="D368" s="47">
        <v>44931</v>
      </c>
      <c r="F368" s="34"/>
      <c r="G368" s="46"/>
      <c r="H368" s="34"/>
      <c r="I368" s="34"/>
      <c r="K368" s="39">
        <v>2385103</v>
      </c>
      <c r="L368" s="16" t="s">
        <v>1466</v>
      </c>
      <c r="M368" s="34" t="s">
        <v>31</v>
      </c>
      <c r="N368" s="34"/>
      <c r="O368" s="34"/>
      <c r="P368" s="34"/>
      <c r="Q368" s="34" t="s">
        <v>33</v>
      </c>
      <c r="R368" s="34" t="s">
        <v>94</v>
      </c>
      <c r="S368" s="34" t="s">
        <v>35</v>
      </c>
      <c r="T368" s="34" t="s">
        <v>36</v>
      </c>
      <c r="U368" s="34"/>
    </row>
    <row r="369" spans="2:21">
      <c r="B369" s="16" t="s">
        <v>47</v>
      </c>
      <c r="C369" s="46" t="s">
        <v>28</v>
      </c>
      <c r="D369" s="47">
        <v>44931</v>
      </c>
      <c r="F369" s="34"/>
      <c r="G369" s="46"/>
      <c r="H369" s="34"/>
      <c r="I369" s="34"/>
      <c r="K369" s="39">
        <v>2385104</v>
      </c>
      <c r="L369" s="16" t="s">
        <v>1467</v>
      </c>
      <c r="M369" s="34" t="s">
        <v>31</v>
      </c>
      <c r="N369" s="34"/>
      <c r="O369" s="34"/>
      <c r="P369" s="34"/>
      <c r="Q369" s="34" t="s">
        <v>33</v>
      </c>
      <c r="R369" s="34" t="s">
        <v>94</v>
      </c>
      <c r="S369" s="34" t="s">
        <v>35</v>
      </c>
      <c r="T369" s="34" t="s">
        <v>36</v>
      </c>
      <c r="U369" s="34"/>
    </row>
    <row r="370" spans="2:21">
      <c r="B370" s="16" t="s">
        <v>47</v>
      </c>
      <c r="C370" s="46" t="s">
        <v>28</v>
      </c>
      <c r="D370" s="47">
        <v>44931</v>
      </c>
      <c r="F370" s="34"/>
      <c r="G370" s="46"/>
      <c r="H370" s="34"/>
      <c r="I370" s="34"/>
      <c r="K370" s="39">
        <v>2385105</v>
      </c>
      <c r="L370" s="16" t="s">
        <v>1468</v>
      </c>
      <c r="M370" s="34" t="s">
        <v>31</v>
      </c>
      <c r="N370" s="34"/>
      <c r="O370" s="34"/>
      <c r="P370" s="34"/>
      <c r="Q370" s="34" t="s">
        <v>33</v>
      </c>
      <c r="R370" s="34" t="s">
        <v>94</v>
      </c>
      <c r="S370" s="34" t="s">
        <v>35</v>
      </c>
      <c r="T370" s="34" t="s">
        <v>36</v>
      </c>
      <c r="U370" s="34"/>
    </row>
    <row r="371" spans="2:21">
      <c r="B371" s="16" t="s">
        <v>47</v>
      </c>
      <c r="C371" s="46" t="s">
        <v>28</v>
      </c>
      <c r="D371" s="47">
        <v>44931</v>
      </c>
      <c r="F371" s="34"/>
      <c r="G371" s="46"/>
      <c r="H371" s="34"/>
      <c r="I371" s="34"/>
      <c r="K371" s="39">
        <v>2385106</v>
      </c>
      <c r="L371" s="16" t="s">
        <v>1469</v>
      </c>
      <c r="M371" s="34" t="s">
        <v>31</v>
      </c>
      <c r="N371" s="34"/>
      <c r="O371" s="34"/>
      <c r="P371" s="34"/>
      <c r="Q371" s="34" t="s">
        <v>33</v>
      </c>
      <c r="R371" s="34" t="s">
        <v>94</v>
      </c>
      <c r="S371" s="34" t="s">
        <v>35</v>
      </c>
      <c r="T371" s="34" t="s">
        <v>36</v>
      </c>
      <c r="U371" s="34"/>
    </row>
    <row r="372" spans="2:21">
      <c r="B372" s="16" t="s">
        <v>47</v>
      </c>
      <c r="C372" s="46" t="s">
        <v>28</v>
      </c>
      <c r="D372" s="47">
        <v>44931</v>
      </c>
      <c r="F372" s="34"/>
      <c r="G372" s="46"/>
      <c r="H372" s="34"/>
      <c r="I372" s="34"/>
      <c r="K372" s="39">
        <v>2182103</v>
      </c>
      <c r="L372" s="16" t="s">
        <v>1470</v>
      </c>
      <c r="M372" s="34" t="s">
        <v>31</v>
      </c>
      <c r="N372" s="34"/>
      <c r="O372" s="34"/>
      <c r="P372" s="34"/>
      <c r="Q372" s="34" t="s">
        <v>33</v>
      </c>
      <c r="R372" s="34" t="s">
        <v>94</v>
      </c>
      <c r="S372" s="34" t="s">
        <v>35</v>
      </c>
      <c r="T372" s="34" t="s">
        <v>36</v>
      </c>
      <c r="U372" s="34"/>
    </row>
    <row r="373" spans="2:21">
      <c r="B373" s="16" t="s">
        <v>47</v>
      </c>
      <c r="C373" s="46" t="s">
        <v>28</v>
      </c>
      <c r="D373" s="47">
        <v>44931</v>
      </c>
      <c r="F373" s="34"/>
      <c r="G373" s="46"/>
      <c r="H373" s="34"/>
      <c r="I373" s="34"/>
      <c r="K373" s="39">
        <v>2182102</v>
      </c>
      <c r="L373" s="16" t="s">
        <v>1471</v>
      </c>
      <c r="M373" s="34" t="s">
        <v>31</v>
      </c>
      <c r="N373" s="34"/>
      <c r="O373" s="34"/>
      <c r="P373" s="34"/>
      <c r="Q373" s="34" t="s">
        <v>33</v>
      </c>
      <c r="R373" s="34" t="s">
        <v>94</v>
      </c>
      <c r="S373" s="34" t="s">
        <v>35</v>
      </c>
      <c r="T373" s="34" t="s">
        <v>36</v>
      </c>
      <c r="U373" s="34"/>
    </row>
    <row r="374" spans="2:21">
      <c r="B374" s="16" t="s">
        <v>47</v>
      </c>
      <c r="C374" s="46" t="s">
        <v>28</v>
      </c>
      <c r="D374" s="47">
        <v>44931</v>
      </c>
      <c r="F374" s="34"/>
      <c r="G374" s="46"/>
      <c r="H374" s="34"/>
      <c r="I374" s="34"/>
      <c r="K374" s="39">
        <v>2474301</v>
      </c>
      <c r="L374" s="16" t="s">
        <v>1472</v>
      </c>
      <c r="M374" s="34" t="s">
        <v>31</v>
      </c>
      <c r="N374" s="34"/>
      <c r="O374" s="34"/>
      <c r="P374" s="34"/>
      <c r="Q374" s="34" t="s">
        <v>33</v>
      </c>
      <c r="R374" s="34" t="s">
        <v>94</v>
      </c>
      <c r="S374" s="34" t="s">
        <v>35</v>
      </c>
      <c r="T374" s="34" t="s">
        <v>36</v>
      </c>
      <c r="U374" s="34"/>
    </row>
    <row r="375" spans="2:21">
      <c r="B375" s="16" t="s">
        <v>47</v>
      </c>
      <c r="C375" s="46" t="s">
        <v>28</v>
      </c>
      <c r="D375" s="47">
        <v>44931</v>
      </c>
      <c r="F375" s="34"/>
      <c r="G375" s="46"/>
      <c r="H375" s="34"/>
      <c r="I375" s="34"/>
      <c r="K375" s="39">
        <v>2474302</v>
      </c>
      <c r="L375" s="16" t="s">
        <v>1473</v>
      </c>
      <c r="M375" s="34" t="s">
        <v>31</v>
      </c>
      <c r="N375" s="34"/>
      <c r="O375" s="34"/>
      <c r="P375" s="34"/>
      <c r="Q375" s="34" t="s">
        <v>33</v>
      </c>
      <c r="R375" s="34" t="s">
        <v>94</v>
      </c>
      <c r="S375" s="34" t="s">
        <v>35</v>
      </c>
      <c r="T375" s="34" t="s">
        <v>36</v>
      </c>
      <c r="U375" s="34"/>
    </row>
    <row r="376" spans="2:21">
      <c r="B376" s="16" t="s">
        <v>47</v>
      </c>
      <c r="C376" s="46" t="s">
        <v>28</v>
      </c>
      <c r="D376" s="47">
        <v>44931</v>
      </c>
      <c r="F376" s="34"/>
      <c r="G376" s="46"/>
      <c r="H376" s="34"/>
      <c r="I376" s="34"/>
      <c r="K376" s="39">
        <v>2385107</v>
      </c>
      <c r="L376" s="16" t="s">
        <v>1474</v>
      </c>
      <c r="M376" s="34" t="s">
        <v>31</v>
      </c>
      <c r="N376" s="34"/>
      <c r="O376" s="34"/>
      <c r="P376" s="34"/>
      <c r="Q376" s="34" t="s">
        <v>33</v>
      </c>
      <c r="R376" s="34" t="s">
        <v>94</v>
      </c>
      <c r="S376" s="34" t="s">
        <v>35</v>
      </c>
      <c r="T376" s="34" t="s">
        <v>36</v>
      </c>
      <c r="U376" s="34"/>
    </row>
    <row r="377" spans="2:21">
      <c r="B377" s="16" t="s">
        <v>47</v>
      </c>
      <c r="C377" s="46" t="s">
        <v>28</v>
      </c>
      <c r="D377" s="47">
        <v>44931</v>
      </c>
      <c r="F377" s="34"/>
      <c r="G377" s="46"/>
      <c r="H377" s="34"/>
      <c r="I377" s="34"/>
      <c r="K377" s="39">
        <v>2385108</v>
      </c>
      <c r="L377" s="16" t="s">
        <v>1475</v>
      </c>
      <c r="M377" s="34" t="s">
        <v>31</v>
      </c>
      <c r="N377" s="34"/>
      <c r="O377" s="34"/>
      <c r="P377" s="34"/>
      <c r="Q377" s="34" t="s">
        <v>33</v>
      </c>
      <c r="R377" s="34" t="s">
        <v>94</v>
      </c>
      <c r="S377" s="34" t="s">
        <v>35</v>
      </c>
      <c r="T377" s="34" t="s">
        <v>36</v>
      </c>
      <c r="U377" s="34"/>
    </row>
    <row r="378" spans="2:21">
      <c r="B378" s="16" t="s">
        <v>47</v>
      </c>
      <c r="C378" s="46" t="s">
        <v>28</v>
      </c>
      <c r="D378" s="47">
        <v>44931</v>
      </c>
      <c r="F378" s="34"/>
      <c r="G378" s="46"/>
      <c r="H378" s="34"/>
      <c r="I378" s="34"/>
      <c r="K378" s="39">
        <v>2385109</v>
      </c>
      <c r="L378" s="16" t="s">
        <v>1476</v>
      </c>
      <c r="M378" s="34" t="s">
        <v>31</v>
      </c>
      <c r="N378" s="34"/>
      <c r="O378" s="34"/>
      <c r="P378" s="34"/>
      <c r="Q378" s="34" t="s">
        <v>33</v>
      </c>
      <c r="R378" s="34" t="s">
        <v>94</v>
      </c>
      <c r="S378" s="34" t="s">
        <v>35</v>
      </c>
      <c r="T378" s="34" t="s">
        <v>36</v>
      </c>
      <c r="U378" s="34"/>
    </row>
    <row r="379" spans="2:21">
      <c r="B379" s="16" t="s">
        <v>47</v>
      </c>
      <c r="C379" s="46" t="s">
        <v>28</v>
      </c>
      <c r="D379" s="47">
        <v>44931</v>
      </c>
      <c r="F379" s="34"/>
      <c r="G379" s="46"/>
      <c r="H379" s="34"/>
      <c r="I379" s="34"/>
      <c r="K379" s="39">
        <v>2385110</v>
      </c>
      <c r="L379" s="16" t="s">
        <v>1477</v>
      </c>
      <c r="M379" s="34" t="s">
        <v>31</v>
      </c>
      <c r="N379" s="34"/>
      <c r="O379" s="34"/>
      <c r="P379" s="34"/>
      <c r="Q379" s="34" t="s">
        <v>33</v>
      </c>
      <c r="R379" s="34" t="s">
        <v>94</v>
      </c>
      <c r="S379" s="34" t="s">
        <v>35</v>
      </c>
      <c r="T379" s="34" t="s">
        <v>36</v>
      </c>
      <c r="U379" s="34"/>
    </row>
    <row r="380" spans="2:21">
      <c r="B380" s="16" t="s">
        <v>47</v>
      </c>
      <c r="C380" s="46" t="s">
        <v>28</v>
      </c>
      <c r="D380" s="47">
        <v>44931</v>
      </c>
      <c r="F380" s="34"/>
      <c r="G380" s="46"/>
      <c r="H380" s="34"/>
      <c r="I380" s="34"/>
      <c r="K380" s="39">
        <v>2476501</v>
      </c>
      <c r="L380" s="16" t="s">
        <v>1478</v>
      </c>
      <c r="M380" s="34" t="s">
        <v>31</v>
      </c>
      <c r="N380" s="34"/>
      <c r="O380" s="34"/>
      <c r="P380" s="34"/>
      <c r="Q380" s="34" t="s">
        <v>33</v>
      </c>
      <c r="R380" s="34" t="s">
        <v>94</v>
      </c>
      <c r="S380" s="34" t="s">
        <v>35</v>
      </c>
      <c r="T380" s="34" t="s">
        <v>36</v>
      </c>
      <c r="U380" s="34"/>
    </row>
    <row r="381" spans="2:21">
      <c r="B381" s="16" t="s">
        <v>47</v>
      </c>
      <c r="C381" s="46" t="s">
        <v>28</v>
      </c>
      <c r="D381" s="47">
        <v>44931</v>
      </c>
      <c r="F381" s="34"/>
      <c r="G381" s="46"/>
      <c r="H381" s="34"/>
      <c r="I381" s="34"/>
      <c r="K381" s="39">
        <v>2476502</v>
      </c>
      <c r="L381" s="16" t="s">
        <v>1479</v>
      </c>
      <c r="M381" s="34" t="s">
        <v>31</v>
      </c>
      <c r="N381" s="34"/>
      <c r="O381" s="34"/>
      <c r="P381" s="34"/>
      <c r="Q381" s="34" t="s">
        <v>33</v>
      </c>
      <c r="R381" s="34" t="s">
        <v>94</v>
      </c>
      <c r="S381" s="34" t="s">
        <v>35</v>
      </c>
      <c r="T381" s="34" t="s">
        <v>36</v>
      </c>
      <c r="U381" s="34"/>
    </row>
    <row r="382" spans="2:21">
      <c r="B382" s="16" t="s">
        <v>47</v>
      </c>
      <c r="C382" s="46" t="s">
        <v>28</v>
      </c>
      <c r="D382" s="47">
        <v>44931</v>
      </c>
      <c r="F382" s="34"/>
      <c r="G382" s="46"/>
      <c r="H382" s="34"/>
      <c r="I382" s="34"/>
      <c r="K382" s="39">
        <v>2476503</v>
      </c>
      <c r="L382" s="16" t="s">
        <v>1480</v>
      </c>
      <c r="M382" s="34" t="s">
        <v>31</v>
      </c>
      <c r="N382" s="34"/>
      <c r="O382" s="34"/>
      <c r="P382" s="34"/>
      <c r="Q382" s="34" t="s">
        <v>33</v>
      </c>
      <c r="R382" s="34" t="s">
        <v>94</v>
      </c>
      <c r="S382" s="34" t="s">
        <v>35</v>
      </c>
      <c r="T382" s="34" t="s">
        <v>36</v>
      </c>
      <c r="U382" s="34"/>
    </row>
    <row r="383" spans="2:21">
      <c r="B383" s="16" t="s">
        <v>47</v>
      </c>
      <c r="C383" s="46" t="s">
        <v>28</v>
      </c>
      <c r="D383" s="47">
        <v>44931</v>
      </c>
      <c r="F383" s="34"/>
      <c r="G383" s="46"/>
      <c r="H383" s="34"/>
      <c r="I383" s="34"/>
      <c r="K383" s="39">
        <v>2476504</v>
      </c>
      <c r="L383" s="16" t="s">
        <v>1481</v>
      </c>
      <c r="M383" s="34" t="s">
        <v>31</v>
      </c>
      <c r="N383" s="34"/>
      <c r="O383" s="34"/>
      <c r="P383" s="34"/>
      <c r="Q383" s="34" t="s">
        <v>33</v>
      </c>
      <c r="R383" s="34" t="s">
        <v>94</v>
      </c>
      <c r="S383" s="34" t="s">
        <v>35</v>
      </c>
      <c r="T383" s="34" t="s">
        <v>36</v>
      </c>
      <c r="U383" s="34"/>
    </row>
    <row r="384" spans="2:21">
      <c r="B384" s="16" t="s">
        <v>47</v>
      </c>
      <c r="C384" s="46" t="s">
        <v>28</v>
      </c>
      <c r="D384" s="47">
        <v>44946</v>
      </c>
      <c r="F384" s="34"/>
      <c r="G384" s="46"/>
      <c r="H384" s="34"/>
      <c r="I384" s="34"/>
      <c r="K384" s="39">
        <v>2483001</v>
      </c>
      <c r="L384" s="16" t="s">
        <v>1482</v>
      </c>
      <c r="M384" s="34" t="s">
        <v>31</v>
      </c>
      <c r="N384" s="34"/>
      <c r="O384" s="34"/>
      <c r="P384" s="34"/>
      <c r="Q384" s="34" t="s">
        <v>33</v>
      </c>
      <c r="R384" s="34" t="s">
        <v>94</v>
      </c>
      <c r="S384" s="34" t="s">
        <v>35</v>
      </c>
      <c r="T384" s="34" t="s">
        <v>36</v>
      </c>
      <c r="U384" s="34"/>
    </row>
    <row r="385" spans="2:21">
      <c r="B385" s="16" t="s">
        <v>47</v>
      </c>
      <c r="C385" s="46" t="s">
        <v>28</v>
      </c>
      <c r="D385" s="47">
        <v>44946</v>
      </c>
      <c r="F385" s="34"/>
      <c r="G385" s="46"/>
      <c r="H385" s="34"/>
      <c r="I385" s="34"/>
      <c r="K385" s="39">
        <v>5103</v>
      </c>
      <c r="L385" s="16" t="s">
        <v>1483</v>
      </c>
      <c r="M385" s="34" t="s">
        <v>31</v>
      </c>
      <c r="N385" s="34"/>
      <c r="O385" s="34"/>
      <c r="P385" s="34"/>
      <c r="Q385" s="34" t="s">
        <v>33</v>
      </c>
      <c r="R385" s="34" t="s">
        <v>94</v>
      </c>
      <c r="S385" s="34" t="s">
        <v>35</v>
      </c>
      <c r="T385" s="34" t="s">
        <v>36</v>
      </c>
      <c r="U385" s="34"/>
    </row>
    <row r="386" spans="2:21">
      <c r="B386" s="16" t="s">
        <v>47</v>
      </c>
      <c r="C386" s="46" t="s">
        <v>28</v>
      </c>
      <c r="D386" s="47">
        <v>44946</v>
      </c>
      <c r="F386" s="34"/>
      <c r="G386" s="46"/>
      <c r="H386" s="34"/>
      <c r="I386" s="34"/>
      <c r="K386" s="39">
        <v>2483302</v>
      </c>
      <c r="L386" s="16" t="s">
        <v>1484</v>
      </c>
      <c r="M386" s="34" t="s">
        <v>31</v>
      </c>
      <c r="N386" s="34"/>
      <c r="O386" s="34"/>
      <c r="P386" s="34"/>
      <c r="Q386" s="34" t="s">
        <v>33</v>
      </c>
      <c r="R386" s="34" t="s">
        <v>94</v>
      </c>
      <c r="S386" s="34" t="s">
        <v>35</v>
      </c>
      <c r="T386" s="34" t="s">
        <v>36</v>
      </c>
      <c r="U386" s="34"/>
    </row>
    <row r="387" spans="2:21">
      <c r="B387" s="16" t="s">
        <v>47</v>
      </c>
      <c r="C387" s="46" t="s">
        <v>28</v>
      </c>
      <c r="D387" s="47">
        <v>44946</v>
      </c>
      <c r="F387" s="34"/>
      <c r="G387" s="46"/>
      <c r="H387" s="34"/>
      <c r="I387" s="34"/>
      <c r="K387" s="39">
        <v>2483301</v>
      </c>
      <c r="L387" s="16" t="s">
        <v>1485</v>
      </c>
      <c r="M387" s="34" t="s">
        <v>31</v>
      </c>
      <c r="N387" s="34"/>
      <c r="O387" s="34"/>
      <c r="P387" s="34"/>
      <c r="Q387" s="34" t="s">
        <v>33</v>
      </c>
      <c r="R387" s="34" t="s">
        <v>94</v>
      </c>
      <c r="S387" s="34" t="s">
        <v>35</v>
      </c>
      <c r="T387" s="34" t="s">
        <v>36</v>
      </c>
      <c r="U387" s="34"/>
    </row>
    <row r="388" spans="2:21">
      <c r="B388" s="16" t="s">
        <v>47</v>
      </c>
      <c r="C388" s="46" t="s">
        <v>28</v>
      </c>
      <c r="D388" s="47">
        <v>44953</v>
      </c>
      <c r="F388" s="34"/>
      <c r="G388" s="46"/>
      <c r="H388" s="34"/>
      <c r="I388" s="34"/>
      <c r="K388" s="39">
        <v>2274404</v>
      </c>
      <c r="L388" s="16" t="s">
        <v>1486</v>
      </c>
      <c r="M388" s="34" t="s">
        <v>31</v>
      </c>
      <c r="N388" s="34"/>
      <c r="O388" s="34"/>
      <c r="P388" s="34"/>
      <c r="Q388" s="34" t="s">
        <v>33</v>
      </c>
      <c r="R388" s="34" t="s">
        <v>94</v>
      </c>
      <c r="S388" s="34" t="s">
        <v>35</v>
      </c>
      <c r="T388" s="34" t="s">
        <v>36</v>
      </c>
      <c r="U388" s="34"/>
    </row>
    <row r="389" spans="2:21">
      <c r="B389" s="16" t="s">
        <v>47</v>
      </c>
      <c r="C389" s="46" t="s">
        <v>28</v>
      </c>
      <c r="D389" s="47">
        <v>44953</v>
      </c>
      <c r="F389" s="34"/>
      <c r="G389" s="46"/>
      <c r="H389" s="34"/>
      <c r="I389" s="34"/>
      <c r="K389" s="39">
        <v>2274403</v>
      </c>
      <c r="L389" s="16" t="s">
        <v>1487</v>
      </c>
      <c r="M389" s="34" t="s">
        <v>31</v>
      </c>
      <c r="N389" s="34"/>
      <c r="O389" s="34"/>
      <c r="P389" s="34"/>
      <c r="Q389" s="34" t="s">
        <v>33</v>
      </c>
      <c r="R389" s="34" t="s">
        <v>94</v>
      </c>
      <c r="S389" s="34" t="s">
        <v>35</v>
      </c>
      <c r="T389" s="34" t="s">
        <v>36</v>
      </c>
      <c r="U389" s="34"/>
    </row>
    <row r="390" spans="2:21">
      <c r="B390" s="16" t="s">
        <v>47</v>
      </c>
      <c r="C390" s="46" t="s">
        <v>28</v>
      </c>
      <c r="D390" s="47">
        <v>44953</v>
      </c>
      <c r="F390" s="34"/>
      <c r="G390" s="46"/>
      <c r="H390" s="34"/>
      <c r="I390" s="34"/>
      <c r="K390" s="39">
        <v>2483101</v>
      </c>
      <c r="L390" s="16" t="s">
        <v>1488</v>
      </c>
      <c r="M390" s="34" t="s">
        <v>31</v>
      </c>
      <c r="N390" s="34"/>
      <c r="O390" s="34"/>
      <c r="P390" s="34"/>
      <c r="Q390" s="34" t="s">
        <v>33</v>
      </c>
      <c r="R390" s="34" t="s">
        <v>94</v>
      </c>
      <c r="S390" s="34" t="s">
        <v>35</v>
      </c>
      <c r="T390" s="34" t="s">
        <v>36</v>
      </c>
      <c r="U390" s="34"/>
    </row>
    <row r="391" spans="2:21">
      <c r="B391" s="16" t="s">
        <v>47</v>
      </c>
      <c r="C391" s="46" t="s">
        <v>28</v>
      </c>
      <c r="D391" s="47">
        <v>44953</v>
      </c>
      <c r="F391" s="34"/>
      <c r="G391" s="46"/>
      <c r="H391" s="34"/>
      <c r="I391" s="34"/>
      <c r="K391" s="39">
        <v>2483102</v>
      </c>
      <c r="L391" s="16" t="s">
        <v>1489</v>
      </c>
      <c r="M391" s="34" t="s">
        <v>31</v>
      </c>
      <c r="N391" s="34"/>
      <c r="O391" s="34"/>
      <c r="P391" s="34"/>
      <c r="Q391" s="34" t="s">
        <v>33</v>
      </c>
      <c r="R391" s="34" t="s">
        <v>94</v>
      </c>
      <c r="S391" s="34" t="s">
        <v>35</v>
      </c>
      <c r="T391" s="34" t="s">
        <v>36</v>
      </c>
      <c r="U391" s="34"/>
    </row>
    <row r="392" spans="2:21">
      <c r="B392" s="16" t="s">
        <v>47</v>
      </c>
      <c r="C392" s="46" t="s">
        <v>28</v>
      </c>
      <c r="D392" s="47">
        <v>44953</v>
      </c>
      <c r="F392" s="34"/>
      <c r="G392" s="46"/>
      <c r="H392" s="34"/>
      <c r="I392" s="34"/>
      <c r="K392" s="39">
        <v>2137702</v>
      </c>
      <c r="L392" s="16" t="s">
        <v>1490</v>
      </c>
      <c r="M392" s="34" t="s">
        <v>31</v>
      </c>
      <c r="N392" s="34"/>
      <c r="O392" s="34"/>
      <c r="P392" s="34"/>
      <c r="Q392" s="34" t="s">
        <v>33</v>
      </c>
      <c r="R392" s="34" t="s">
        <v>94</v>
      </c>
      <c r="S392" s="34" t="s">
        <v>35</v>
      </c>
      <c r="T392" s="34" t="s">
        <v>36</v>
      </c>
      <c r="U392" s="34"/>
    </row>
    <row r="393" spans="2:21">
      <c r="B393" s="16" t="s">
        <v>47</v>
      </c>
      <c r="C393" s="46" t="s">
        <v>28</v>
      </c>
      <c r="D393" s="47">
        <v>44953</v>
      </c>
      <c r="F393" s="34"/>
      <c r="G393" s="46"/>
      <c r="H393" s="34"/>
      <c r="I393" s="34"/>
      <c r="K393" s="39">
        <v>2137703</v>
      </c>
      <c r="L393" s="16" t="s">
        <v>1491</v>
      </c>
      <c r="M393" s="34" t="s">
        <v>31</v>
      </c>
      <c r="N393" s="34"/>
      <c r="O393" s="34"/>
      <c r="P393" s="34"/>
      <c r="Q393" s="34" t="s">
        <v>33</v>
      </c>
      <c r="R393" s="34" t="s">
        <v>94</v>
      </c>
      <c r="S393" s="34" t="s">
        <v>35</v>
      </c>
      <c r="T393" s="34" t="s">
        <v>36</v>
      </c>
      <c r="U393" s="34"/>
    </row>
    <row r="394" spans="2:21">
      <c r="B394" s="16" t="s">
        <v>47</v>
      </c>
      <c r="C394" s="46" t="s">
        <v>28</v>
      </c>
      <c r="D394" s="47">
        <v>44967</v>
      </c>
      <c r="F394" s="34"/>
      <c r="G394" s="46"/>
      <c r="H394" s="34"/>
      <c r="I394" s="34"/>
      <c r="K394" s="39">
        <v>2483103</v>
      </c>
      <c r="L394" s="16" t="s">
        <v>1492</v>
      </c>
      <c r="M394" s="34" t="s">
        <v>31</v>
      </c>
      <c r="N394" s="34"/>
      <c r="O394" s="34"/>
      <c r="P394" s="34"/>
      <c r="Q394" s="34" t="s">
        <v>33</v>
      </c>
      <c r="R394" s="34" t="s">
        <v>94</v>
      </c>
      <c r="S394" s="34" t="s">
        <v>35</v>
      </c>
      <c r="T394" s="34" t="s">
        <v>36</v>
      </c>
      <c r="U394" s="34"/>
    </row>
    <row r="395" spans="2:21">
      <c r="B395" s="16" t="s">
        <v>47</v>
      </c>
      <c r="C395" s="46" t="s">
        <v>28</v>
      </c>
      <c r="D395" s="47">
        <v>44967</v>
      </c>
      <c r="F395" s="34"/>
      <c r="G395" s="46"/>
      <c r="H395" s="34"/>
      <c r="I395" s="34"/>
      <c r="K395" s="39">
        <v>2483104</v>
      </c>
      <c r="L395" s="16" t="s">
        <v>1493</v>
      </c>
      <c r="M395" s="34" t="s">
        <v>31</v>
      </c>
      <c r="N395" s="34"/>
      <c r="O395" s="34"/>
      <c r="P395" s="34"/>
      <c r="Q395" s="34" t="s">
        <v>33</v>
      </c>
      <c r="R395" s="34" t="s">
        <v>94</v>
      </c>
      <c r="S395" s="34" t="s">
        <v>35</v>
      </c>
      <c r="T395" s="34" t="s">
        <v>36</v>
      </c>
      <c r="U395" s="34"/>
    </row>
    <row r="396" spans="2:21">
      <c r="B396" s="16" t="s">
        <v>47</v>
      </c>
      <c r="C396" s="46" t="s">
        <v>28</v>
      </c>
      <c r="D396" s="47">
        <v>44967</v>
      </c>
      <c r="F396" s="34"/>
      <c r="G396" s="46"/>
      <c r="H396" s="34"/>
      <c r="I396" s="34"/>
      <c r="K396" s="39">
        <v>2114012</v>
      </c>
      <c r="L396" s="16" t="s">
        <v>1494</v>
      </c>
      <c r="M396" s="34" t="s">
        <v>31</v>
      </c>
      <c r="N396" s="34"/>
      <c r="O396" s="34"/>
      <c r="P396" s="34"/>
      <c r="Q396" s="34" t="s">
        <v>33</v>
      </c>
      <c r="R396" s="34" t="s">
        <v>94</v>
      </c>
      <c r="S396" s="34" t="s">
        <v>35</v>
      </c>
      <c r="T396" s="34" t="s">
        <v>36</v>
      </c>
      <c r="U396" s="34"/>
    </row>
    <row r="397" spans="2:21">
      <c r="B397" s="16" t="s">
        <v>47</v>
      </c>
      <c r="C397" s="46" t="s">
        <v>28</v>
      </c>
      <c r="D397" s="47">
        <v>44967</v>
      </c>
      <c r="F397" s="34"/>
      <c r="G397" s="46"/>
      <c r="H397" s="34"/>
      <c r="I397" s="34"/>
      <c r="K397" s="39">
        <v>2114011</v>
      </c>
      <c r="L397" s="16" t="s">
        <v>1495</v>
      </c>
      <c r="M397" s="34" t="s">
        <v>31</v>
      </c>
      <c r="N397" s="34"/>
      <c r="O397" s="34"/>
      <c r="P397" s="34"/>
      <c r="Q397" s="34" t="s">
        <v>33</v>
      </c>
      <c r="R397" s="34" t="s">
        <v>94</v>
      </c>
      <c r="S397" s="34" t="s">
        <v>35</v>
      </c>
      <c r="T397" s="34" t="s">
        <v>36</v>
      </c>
      <c r="U397" s="34"/>
    </row>
    <row r="398" spans="2:21">
      <c r="B398" s="16" t="s">
        <v>47</v>
      </c>
      <c r="C398" s="80" t="s">
        <v>28</v>
      </c>
      <c r="D398" s="47">
        <v>44981</v>
      </c>
      <c r="F398" s="34"/>
      <c r="G398" s="46"/>
      <c r="H398" s="34"/>
      <c r="I398" s="34"/>
      <c r="K398" s="39">
        <v>2489701</v>
      </c>
      <c r="L398" s="16" t="s">
        <v>1496</v>
      </c>
      <c r="M398" s="34" t="s">
        <v>31</v>
      </c>
      <c r="N398" s="34"/>
      <c r="O398" s="34"/>
      <c r="P398" s="34"/>
      <c r="Q398" s="34" t="s">
        <v>33</v>
      </c>
      <c r="R398" s="38" t="s">
        <v>94</v>
      </c>
      <c r="S398" s="38" t="s">
        <v>35</v>
      </c>
      <c r="T398" s="38" t="s">
        <v>36</v>
      </c>
      <c r="U398" s="34"/>
    </row>
    <row r="399" spans="2:21">
      <c r="B399" s="16" t="s">
        <v>47</v>
      </c>
      <c r="C399" s="80" t="s">
        <v>28</v>
      </c>
      <c r="D399" s="47">
        <v>44981</v>
      </c>
      <c r="F399" s="34"/>
      <c r="G399" s="46"/>
      <c r="H399" s="34"/>
      <c r="I399" s="34"/>
      <c r="K399" s="39">
        <v>2489702</v>
      </c>
      <c r="L399" s="16" t="s">
        <v>1497</v>
      </c>
      <c r="M399" s="34" t="s">
        <v>31</v>
      </c>
      <c r="N399" s="34"/>
      <c r="O399" s="34"/>
      <c r="P399" s="34"/>
      <c r="Q399" s="34" t="s">
        <v>33</v>
      </c>
      <c r="R399" s="38" t="s">
        <v>94</v>
      </c>
      <c r="S399" s="38" t="s">
        <v>35</v>
      </c>
      <c r="T399" s="38" t="s">
        <v>36</v>
      </c>
      <c r="U399" s="34"/>
    </row>
    <row r="400" spans="2:21">
      <c r="B400" s="16" t="s">
        <v>47</v>
      </c>
      <c r="C400" s="46" t="s">
        <v>28</v>
      </c>
      <c r="D400" s="47">
        <v>44981</v>
      </c>
      <c r="F400" s="34"/>
      <c r="G400" s="46"/>
      <c r="H400" s="34"/>
      <c r="I400" s="34"/>
      <c r="K400" s="39">
        <v>1880003</v>
      </c>
      <c r="L400" s="16" t="s">
        <v>1498</v>
      </c>
      <c r="M400" s="34" t="s">
        <v>31</v>
      </c>
      <c r="N400" s="34"/>
      <c r="O400" s="34"/>
      <c r="P400" s="34"/>
      <c r="Q400" s="34" t="s">
        <v>33</v>
      </c>
      <c r="R400" s="38" t="s">
        <v>94</v>
      </c>
      <c r="S400" s="38" t="s">
        <v>35</v>
      </c>
      <c r="T400" s="38" t="s">
        <v>36</v>
      </c>
      <c r="U400" s="34"/>
    </row>
    <row r="401" spans="2:21">
      <c r="B401" s="16" t="s">
        <v>47</v>
      </c>
      <c r="C401" s="46" t="s">
        <v>28</v>
      </c>
      <c r="D401" s="47">
        <v>44981</v>
      </c>
      <c r="F401" s="34"/>
      <c r="G401" s="46"/>
      <c r="H401" s="34"/>
      <c r="I401" s="34"/>
      <c r="K401" s="39">
        <v>1880004</v>
      </c>
      <c r="L401" s="16" t="s">
        <v>1499</v>
      </c>
      <c r="M401" s="34" t="s">
        <v>31</v>
      </c>
      <c r="N401" s="34"/>
      <c r="O401" s="34"/>
      <c r="P401" s="34"/>
      <c r="Q401" s="34" t="s">
        <v>33</v>
      </c>
      <c r="R401" s="34" t="s">
        <v>94</v>
      </c>
      <c r="S401" s="34" t="s">
        <v>35</v>
      </c>
      <c r="T401" s="34" t="s">
        <v>36</v>
      </c>
      <c r="U401" s="34"/>
    </row>
    <row r="402" spans="2:21">
      <c r="B402" s="16" t="s">
        <v>47</v>
      </c>
      <c r="C402" s="46" t="s">
        <v>28</v>
      </c>
      <c r="D402" s="47">
        <v>44981</v>
      </c>
      <c r="F402" s="34"/>
      <c r="G402" s="46"/>
      <c r="H402" s="34"/>
      <c r="I402" s="34"/>
      <c r="K402" s="39">
        <v>2488502</v>
      </c>
      <c r="L402" s="16" t="s">
        <v>1500</v>
      </c>
      <c r="M402" s="34" t="s">
        <v>31</v>
      </c>
      <c r="N402" s="34"/>
      <c r="O402" s="34"/>
      <c r="P402" s="34"/>
      <c r="Q402" s="34" t="s">
        <v>33</v>
      </c>
      <c r="R402" s="34" t="s">
        <v>94</v>
      </c>
      <c r="S402" s="34" t="s">
        <v>35</v>
      </c>
      <c r="T402" s="34" t="s">
        <v>36</v>
      </c>
      <c r="U402" s="34"/>
    </row>
    <row r="403" spans="2:21">
      <c r="B403" s="16" t="s">
        <v>47</v>
      </c>
      <c r="C403" s="46" t="s">
        <v>28</v>
      </c>
      <c r="D403" s="47">
        <v>44981</v>
      </c>
      <c r="F403" s="34"/>
      <c r="G403" s="46"/>
      <c r="H403" s="34"/>
      <c r="I403" s="34"/>
      <c r="K403" s="39">
        <v>2488501</v>
      </c>
      <c r="L403" s="16" t="s">
        <v>1501</v>
      </c>
      <c r="M403" s="34" t="s">
        <v>31</v>
      </c>
      <c r="N403" s="34"/>
      <c r="O403" s="34"/>
      <c r="P403" s="34"/>
      <c r="Q403" s="34" t="s">
        <v>33</v>
      </c>
      <c r="R403" s="34" t="s">
        <v>94</v>
      </c>
      <c r="S403" s="34" t="s">
        <v>35</v>
      </c>
      <c r="T403" s="34" t="s">
        <v>36</v>
      </c>
      <c r="U403" s="34"/>
    </row>
    <row r="404" spans="2:21">
      <c r="B404" s="16" t="s">
        <v>47</v>
      </c>
      <c r="C404" s="46" t="s">
        <v>28</v>
      </c>
      <c r="D404" s="47">
        <v>44981</v>
      </c>
      <c r="F404" s="34"/>
      <c r="G404" s="46"/>
      <c r="H404" s="34"/>
      <c r="I404" s="34"/>
      <c r="K404" s="39">
        <v>2490901</v>
      </c>
      <c r="L404" s="115" t="s">
        <v>1502</v>
      </c>
      <c r="M404" s="34" t="s">
        <v>31</v>
      </c>
      <c r="N404" s="34"/>
      <c r="O404" s="34"/>
      <c r="P404" s="34"/>
      <c r="Q404" s="34" t="s">
        <v>33</v>
      </c>
      <c r="R404" s="34" t="s">
        <v>94</v>
      </c>
      <c r="S404" s="34" t="s">
        <v>35</v>
      </c>
      <c r="T404" s="34" t="s">
        <v>36</v>
      </c>
      <c r="U404" s="34"/>
    </row>
    <row r="405" spans="2:21">
      <c r="B405" s="16" t="s">
        <v>47</v>
      </c>
      <c r="C405" s="46" t="s">
        <v>28</v>
      </c>
      <c r="D405" s="47">
        <v>44981</v>
      </c>
      <c r="F405" s="34"/>
      <c r="G405" s="46"/>
      <c r="H405" s="34"/>
      <c r="I405" s="34"/>
      <c r="K405" s="39">
        <v>2490902</v>
      </c>
      <c r="L405" s="115" t="s">
        <v>1503</v>
      </c>
      <c r="M405" s="34" t="s">
        <v>31</v>
      </c>
      <c r="N405" s="34"/>
      <c r="O405" s="34"/>
      <c r="P405" s="34"/>
      <c r="Q405" s="34" t="s">
        <v>33</v>
      </c>
      <c r="R405" s="34" t="s">
        <v>94</v>
      </c>
      <c r="S405" s="34" t="s">
        <v>35</v>
      </c>
      <c r="T405" s="34" t="s">
        <v>36</v>
      </c>
      <c r="U405" s="34"/>
    </row>
    <row r="406" spans="2:21">
      <c r="B406" s="16" t="s">
        <v>47</v>
      </c>
      <c r="C406" s="46" t="s">
        <v>28</v>
      </c>
      <c r="D406" s="47">
        <v>44988</v>
      </c>
      <c r="F406" s="34"/>
      <c r="G406" s="46"/>
      <c r="H406" s="34"/>
      <c r="I406" s="34"/>
      <c r="K406" s="39">
        <v>2354702</v>
      </c>
      <c r="L406" s="16" t="s">
        <v>1504</v>
      </c>
      <c r="M406" s="34" t="s">
        <v>31</v>
      </c>
      <c r="N406" s="34"/>
      <c r="O406" s="34"/>
      <c r="P406" s="34"/>
      <c r="Q406" s="34" t="s">
        <v>33</v>
      </c>
      <c r="R406" s="34" t="s">
        <v>94</v>
      </c>
      <c r="S406" s="34" t="s">
        <v>35</v>
      </c>
      <c r="T406" s="34" t="s">
        <v>36</v>
      </c>
      <c r="U406" s="34"/>
    </row>
    <row r="407" spans="2:21">
      <c r="B407" s="16" t="s">
        <v>47</v>
      </c>
      <c r="C407" s="46" t="s">
        <v>28</v>
      </c>
      <c r="D407" s="47">
        <v>44988</v>
      </c>
      <c r="F407" s="34"/>
      <c r="G407" s="46"/>
      <c r="H407" s="34"/>
      <c r="I407" s="34"/>
      <c r="K407" s="39">
        <v>2411804</v>
      </c>
      <c r="L407" s="16" t="s">
        <v>1505</v>
      </c>
      <c r="M407" s="34" t="s">
        <v>31</v>
      </c>
      <c r="N407" s="34"/>
      <c r="O407" s="34"/>
      <c r="P407" s="34"/>
      <c r="Q407" s="34" t="s">
        <v>33</v>
      </c>
      <c r="R407" s="34" t="s">
        <v>94</v>
      </c>
      <c r="S407" s="34" t="s">
        <v>35</v>
      </c>
      <c r="T407" s="34" t="s">
        <v>36</v>
      </c>
      <c r="U407" s="34"/>
    </row>
    <row r="408" spans="2:21">
      <c r="B408" s="16" t="s">
        <v>47</v>
      </c>
      <c r="C408" s="46" t="s">
        <v>28</v>
      </c>
      <c r="D408" s="47">
        <v>44988</v>
      </c>
      <c r="F408" s="34"/>
      <c r="G408" s="46"/>
      <c r="H408" s="34"/>
      <c r="I408" s="34"/>
      <c r="K408" s="39">
        <v>2491001</v>
      </c>
      <c r="L408" s="16" t="s">
        <v>1506</v>
      </c>
      <c r="M408" s="34" t="s">
        <v>31</v>
      </c>
      <c r="N408" s="34"/>
      <c r="O408" s="34"/>
      <c r="P408" s="34"/>
      <c r="Q408" s="34" t="s">
        <v>33</v>
      </c>
      <c r="R408" s="34" t="s">
        <v>94</v>
      </c>
      <c r="S408" s="34" t="s">
        <v>35</v>
      </c>
      <c r="T408" s="34" t="s">
        <v>36</v>
      </c>
      <c r="U408" s="34"/>
    </row>
    <row r="409" spans="2:21">
      <c r="B409" s="16" t="s">
        <v>47</v>
      </c>
      <c r="C409" s="46" t="s">
        <v>28</v>
      </c>
      <c r="D409" s="47">
        <v>44995</v>
      </c>
      <c r="F409" s="34"/>
      <c r="G409" s="46"/>
      <c r="H409" s="34"/>
      <c r="I409" s="34"/>
      <c r="K409" s="39">
        <v>2385111</v>
      </c>
      <c r="L409" s="16" t="s">
        <v>1507</v>
      </c>
      <c r="M409" s="34" t="s">
        <v>31</v>
      </c>
      <c r="N409" s="34"/>
      <c r="O409" s="34"/>
      <c r="P409" s="34"/>
      <c r="Q409" s="34" t="s">
        <v>33</v>
      </c>
      <c r="R409" s="34" t="s">
        <v>94</v>
      </c>
      <c r="S409" s="34" t="s">
        <v>35</v>
      </c>
      <c r="T409" s="34" t="s">
        <v>36</v>
      </c>
      <c r="U409" s="34"/>
    </row>
    <row r="410" spans="2:21">
      <c r="B410" s="16" t="s">
        <v>47</v>
      </c>
      <c r="C410" s="46" t="s">
        <v>28</v>
      </c>
      <c r="D410" s="47">
        <v>44995</v>
      </c>
      <c r="F410" s="34"/>
      <c r="G410" s="46"/>
      <c r="H410" s="34"/>
      <c r="I410" s="34"/>
      <c r="K410" s="39">
        <v>2236603</v>
      </c>
      <c r="L410" s="16" t="s">
        <v>1508</v>
      </c>
      <c r="M410" s="34" t="s">
        <v>31</v>
      </c>
      <c r="N410" s="34"/>
      <c r="O410" s="34"/>
      <c r="P410" s="34"/>
      <c r="Q410" s="34" t="s">
        <v>33</v>
      </c>
      <c r="R410" s="34" t="s">
        <v>94</v>
      </c>
      <c r="S410" s="34" t="s">
        <v>35</v>
      </c>
      <c r="T410" s="34" t="s">
        <v>36</v>
      </c>
      <c r="U410" s="34"/>
    </row>
    <row r="411" spans="2:21">
      <c r="B411" s="16" t="s">
        <v>47</v>
      </c>
      <c r="C411" s="46" t="s">
        <v>28</v>
      </c>
      <c r="D411" s="47">
        <v>44995</v>
      </c>
      <c r="F411" s="34"/>
      <c r="G411" s="46"/>
      <c r="H411" s="34"/>
      <c r="I411" s="34"/>
      <c r="K411" s="39">
        <v>2197907</v>
      </c>
      <c r="L411" s="16" t="s">
        <v>1509</v>
      </c>
      <c r="M411" s="34" t="s">
        <v>31</v>
      </c>
      <c r="N411" s="34"/>
      <c r="O411" s="34"/>
      <c r="P411" s="34"/>
      <c r="Q411" s="34" t="s">
        <v>33</v>
      </c>
      <c r="R411" s="34" t="s">
        <v>94</v>
      </c>
      <c r="S411" s="34" t="s">
        <v>35</v>
      </c>
      <c r="T411" s="34" t="s">
        <v>36</v>
      </c>
      <c r="U411" s="34"/>
    </row>
    <row r="412" spans="2:21">
      <c r="B412" s="16" t="s">
        <v>47</v>
      </c>
      <c r="C412" s="46" t="s">
        <v>28</v>
      </c>
      <c r="D412" s="47">
        <v>44995</v>
      </c>
      <c r="F412" s="34"/>
      <c r="G412" s="46"/>
      <c r="H412" s="34"/>
      <c r="I412" s="34"/>
      <c r="K412" s="39">
        <v>2197906</v>
      </c>
      <c r="L412" s="16" t="s">
        <v>1510</v>
      </c>
      <c r="M412" s="34" t="s">
        <v>31</v>
      </c>
      <c r="N412" s="34"/>
      <c r="O412" s="34"/>
      <c r="P412" s="34"/>
      <c r="Q412" s="34" t="s">
        <v>33</v>
      </c>
      <c r="R412" s="34" t="s">
        <v>94</v>
      </c>
      <c r="S412" s="34" t="s">
        <v>35</v>
      </c>
      <c r="T412" s="34" t="s">
        <v>36</v>
      </c>
      <c r="U412" s="34"/>
    </row>
    <row r="413" spans="2:21">
      <c r="B413" s="16" t="s">
        <v>47</v>
      </c>
      <c r="C413" s="46" t="s">
        <v>28</v>
      </c>
      <c r="D413" s="47">
        <v>45009</v>
      </c>
      <c r="F413" s="34"/>
      <c r="G413" s="46"/>
      <c r="H413" s="34"/>
      <c r="I413" s="34"/>
      <c r="K413" s="39">
        <v>1132402</v>
      </c>
      <c r="L413" s="16" t="s">
        <v>1511</v>
      </c>
      <c r="M413" s="34" t="s">
        <v>31</v>
      </c>
      <c r="N413" s="34"/>
      <c r="O413" s="34"/>
      <c r="P413" s="34"/>
      <c r="Q413" s="34" t="s">
        <v>33</v>
      </c>
      <c r="R413" s="34" t="s">
        <v>94</v>
      </c>
      <c r="S413" s="34" t="s">
        <v>35</v>
      </c>
      <c r="T413" s="34" t="s">
        <v>36</v>
      </c>
      <c r="U413" s="34"/>
    </row>
    <row r="414" spans="2:21">
      <c r="B414" s="16" t="s">
        <v>47</v>
      </c>
      <c r="C414" s="46" t="s">
        <v>28</v>
      </c>
      <c r="D414" s="47">
        <v>45009</v>
      </c>
      <c r="F414" s="34"/>
      <c r="G414" s="46"/>
      <c r="H414" s="34"/>
      <c r="I414" s="34"/>
      <c r="K414" s="39">
        <v>1582413</v>
      </c>
      <c r="L414" s="16" t="s">
        <v>1512</v>
      </c>
      <c r="M414" s="34" t="s">
        <v>31</v>
      </c>
      <c r="N414" s="34"/>
      <c r="O414" s="34"/>
      <c r="P414" s="34"/>
      <c r="Q414" s="34" t="s">
        <v>33</v>
      </c>
      <c r="R414" s="34" t="s">
        <v>94</v>
      </c>
      <c r="S414" s="34" t="s">
        <v>35</v>
      </c>
      <c r="T414" s="34" t="s">
        <v>36</v>
      </c>
      <c r="U414" s="34"/>
    </row>
    <row r="415" spans="2:21">
      <c r="B415" s="16" t="s">
        <v>47</v>
      </c>
      <c r="C415" s="46" t="s">
        <v>28</v>
      </c>
      <c r="D415" s="47">
        <v>45009</v>
      </c>
      <c r="F415" s="34"/>
      <c r="G415" s="46"/>
      <c r="H415" s="34"/>
      <c r="I415" s="34"/>
      <c r="K415" s="39">
        <v>2494702</v>
      </c>
      <c r="L415" s="16" t="s">
        <v>1513</v>
      </c>
      <c r="M415" s="34" t="s">
        <v>31</v>
      </c>
      <c r="N415" s="34"/>
      <c r="O415" s="34"/>
      <c r="P415" s="34"/>
      <c r="Q415" s="34" t="s">
        <v>33</v>
      </c>
      <c r="R415" s="34" t="s">
        <v>94</v>
      </c>
      <c r="S415" s="34" t="s">
        <v>35</v>
      </c>
      <c r="T415" s="34" t="s">
        <v>36</v>
      </c>
      <c r="U415" s="34"/>
    </row>
    <row r="416" spans="2:21">
      <c r="B416" s="16" t="s">
        <v>47</v>
      </c>
      <c r="C416" s="46" t="s">
        <v>28</v>
      </c>
      <c r="D416" s="47">
        <v>45009</v>
      </c>
      <c r="F416" s="34"/>
      <c r="G416" s="46"/>
      <c r="H416" s="34"/>
      <c r="I416" s="34"/>
      <c r="K416" s="39">
        <v>2494701</v>
      </c>
      <c r="L416" s="16" t="s">
        <v>1514</v>
      </c>
      <c r="M416" s="34" t="s">
        <v>31</v>
      </c>
      <c r="N416" s="34"/>
      <c r="O416" s="34"/>
      <c r="P416" s="34"/>
      <c r="Q416" s="34" t="s">
        <v>33</v>
      </c>
      <c r="R416" s="34" t="s">
        <v>94</v>
      </c>
      <c r="S416" s="34" t="s">
        <v>35</v>
      </c>
      <c r="T416" s="34" t="s">
        <v>36</v>
      </c>
      <c r="U416" s="34"/>
    </row>
    <row r="417" spans="2:21">
      <c r="B417" s="16" t="s">
        <v>47</v>
      </c>
      <c r="C417" s="46" t="s">
        <v>28</v>
      </c>
      <c r="D417" s="47">
        <v>45022</v>
      </c>
      <c r="F417" s="34"/>
      <c r="G417" s="46"/>
      <c r="H417" s="34"/>
      <c r="I417" s="34"/>
      <c r="K417" s="39">
        <v>1931503</v>
      </c>
      <c r="L417" s="16" t="s">
        <v>1515</v>
      </c>
      <c r="M417" s="34" t="s">
        <v>31</v>
      </c>
      <c r="N417" s="34"/>
      <c r="O417" s="34"/>
      <c r="P417" s="34"/>
      <c r="Q417" s="34" t="s">
        <v>33</v>
      </c>
      <c r="R417" s="34" t="s">
        <v>94</v>
      </c>
      <c r="S417" s="34" t="s">
        <v>35</v>
      </c>
      <c r="T417" s="34" t="s">
        <v>36</v>
      </c>
      <c r="U417" s="34"/>
    </row>
    <row r="418" spans="2:21">
      <c r="B418" s="16" t="s">
        <v>47</v>
      </c>
      <c r="C418" s="46" t="s">
        <v>28</v>
      </c>
      <c r="D418" s="47">
        <v>45022</v>
      </c>
      <c r="F418" s="34"/>
      <c r="G418" s="46"/>
      <c r="H418" s="34"/>
      <c r="I418" s="34"/>
      <c r="K418" s="39">
        <v>2145202</v>
      </c>
      <c r="L418" s="16" t="s">
        <v>1516</v>
      </c>
      <c r="M418" s="34" t="s">
        <v>31</v>
      </c>
      <c r="N418" s="34"/>
      <c r="O418" s="34"/>
      <c r="P418" s="34"/>
      <c r="Q418" s="34" t="s">
        <v>33</v>
      </c>
      <c r="R418" s="34" t="s">
        <v>94</v>
      </c>
      <c r="S418" s="34" t="s">
        <v>35</v>
      </c>
      <c r="T418" s="34" t="s">
        <v>36</v>
      </c>
      <c r="U418" s="34"/>
    </row>
    <row r="419" spans="2:21">
      <c r="B419" s="16" t="s">
        <v>47</v>
      </c>
      <c r="C419" s="46" t="s">
        <v>28</v>
      </c>
      <c r="D419" s="47">
        <v>45037</v>
      </c>
      <c r="F419" s="34"/>
      <c r="G419" s="46"/>
      <c r="H419" s="34"/>
      <c r="I419" s="34"/>
      <c r="K419" s="291">
        <v>2504401</v>
      </c>
      <c r="L419" s="157" t="s">
        <v>1517</v>
      </c>
      <c r="M419" s="34" t="s">
        <v>31</v>
      </c>
      <c r="N419" s="34"/>
      <c r="O419" s="34"/>
      <c r="P419" s="34"/>
      <c r="Q419" s="34" t="s">
        <v>33</v>
      </c>
      <c r="R419" s="34" t="s">
        <v>94</v>
      </c>
      <c r="S419" s="34" t="s">
        <v>35</v>
      </c>
      <c r="T419" s="34" t="s">
        <v>102</v>
      </c>
      <c r="U419" s="34" t="s">
        <v>1518</v>
      </c>
    </row>
    <row r="420" spans="2:21">
      <c r="B420" s="16" t="s">
        <v>47</v>
      </c>
      <c r="C420" s="46" t="s">
        <v>28</v>
      </c>
      <c r="D420" s="47">
        <v>45037</v>
      </c>
      <c r="F420" s="34"/>
      <c r="G420" s="46"/>
      <c r="H420" s="34"/>
      <c r="I420" s="34"/>
      <c r="K420" s="291">
        <v>2504301</v>
      </c>
      <c r="L420" s="157" t="s">
        <v>1519</v>
      </c>
      <c r="M420" s="34" t="s">
        <v>31</v>
      </c>
      <c r="N420" s="34"/>
      <c r="O420" s="34"/>
      <c r="P420" s="34"/>
      <c r="Q420" s="34" t="s">
        <v>33</v>
      </c>
      <c r="R420" s="34" t="s">
        <v>94</v>
      </c>
      <c r="S420" s="34" t="s">
        <v>35</v>
      </c>
      <c r="T420" s="34" t="s">
        <v>102</v>
      </c>
      <c r="U420" s="34" t="s">
        <v>1518</v>
      </c>
    </row>
    <row r="421" spans="2:21">
      <c r="B421" s="16" t="s">
        <v>47</v>
      </c>
      <c r="C421" s="46" t="s">
        <v>28</v>
      </c>
      <c r="D421" s="47">
        <v>45058</v>
      </c>
      <c r="F421" s="34"/>
      <c r="G421" s="46"/>
      <c r="H421" s="34"/>
      <c r="I421" s="34"/>
      <c r="K421" s="39">
        <v>1010402</v>
      </c>
      <c r="L421" s="16" t="s">
        <v>1520</v>
      </c>
      <c r="M421" s="34" t="s">
        <v>31</v>
      </c>
      <c r="N421" s="34"/>
      <c r="O421" s="34"/>
      <c r="P421" s="34"/>
      <c r="Q421" s="34" t="s">
        <v>33</v>
      </c>
      <c r="R421" s="34" t="s">
        <v>94</v>
      </c>
      <c r="S421" s="34" t="s">
        <v>35</v>
      </c>
      <c r="T421" s="34" t="s">
        <v>36</v>
      </c>
      <c r="U421" s="34"/>
    </row>
    <row r="422" spans="2:21">
      <c r="B422" s="46" t="s">
        <v>47</v>
      </c>
      <c r="C422" s="46" t="s">
        <v>28</v>
      </c>
      <c r="D422" s="47">
        <v>45072</v>
      </c>
      <c r="F422" s="34"/>
      <c r="G422" s="46"/>
      <c r="H422" s="34"/>
      <c r="I422" s="34"/>
      <c r="K422" s="39">
        <v>2411805</v>
      </c>
      <c r="L422" s="16" t="s">
        <v>1521</v>
      </c>
      <c r="M422" s="34" t="s">
        <v>31</v>
      </c>
      <c r="N422" s="34"/>
      <c r="O422" s="34"/>
      <c r="P422" s="34"/>
      <c r="Q422" s="34" t="s">
        <v>33</v>
      </c>
      <c r="R422" s="34" t="s">
        <v>94</v>
      </c>
      <c r="S422" s="34" t="s">
        <v>35</v>
      </c>
      <c r="T422" s="34" t="s">
        <v>36</v>
      </c>
      <c r="U422" s="34"/>
    </row>
    <row r="423" spans="2:21">
      <c r="B423" s="46" t="s">
        <v>47</v>
      </c>
      <c r="C423" s="46" t="s">
        <v>28</v>
      </c>
      <c r="D423" s="47">
        <v>45072</v>
      </c>
      <c r="F423" s="34"/>
      <c r="G423" s="46"/>
      <c r="H423" s="34"/>
      <c r="I423" s="34"/>
      <c r="K423" s="39">
        <v>2506902</v>
      </c>
      <c r="L423" s="16" t="s">
        <v>1522</v>
      </c>
      <c r="M423" s="34" t="s">
        <v>31</v>
      </c>
      <c r="N423" s="34"/>
      <c r="O423" s="34"/>
      <c r="P423" s="34"/>
      <c r="Q423" s="34" t="s">
        <v>33</v>
      </c>
      <c r="R423" s="34" t="s">
        <v>94</v>
      </c>
      <c r="S423" s="34" t="s">
        <v>35</v>
      </c>
      <c r="T423" s="34" t="s">
        <v>36</v>
      </c>
      <c r="U423" s="34"/>
    </row>
    <row r="424" spans="2:21">
      <c r="B424" s="46" t="s">
        <v>47</v>
      </c>
      <c r="C424" s="46" t="s">
        <v>28</v>
      </c>
      <c r="D424" s="47">
        <v>45072</v>
      </c>
      <c r="F424" s="34"/>
      <c r="G424" s="46"/>
      <c r="H424" s="34"/>
      <c r="I424" s="34"/>
      <c r="K424" s="39">
        <v>2506901</v>
      </c>
      <c r="L424" s="16" t="s">
        <v>1523</v>
      </c>
      <c r="M424" s="34" t="s">
        <v>31</v>
      </c>
      <c r="N424" s="34"/>
      <c r="O424" s="34"/>
      <c r="P424" s="34"/>
      <c r="Q424" s="34" t="s">
        <v>33</v>
      </c>
      <c r="R424" s="34" t="s">
        <v>94</v>
      </c>
      <c r="S424" s="34" t="s">
        <v>35</v>
      </c>
      <c r="T424" s="34" t="s">
        <v>36</v>
      </c>
      <c r="U424" s="34"/>
    </row>
    <row r="425" spans="2:21">
      <c r="B425" s="46" t="s">
        <v>47</v>
      </c>
      <c r="C425" s="46" t="s">
        <v>28</v>
      </c>
      <c r="D425" s="47">
        <v>45072</v>
      </c>
      <c r="F425" s="34"/>
      <c r="G425" s="46"/>
      <c r="H425" s="34"/>
      <c r="I425" s="34"/>
      <c r="K425" s="39">
        <v>2357504</v>
      </c>
      <c r="L425" s="16" t="s">
        <v>1524</v>
      </c>
      <c r="M425" s="34" t="s">
        <v>31</v>
      </c>
      <c r="N425" s="34"/>
      <c r="O425" s="34"/>
      <c r="P425" s="34"/>
      <c r="Q425" s="34" t="s">
        <v>33</v>
      </c>
      <c r="R425" s="34" t="s">
        <v>94</v>
      </c>
      <c r="S425" s="34" t="s">
        <v>35</v>
      </c>
      <c r="T425" s="34" t="s">
        <v>36</v>
      </c>
      <c r="U425" s="34"/>
    </row>
    <row r="426" spans="2:21">
      <c r="B426" s="46" t="s">
        <v>47</v>
      </c>
      <c r="C426" s="46" t="s">
        <v>28</v>
      </c>
      <c r="D426" s="47">
        <v>45072</v>
      </c>
      <c r="F426" s="34"/>
      <c r="G426" s="46"/>
      <c r="H426" s="34"/>
      <c r="I426" s="34"/>
      <c r="K426" s="39">
        <v>2357505</v>
      </c>
      <c r="L426" s="16" t="s">
        <v>1525</v>
      </c>
      <c r="M426" s="34" t="s">
        <v>31</v>
      </c>
      <c r="N426" s="34"/>
      <c r="O426" s="34"/>
      <c r="P426" s="34"/>
      <c r="Q426" s="34" t="s">
        <v>33</v>
      </c>
      <c r="R426" s="34" t="s">
        <v>94</v>
      </c>
      <c r="S426" s="34" t="s">
        <v>35</v>
      </c>
      <c r="T426" s="34" t="s">
        <v>36</v>
      </c>
      <c r="U426" s="34"/>
    </row>
    <row r="427" spans="2:21">
      <c r="B427" s="46" t="s">
        <v>47</v>
      </c>
      <c r="C427" s="46" t="s">
        <v>28</v>
      </c>
      <c r="D427" s="47">
        <v>45093</v>
      </c>
      <c r="F427" s="34"/>
      <c r="G427" s="46"/>
      <c r="H427" s="34"/>
      <c r="I427" s="34"/>
      <c r="K427" s="39">
        <v>2508803</v>
      </c>
      <c r="L427" s="16" t="s">
        <v>1526</v>
      </c>
      <c r="M427" s="34" t="s">
        <v>31</v>
      </c>
      <c r="N427" s="34"/>
      <c r="O427" s="34"/>
      <c r="P427" s="34"/>
      <c r="Q427" s="34" t="s">
        <v>33</v>
      </c>
      <c r="R427" s="34" t="s">
        <v>94</v>
      </c>
      <c r="S427" s="34" t="s">
        <v>35</v>
      </c>
      <c r="T427" s="34" t="s">
        <v>36</v>
      </c>
      <c r="U427" s="34"/>
    </row>
    <row r="428" spans="2:21">
      <c r="B428" s="46" t="s">
        <v>47</v>
      </c>
      <c r="C428" s="46" t="s">
        <v>28</v>
      </c>
      <c r="D428" s="47">
        <v>45093</v>
      </c>
      <c r="F428" s="34"/>
      <c r="G428" s="46"/>
      <c r="H428" s="34"/>
      <c r="I428" s="34"/>
      <c r="K428" s="39">
        <v>2508804</v>
      </c>
      <c r="L428" s="16" t="s">
        <v>1527</v>
      </c>
      <c r="M428" s="34" t="s">
        <v>31</v>
      </c>
      <c r="N428" s="34"/>
      <c r="O428" s="34"/>
      <c r="P428" s="34"/>
      <c r="Q428" s="34" t="s">
        <v>33</v>
      </c>
      <c r="R428" s="34" t="s">
        <v>94</v>
      </c>
      <c r="S428" s="34" t="s">
        <v>35</v>
      </c>
      <c r="T428" s="34" t="s">
        <v>36</v>
      </c>
      <c r="U428" s="34"/>
    </row>
    <row r="429" spans="2:21">
      <c r="B429" s="46" t="s">
        <v>47</v>
      </c>
      <c r="C429" s="46" t="s">
        <v>28</v>
      </c>
      <c r="D429" s="47">
        <v>45093</v>
      </c>
      <c r="F429" s="34"/>
      <c r="G429" s="46"/>
      <c r="H429" s="34"/>
      <c r="I429" s="34"/>
      <c r="K429" s="39">
        <v>2508802</v>
      </c>
      <c r="L429" s="16" t="s">
        <v>1528</v>
      </c>
      <c r="M429" s="34" t="s">
        <v>31</v>
      </c>
      <c r="N429" s="34"/>
      <c r="O429" s="34"/>
      <c r="P429" s="34"/>
      <c r="Q429" s="34" t="s">
        <v>33</v>
      </c>
      <c r="R429" s="34" t="s">
        <v>94</v>
      </c>
      <c r="S429" s="34" t="s">
        <v>35</v>
      </c>
      <c r="T429" s="34" t="s">
        <v>36</v>
      </c>
      <c r="U429" s="34"/>
    </row>
    <row r="430" spans="2:21">
      <c r="B430" s="46" t="s">
        <v>47</v>
      </c>
      <c r="C430" s="46" t="s">
        <v>28</v>
      </c>
      <c r="D430" s="47">
        <v>45093</v>
      </c>
      <c r="F430" s="34"/>
      <c r="G430" s="46"/>
      <c r="H430" s="34"/>
      <c r="I430" s="34"/>
      <c r="K430" s="39">
        <v>2508801</v>
      </c>
      <c r="L430" s="16" t="s">
        <v>1529</v>
      </c>
      <c r="M430" s="34" t="s">
        <v>31</v>
      </c>
      <c r="N430" s="34"/>
      <c r="O430" s="34"/>
      <c r="P430" s="34"/>
      <c r="Q430" s="34" t="s">
        <v>33</v>
      </c>
      <c r="R430" s="34" t="s">
        <v>94</v>
      </c>
      <c r="S430" s="34" t="s">
        <v>35</v>
      </c>
      <c r="T430" s="34" t="s">
        <v>36</v>
      </c>
      <c r="U430" s="34"/>
    </row>
    <row r="431" spans="2:21">
      <c r="B431" s="46" t="s">
        <v>47</v>
      </c>
      <c r="C431" s="46" t="s">
        <v>28</v>
      </c>
      <c r="D431" s="47">
        <v>45093</v>
      </c>
      <c r="F431" s="34"/>
      <c r="G431" s="46"/>
      <c r="H431" s="34"/>
      <c r="I431" s="34"/>
      <c r="K431" s="39">
        <v>2154804</v>
      </c>
      <c r="L431" s="16" t="s">
        <v>1530</v>
      </c>
      <c r="M431" s="34" t="s">
        <v>31</v>
      </c>
      <c r="N431" s="34"/>
      <c r="O431" s="34"/>
      <c r="P431" s="34"/>
      <c r="Q431" s="34" t="s">
        <v>33</v>
      </c>
      <c r="R431" s="34" t="s">
        <v>94</v>
      </c>
      <c r="S431" s="34" t="s">
        <v>35</v>
      </c>
      <c r="T431" s="34" t="s">
        <v>36</v>
      </c>
      <c r="U431" s="34" t="s">
        <v>1531</v>
      </c>
    </row>
    <row r="432" spans="2:21">
      <c r="B432" s="46" t="s">
        <v>47</v>
      </c>
      <c r="C432" s="46" t="s">
        <v>28</v>
      </c>
      <c r="D432" s="47">
        <v>45093</v>
      </c>
      <c r="F432" s="34"/>
      <c r="G432" s="46"/>
      <c r="H432" s="34"/>
      <c r="I432" s="34"/>
      <c r="K432" s="39">
        <v>2154803</v>
      </c>
      <c r="L432" s="16" t="s">
        <v>1532</v>
      </c>
      <c r="M432" s="34" t="s">
        <v>31</v>
      </c>
      <c r="N432" s="34"/>
      <c r="O432" s="34"/>
      <c r="P432" s="34"/>
      <c r="Q432" s="34" t="s">
        <v>33</v>
      </c>
      <c r="R432" s="34" t="s">
        <v>94</v>
      </c>
      <c r="S432" s="34" t="s">
        <v>35</v>
      </c>
      <c r="T432" s="34" t="s">
        <v>36</v>
      </c>
      <c r="U432" s="34" t="s">
        <v>1531</v>
      </c>
    </row>
    <row r="433" spans="2:21">
      <c r="B433" s="46" t="s">
        <v>47</v>
      </c>
      <c r="C433" s="46" t="s">
        <v>28</v>
      </c>
      <c r="D433" s="47">
        <v>45093</v>
      </c>
      <c r="F433" s="34"/>
      <c r="G433" s="46"/>
      <c r="H433" s="34"/>
      <c r="I433" s="34"/>
      <c r="K433" s="39">
        <v>2137704</v>
      </c>
      <c r="L433" s="16" t="s">
        <v>1533</v>
      </c>
      <c r="M433" s="34" t="s">
        <v>31</v>
      </c>
      <c r="N433" s="34"/>
      <c r="O433" s="34"/>
      <c r="P433" s="34"/>
      <c r="Q433" s="34" t="s">
        <v>33</v>
      </c>
      <c r="R433" s="34" t="s">
        <v>94</v>
      </c>
      <c r="S433" s="34" t="s">
        <v>35</v>
      </c>
      <c r="T433" s="34" t="s">
        <v>36</v>
      </c>
      <c r="U433" s="34"/>
    </row>
    <row r="434" spans="2:21">
      <c r="B434" s="46" t="s">
        <v>47</v>
      </c>
      <c r="C434" s="46" t="s">
        <v>28</v>
      </c>
      <c r="D434" s="47">
        <v>45093</v>
      </c>
      <c r="F434" s="34"/>
      <c r="G434" s="46"/>
      <c r="H434" s="34"/>
      <c r="I434" s="34"/>
      <c r="K434" s="39">
        <v>2494703</v>
      </c>
      <c r="L434" s="16" t="s">
        <v>1534</v>
      </c>
      <c r="M434" s="34" t="s">
        <v>31</v>
      </c>
      <c r="N434" s="34"/>
      <c r="O434" s="34"/>
      <c r="P434" s="34"/>
      <c r="Q434" s="34" t="s">
        <v>33</v>
      </c>
      <c r="R434" s="34" t="s">
        <v>94</v>
      </c>
      <c r="S434" s="34" t="s">
        <v>35</v>
      </c>
      <c r="T434" s="34" t="s">
        <v>36</v>
      </c>
      <c r="U434" s="34"/>
    </row>
    <row r="435" spans="2:21">
      <c r="B435" s="46" t="s">
        <v>47</v>
      </c>
      <c r="C435" s="46" t="s">
        <v>28</v>
      </c>
      <c r="D435" s="47">
        <v>45100</v>
      </c>
      <c r="F435" s="34"/>
      <c r="G435" s="46"/>
      <c r="H435" s="34"/>
      <c r="I435" s="34"/>
      <c r="K435" s="39">
        <v>638305</v>
      </c>
      <c r="L435" s="16" t="s">
        <v>1535</v>
      </c>
      <c r="M435" s="34" t="s">
        <v>31</v>
      </c>
      <c r="N435" s="34"/>
      <c r="O435" s="34"/>
      <c r="P435" s="34"/>
      <c r="Q435" s="34" t="s">
        <v>33</v>
      </c>
      <c r="R435" s="34" t="s">
        <v>94</v>
      </c>
      <c r="S435" s="34" t="s">
        <v>35</v>
      </c>
      <c r="T435" s="34" t="s">
        <v>36</v>
      </c>
      <c r="U435" s="34" t="s">
        <v>1536</v>
      </c>
    </row>
    <row r="436" spans="2:21">
      <c r="B436" s="46" t="s">
        <v>47</v>
      </c>
      <c r="C436" s="46" t="s">
        <v>28</v>
      </c>
      <c r="D436" s="47">
        <v>45100</v>
      </c>
      <c r="F436" s="34"/>
      <c r="G436" s="46"/>
      <c r="H436" s="34"/>
      <c r="I436" s="34"/>
      <c r="K436" s="39">
        <v>1630202</v>
      </c>
      <c r="L436" s="16" t="s">
        <v>1537</v>
      </c>
      <c r="M436" s="34" t="s">
        <v>31</v>
      </c>
      <c r="N436" s="34"/>
      <c r="O436" s="34"/>
      <c r="P436" s="34"/>
      <c r="Q436" s="34" t="s">
        <v>33</v>
      </c>
      <c r="R436" s="34" t="s">
        <v>94</v>
      </c>
      <c r="S436" s="34" t="s">
        <v>35</v>
      </c>
      <c r="T436" s="34" t="s">
        <v>36</v>
      </c>
      <c r="U436" s="34" t="s">
        <v>1536</v>
      </c>
    </row>
    <row r="437" spans="2:21">
      <c r="B437" s="46" t="s">
        <v>47</v>
      </c>
      <c r="C437" s="46" t="s">
        <v>28</v>
      </c>
      <c r="D437" s="47">
        <v>45100</v>
      </c>
      <c r="F437" s="34"/>
      <c r="G437" s="46"/>
      <c r="H437" s="34"/>
      <c r="I437" s="34"/>
      <c r="K437" s="39">
        <v>1890001</v>
      </c>
      <c r="L437" s="16" t="s">
        <v>1538</v>
      </c>
      <c r="M437" s="34" t="s">
        <v>31</v>
      </c>
      <c r="N437" s="34"/>
      <c r="O437" s="34"/>
      <c r="P437" s="34"/>
      <c r="Q437" s="34" t="s">
        <v>33</v>
      </c>
      <c r="R437" s="34" t="s">
        <v>94</v>
      </c>
      <c r="S437" s="34" t="s">
        <v>35</v>
      </c>
      <c r="T437" s="34" t="s">
        <v>36</v>
      </c>
      <c r="U437" s="34" t="s">
        <v>1536</v>
      </c>
    </row>
    <row r="438" spans="2:21">
      <c r="B438" s="46" t="s">
        <v>47</v>
      </c>
      <c r="C438" s="46" t="s">
        <v>28</v>
      </c>
      <c r="D438" s="47">
        <v>45100</v>
      </c>
      <c r="F438" s="34"/>
      <c r="G438" s="46"/>
      <c r="H438" s="34"/>
      <c r="I438" s="34"/>
      <c r="K438" s="39">
        <v>1890002</v>
      </c>
      <c r="L438" s="16" t="s">
        <v>1539</v>
      </c>
      <c r="M438" s="34" t="s">
        <v>31</v>
      </c>
      <c r="N438" s="34"/>
      <c r="O438" s="34"/>
      <c r="P438" s="34"/>
      <c r="Q438" s="34" t="s">
        <v>33</v>
      </c>
      <c r="R438" s="34" t="s">
        <v>94</v>
      </c>
      <c r="S438" s="34" t="s">
        <v>35</v>
      </c>
      <c r="T438" s="34" t="s">
        <v>36</v>
      </c>
      <c r="U438" s="34" t="s">
        <v>1536</v>
      </c>
    </row>
    <row r="439" spans="2:21">
      <c r="B439" s="46" t="s">
        <v>47</v>
      </c>
      <c r="C439" s="46" t="s">
        <v>28</v>
      </c>
      <c r="D439" s="47">
        <v>45121</v>
      </c>
      <c r="F439" s="34"/>
      <c r="G439" s="46"/>
      <c r="H439" s="34"/>
      <c r="I439" s="34"/>
      <c r="K439" s="39">
        <v>1522213</v>
      </c>
      <c r="L439" s="16" t="s">
        <v>1540</v>
      </c>
      <c r="M439" s="34" t="s">
        <v>31</v>
      </c>
      <c r="N439" s="34"/>
      <c r="O439" s="34"/>
      <c r="P439" s="34"/>
      <c r="Q439" s="34" t="s">
        <v>33</v>
      </c>
      <c r="R439" s="34" t="s">
        <v>94</v>
      </c>
      <c r="S439" s="34" t="s">
        <v>35</v>
      </c>
      <c r="T439" s="34" t="s">
        <v>36</v>
      </c>
      <c r="U439" s="34"/>
    </row>
    <row r="440" spans="2:21">
      <c r="B440" s="46" t="s">
        <v>47</v>
      </c>
      <c r="C440" s="46" t="s">
        <v>28</v>
      </c>
      <c r="D440" s="47">
        <v>45128</v>
      </c>
      <c r="F440" s="34"/>
      <c r="G440" s="46"/>
      <c r="H440" s="34"/>
      <c r="I440" s="34"/>
      <c r="K440" s="39">
        <v>2516201</v>
      </c>
      <c r="L440" s="16" t="s">
        <v>1541</v>
      </c>
      <c r="M440" s="34" t="s">
        <v>31</v>
      </c>
      <c r="N440" s="34"/>
      <c r="O440" s="34"/>
      <c r="P440" s="34"/>
      <c r="Q440" s="34" t="s">
        <v>33</v>
      </c>
      <c r="R440" s="34" t="s">
        <v>94</v>
      </c>
      <c r="S440" s="34" t="s">
        <v>35</v>
      </c>
      <c r="T440" s="34" t="s">
        <v>36</v>
      </c>
      <c r="U440" s="34"/>
    </row>
    <row r="441" spans="2:21">
      <c r="B441" s="46" t="s">
        <v>47</v>
      </c>
      <c r="C441" s="46" t="s">
        <v>28</v>
      </c>
      <c r="D441" s="47">
        <v>45128</v>
      </c>
      <c r="F441" s="34"/>
      <c r="G441" s="46"/>
      <c r="H441" s="34"/>
      <c r="I441" s="34"/>
      <c r="K441" s="39">
        <v>2516101</v>
      </c>
      <c r="L441" s="16" t="s">
        <v>1542</v>
      </c>
      <c r="M441" s="34" t="s">
        <v>31</v>
      </c>
      <c r="N441" s="34"/>
      <c r="O441" s="34"/>
      <c r="P441" s="34"/>
      <c r="Q441" s="34" t="s">
        <v>33</v>
      </c>
      <c r="R441" s="34" t="s">
        <v>94</v>
      </c>
      <c r="S441" s="34" t="s">
        <v>35</v>
      </c>
      <c r="T441" s="34" t="s">
        <v>36</v>
      </c>
      <c r="U441" s="34"/>
    </row>
    <row r="442" spans="2:21">
      <c r="B442" s="46" t="s">
        <v>47</v>
      </c>
      <c r="C442" s="46" t="s">
        <v>28</v>
      </c>
      <c r="D442" s="47">
        <v>45128</v>
      </c>
      <c r="F442" s="34"/>
      <c r="G442" s="46"/>
      <c r="H442" s="34"/>
      <c r="I442" s="34"/>
      <c r="K442" s="39">
        <v>2516001</v>
      </c>
      <c r="L442" s="16" t="s">
        <v>1543</v>
      </c>
      <c r="M442" s="34" t="s">
        <v>31</v>
      </c>
      <c r="N442" s="34"/>
      <c r="O442" s="34"/>
      <c r="P442" s="34"/>
      <c r="Q442" s="34" t="s">
        <v>33</v>
      </c>
      <c r="R442" s="34" t="s">
        <v>94</v>
      </c>
      <c r="S442" s="34" t="s">
        <v>35</v>
      </c>
      <c r="T442" s="34" t="s">
        <v>36</v>
      </c>
      <c r="U442" s="34"/>
    </row>
    <row r="443" spans="2:21">
      <c r="B443" s="46" t="s">
        <v>47</v>
      </c>
      <c r="C443" s="46" t="s">
        <v>28</v>
      </c>
      <c r="D443" s="47">
        <v>45128</v>
      </c>
      <c r="F443" s="34"/>
      <c r="G443" s="46"/>
      <c r="H443" s="34"/>
      <c r="I443" s="34"/>
      <c r="K443" s="39">
        <v>2515701</v>
      </c>
      <c r="L443" s="16" t="s">
        <v>1544</v>
      </c>
      <c r="M443" s="34" t="s">
        <v>31</v>
      </c>
      <c r="N443" s="34"/>
      <c r="O443" s="34"/>
      <c r="P443" s="34"/>
      <c r="Q443" s="34" t="s">
        <v>33</v>
      </c>
      <c r="R443" s="34" t="s">
        <v>94</v>
      </c>
      <c r="S443" s="34" t="s">
        <v>35</v>
      </c>
      <c r="T443" s="34" t="s">
        <v>36</v>
      </c>
      <c r="U443" s="34"/>
    </row>
    <row r="444" spans="2:21">
      <c r="B444" s="46" t="s">
        <v>47</v>
      </c>
      <c r="C444" s="46" t="s">
        <v>28</v>
      </c>
      <c r="D444" s="47">
        <v>45128</v>
      </c>
      <c r="F444" s="34"/>
      <c r="G444" s="46"/>
      <c r="H444" s="34"/>
      <c r="I444" s="34"/>
      <c r="K444" s="39">
        <v>2515801</v>
      </c>
      <c r="L444" s="16" t="s">
        <v>1545</v>
      </c>
      <c r="M444" s="34" t="s">
        <v>31</v>
      </c>
      <c r="N444" s="34"/>
      <c r="O444" s="34"/>
      <c r="P444" s="34"/>
      <c r="Q444" s="34" t="s">
        <v>33</v>
      </c>
      <c r="R444" s="34" t="s">
        <v>94</v>
      </c>
      <c r="S444" s="34" t="s">
        <v>35</v>
      </c>
      <c r="T444" s="34" t="s">
        <v>36</v>
      </c>
      <c r="U444" s="34"/>
    </row>
    <row r="445" spans="2:21">
      <c r="B445" s="46" t="s">
        <v>47</v>
      </c>
      <c r="C445" s="46" t="s">
        <v>28</v>
      </c>
      <c r="D445" s="47">
        <v>45128</v>
      </c>
      <c r="F445" s="34"/>
      <c r="G445" s="46"/>
      <c r="H445" s="34"/>
      <c r="I445" s="34"/>
      <c r="K445" s="39">
        <v>2515901</v>
      </c>
      <c r="L445" s="16" t="s">
        <v>1546</v>
      </c>
      <c r="M445" s="34" t="s">
        <v>31</v>
      </c>
      <c r="N445" s="34"/>
      <c r="O445" s="34"/>
      <c r="P445" s="34"/>
      <c r="Q445" s="34" t="s">
        <v>33</v>
      </c>
      <c r="R445" s="34" t="s">
        <v>94</v>
      </c>
      <c r="S445" s="34" t="s">
        <v>35</v>
      </c>
      <c r="T445" s="34" t="s">
        <v>36</v>
      </c>
      <c r="U445" s="34"/>
    </row>
    <row r="446" spans="2:21">
      <c r="B446" s="46" t="s">
        <v>47</v>
      </c>
      <c r="C446" s="46" t="s">
        <v>28</v>
      </c>
      <c r="D446" s="47">
        <v>45135</v>
      </c>
      <c r="F446" s="34"/>
      <c r="G446" s="46"/>
      <c r="H446" s="34"/>
      <c r="I446" s="34"/>
      <c r="K446" s="39">
        <v>2517001</v>
      </c>
      <c r="L446" s="16" t="s">
        <v>1547</v>
      </c>
      <c r="M446" s="34" t="s">
        <v>31</v>
      </c>
      <c r="N446" s="34"/>
      <c r="O446" s="34"/>
      <c r="P446" s="34"/>
      <c r="Q446" s="34" t="s">
        <v>33</v>
      </c>
      <c r="R446" s="34" t="s">
        <v>94</v>
      </c>
      <c r="S446" s="34" t="s">
        <v>35</v>
      </c>
      <c r="T446" s="34" t="s">
        <v>36</v>
      </c>
      <c r="U446" s="34"/>
    </row>
    <row r="447" spans="2:21">
      <c r="B447" s="46" t="s">
        <v>47</v>
      </c>
      <c r="C447" s="46" t="s">
        <v>28</v>
      </c>
      <c r="D447" s="47">
        <v>45156</v>
      </c>
      <c r="F447" s="34"/>
      <c r="G447" s="46"/>
      <c r="H447" s="34"/>
      <c r="I447" s="34"/>
      <c r="K447" s="39">
        <v>2516901</v>
      </c>
      <c r="L447" s="16" t="s">
        <v>1548</v>
      </c>
      <c r="M447" s="34" t="s">
        <v>31</v>
      </c>
      <c r="N447" s="34"/>
      <c r="O447" s="34"/>
      <c r="P447" s="34"/>
      <c r="Q447" s="34" t="s">
        <v>33</v>
      </c>
      <c r="R447" s="34" t="s">
        <v>94</v>
      </c>
      <c r="S447" s="34" t="s">
        <v>35</v>
      </c>
      <c r="T447" s="34" t="s">
        <v>36</v>
      </c>
      <c r="U447" s="34"/>
    </row>
    <row r="448" spans="2:21">
      <c r="B448" s="46" t="s">
        <v>47</v>
      </c>
      <c r="C448" s="46" t="s">
        <v>28</v>
      </c>
      <c r="D448" s="47">
        <v>45163</v>
      </c>
      <c r="F448" s="34"/>
      <c r="G448" s="46"/>
      <c r="H448" s="34"/>
      <c r="I448" s="34"/>
      <c r="K448" s="39">
        <v>2520101</v>
      </c>
      <c r="L448" s="16" t="s">
        <v>1549</v>
      </c>
      <c r="M448" s="34" t="s">
        <v>31</v>
      </c>
      <c r="N448" s="34"/>
      <c r="O448" s="34"/>
      <c r="P448" s="34"/>
      <c r="Q448" s="34" t="s">
        <v>33</v>
      </c>
      <c r="R448" s="34" t="s">
        <v>94</v>
      </c>
      <c r="S448" s="34" t="s">
        <v>35</v>
      </c>
      <c r="T448" s="34" t="s">
        <v>36</v>
      </c>
      <c r="U448" s="34"/>
    </row>
    <row r="449" spans="2:21">
      <c r="B449" s="46" t="s">
        <v>47</v>
      </c>
      <c r="C449" s="46" t="s">
        <v>28</v>
      </c>
      <c r="D449" s="47">
        <v>45163</v>
      </c>
      <c r="F449" s="34"/>
      <c r="G449" s="46"/>
      <c r="H449" s="34"/>
      <c r="I449" s="34"/>
      <c r="K449" s="39">
        <v>2520102</v>
      </c>
      <c r="L449" s="16" t="s">
        <v>1550</v>
      </c>
      <c r="M449" s="34" t="s">
        <v>31</v>
      </c>
      <c r="N449" s="34"/>
      <c r="O449" s="34"/>
      <c r="P449" s="34"/>
      <c r="Q449" s="34" t="s">
        <v>33</v>
      </c>
      <c r="R449" s="34" t="s">
        <v>94</v>
      </c>
      <c r="S449" s="34" t="s">
        <v>35</v>
      </c>
      <c r="T449" s="34" t="s">
        <v>36</v>
      </c>
      <c r="U449" s="34"/>
    </row>
    <row r="450" spans="2:21">
      <c r="B450" s="46" t="s">
        <v>47</v>
      </c>
      <c r="C450" s="46" t="s">
        <v>28</v>
      </c>
      <c r="D450" s="47">
        <v>45163</v>
      </c>
      <c r="F450" s="34"/>
      <c r="G450" s="46"/>
      <c r="H450" s="34"/>
      <c r="I450" s="34"/>
      <c r="K450" s="22">
        <v>2520701</v>
      </c>
      <c r="L450" s="21" t="s">
        <v>1551</v>
      </c>
      <c r="M450" s="34" t="s">
        <v>31</v>
      </c>
      <c r="N450" s="34"/>
      <c r="O450" s="34"/>
      <c r="P450" s="34"/>
      <c r="Q450" s="34" t="s">
        <v>33</v>
      </c>
      <c r="R450" s="34" t="s">
        <v>94</v>
      </c>
      <c r="S450" s="34" t="s">
        <v>35</v>
      </c>
      <c r="T450" s="34" t="s">
        <v>36</v>
      </c>
      <c r="U450" s="34"/>
    </row>
    <row r="451" spans="2:21">
      <c r="B451" s="46" t="s">
        <v>47</v>
      </c>
      <c r="C451" s="46" t="s">
        <v>28</v>
      </c>
      <c r="D451" s="47">
        <v>45163</v>
      </c>
      <c r="F451" s="34"/>
      <c r="G451" s="46"/>
      <c r="H451" s="34"/>
      <c r="I451" s="34"/>
      <c r="K451" s="22">
        <v>2520702</v>
      </c>
      <c r="L451" s="21" t="s">
        <v>1552</v>
      </c>
      <c r="M451" s="34" t="s">
        <v>31</v>
      </c>
      <c r="N451" s="34"/>
      <c r="O451" s="34"/>
      <c r="P451" s="34"/>
      <c r="Q451" s="34" t="s">
        <v>33</v>
      </c>
      <c r="R451" s="34" t="s">
        <v>94</v>
      </c>
      <c r="S451" s="34" t="s">
        <v>35</v>
      </c>
      <c r="T451" s="34" t="s">
        <v>36</v>
      </c>
      <c r="U451" s="34"/>
    </row>
    <row r="452" spans="2:21">
      <c r="B452" s="46" t="s">
        <v>47</v>
      </c>
      <c r="C452" s="46" t="s">
        <v>28</v>
      </c>
      <c r="D452" s="47">
        <v>45177</v>
      </c>
      <c r="F452" s="34"/>
      <c r="G452" s="46"/>
      <c r="H452" s="34"/>
      <c r="I452" s="34"/>
      <c r="K452" s="39">
        <v>1595210</v>
      </c>
      <c r="L452" s="16" t="s">
        <v>1553</v>
      </c>
      <c r="M452" s="34" t="s">
        <v>31</v>
      </c>
      <c r="N452" s="34"/>
      <c r="O452" s="34"/>
      <c r="P452" s="34"/>
      <c r="Q452" s="34" t="s">
        <v>33</v>
      </c>
      <c r="R452" s="34" t="s">
        <v>94</v>
      </c>
      <c r="S452" s="34" t="s">
        <v>35</v>
      </c>
      <c r="T452" s="34" t="s">
        <v>36</v>
      </c>
      <c r="U452" s="34"/>
    </row>
    <row r="453" spans="2:21">
      <c r="B453" s="46" t="s">
        <v>47</v>
      </c>
      <c r="C453" s="46" t="s">
        <v>28</v>
      </c>
      <c r="D453" s="47">
        <v>45184</v>
      </c>
      <c r="F453" s="34"/>
      <c r="G453" s="46"/>
      <c r="H453" s="34"/>
      <c r="I453" s="34"/>
      <c r="K453" s="39">
        <v>2522301</v>
      </c>
      <c r="L453" s="16" t="s">
        <v>1554</v>
      </c>
      <c r="M453" s="34" t="s">
        <v>31</v>
      </c>
      <c r="N453" s="34"/>
      <c r="O453" s="34"/>
      <c r="P453" s="34"/>
      <c r="Q453" s="34" t="s">
        <v>33</v>
      </c>
      <c r="R453" s="34" t="s">
        <v>94</v>
      </c>
      <c r="S453" s="34" t="s">
        <v>35</v>
      </c>
      <c r="T453" s="34" t="s">
        <v>36</v>
      </c>
      <c r="U453" s="34"/>
    </row>
    <row r="454" spans="2:21">
      <c r="B454" s="46" t="s">
        <v>47</v>
      </c>
      <c r="C454" s="46" t="s">
        <v>28</v>
      </c>
      <c r="D454" s="47">
        <v>45191</v>
      </c>
      <c r="F454" s="34"/>
      <c r="G454" s="46"/>
      <c r="H454" s="34"/>
      <c r="I454" s="34"/>
      <c r="K454" s="39">
        <v>2466302</v>
      </c>
      <c r="L454" s="16" t="s">
        <v>1555</v>
      </c>
      <c r="M454" s="34" t="s">
        <v>31</v>
      </c>
      <c r="N454" s="34"/>
      <c r="O454" s="34"/>
      <c r="P454" s="34"/>
      <c r="Q454" s="34" t="s">
        <v>33</v>
      </c>
      <c r="R454" s="34" t="s">
        <v>94</v>
      </c>
      <c r="S454" s="34" t="s">
        <v>35</v>
      </c>
      <c r="T454" s="34" t="s">
        <v>36</v>
      </c>
      <c r="U454" s="34"/>
    </row>
    <row r="455" spans="2:21">
      <c r="B455" s="46" t="s">
        <v>47</v>
      </c>
      <c r="C455" s="46" t="s">
        <v>28</v>
      </c>
      <c r="D455" s="47">
        <v>45191</v>
      </c>
      <c r="F455" s="34"/>
      <c r="G455" s="46"/>
      <c r="H455" s="34"/>
      <c r="I455" s="34"/>
      <c r="K455" s="39">
        <v>2145203</v>
      </c>
      <c r="L455" s="16" t="s">
        <v>1556</v>
      </c>
      <c r="M455" s="34" t="s">
        <v>31</v>
      </c>
      <c r="N455" s="34"/>
      <c r="O455" s="34"/>
      <c r="P455" s="34"/>
      <c r="Q455" s="34" t="s">
        <v>33</v>
      </c>
      <c r="R455" s="34" t="s">
        <v>94</v>
      </c>
      <c r="S455" s="34" t="s">
        <v>35</v>
      </c>
      <c r="T455" s="34" t="s">
        <v>36</v>
      </c>
      <c r="U455" s="34"/>
    </row>
    <row r="456" spans="2:21">
      <c r="B456" s="46" t="s">
        <v>47</v>
      </c>
      <c r="C456" s="46" t="s">
        <v>28</v>
      </c>
      <c r="D456" s="47">
        <v>45191</v>
      </c>
      <c r="F456" s="34"/>
      <c r="G456" s="46"/>
      <c r="H456" s="34"/>
      <c r="I456" s="34"/>
      <c r="K456" s="39">
        <v>2522801</v>
      </c>
      <c r="L456" s="16" t="s">
        <v>1557</v>
      </c>
      <c r="M456" s="34" t="s">
        <v>31</v>
      </c>
      <c r="N456" s="34"/>
      <c r="O456" s="34"/>
      <c r="P456" s="34"/>
      <c r="Q456" s="34" t="s">
        <v>33</v>
      </c>
      <c r="R456" s="34" t="s">
        <v>94</v>
      </c>
      <c r="S456" s="34" t="s">
        <v>35</v>
      </c>
      <c r="T456" s="34" t="s">
        <v>36</v>
      </c>
      <c r="U456" s="34"/>
    </row>
    <row r="457" spans="2:21">
      <c r="B457" s="46" t="s">
        <v>47</v>
      </c>
      <c r="C457" s="46" t="s">
        <v>28</v>
      </c>
      <c r="D457" s="47">
        <v>45212</v>
      </c>
      <c r="F457" s="34"/>
      <c r="G457" s="46"/>
      <c r="H457" s="34"/>
      <c r="I457" s="34"/>
      <c r="K457" s="39">
        <v>2524801</v>
      </c>
      <c r="L457" s="16" t="s">
        <v>1558</v>
      </c>
      <c r="M457" s="38" t="s">
        <v>31</v>
      </c>
      <c r="N457" s="82"/>
      <c r="O457" s="82"/>
      <c r="P457" s="82"/>
      <c r="Q457" s="38" t="s">
        <v>33</v>
      </c>
      <c r="R457" s="34" t="s">
        <v>94</v>
      </c>
      <c r="S457" s="34" t="s">
        <v>35</v>
      </c>
      <c r="T457" s="34" t="s">
        <v>36</v>
      </c>
      <c r="U457" s="39"/>
    </row>
    <row r="458" spans="2:21">
      <c r="B458" s="46" t="s">
        <v>47</v>
      </c>
      <c r="C458" s="46" t="s">
        <v>28</v>
      </c>
      <c r="D458" s="47">
        <v>45212</v>
      </c>
      <c r="F458" s="34"/>
      <c r="G458" s="46"/>
      <c r="H458" s="34"/>
      <c r="I458" s="34"/>
      <c r="K458" s="39">
        <v>2524802</v>
      </c>
      <c r="L458" s="16" t="s">
        <v>1559</v>
      </c>
      <c r="M458" s="38" t="s">
        <v>31</v>
      </c>
      <c r="N458" s="82"/>
      <c r="O458" s="82"/>
      <c r="P458" s="82"/>
      <c r="Q458" s="38" t="s">
        <v>33</v>
      </c>
      <c r="R458" s="34" t="s">
        <v>94</v>
      </c>
      <c r="S458" s="34" t="s">
        <v>35</v>
      </c>
      <c r="T458" s="34" t="s">
        <v>36</v>
      </c>
      <c r="U458" s="39"/>
    </row>
    <row r="459" spans="2:21">
      <c r="B459" s="46" t="s">
        <v>47</v>
      </c>
      <c r="C459" s="46" t="s">
        <v>28</v>
      </c>
      <c r="D459" s="47">
        <v>45212</v>
      </c>
      <c r="F459" s="34"/>
      <c r="G459" s="46"/>
      <c r="H459" s="34"/>
      <c r="I459" s="34"/>
      <c r="K459" s="39">
        <v>2524803</v>
      </c>
      <c r="L459" s="16" t="s">
        <v>1560</v>
      </c>
      <c r="M459" s="38" t="s">
        <v>31</v>
      </c>
      <c r="N459" s="82"/>
      <c r="O459" s="82"/>
      <c r="P459" s="82"/>
      <c r="Q459" s="38" t="s">
        <v>33</v>
      </c>
      <c r="R459" s="34" t="s">
        <v>94</v>
      </c>
      <c r="S459" s="34" t="s">
        <v>35</v>
      </c>
      <c r="T459" s="34" t="s">
        <v>36</v>
      </c>
      <c r="U459" s="39"/>
    </row>
    <row r="460" spans="2:21">
      <c r="B460" s="46" t="s">
        <v>47</v>
      </c>
      <c r="C460" s="46" t="s">
        <v>28</v>
      </c>
      <c r="D460" s="47">
        <v>45212</v>
      </c>
      <c r="F460" s="34"/>
      <c r="G460" s="46"/>
      <c r="H460" s="34"/>
      <c r="I460" s="34"/>
      <c r="K460" s="39">
        <v>2524804</v>
      </c>
      <c r="L460" s="16" t="s">
        <v>1561</v>
      </c>
      <c r="M460" s="38" t="s">
        <v>31</v>
      </c>
      <c r="N460" s="82"/>
      <c r="O460" s="82"/>
      <c r="P460" s="82"/>
      <c r="Q460" s="34" t="s">
        <v>33</v>
      </c>
      <c r="R460" s="34" t="s">
        <v>94</v>
      </c>
      <c r="S460" s="34" t="s">
        <v>35</v>
      </c>
      <c r="T460" s="34" t="s">
        <v>36</v>
      </c>
      <c r="U460" s="39"/>
    </row>
    <row r="461" spans="2:21">
      <c r="B461" s="46" t="s">
        <v>47</v>
      </c>
      <c r="C461" s="46" t="s">
        <v>28</v>
      </c>
      <c r="D461" s="47">
        <v>45219</v>
      </c>
      <c r="F461" s="34"/>
      <c r="G461" s="46"/>
      <c r="H461" s="34"/>
      <c r="I461" s="34"/>
      <c r="K461" s="39">
        <v>1874002</v>
      </c>
      <c r="L461" s="16" t="s">
        <v>1562</v>
      </c>
      <c r="M461" s="34" t="s">
        <v>31</v>
      </c>
      <c r="N461" s="34"/>
      <c r="O461" s="38"/>
      <c r="P461" s="38"/>
      <c r="Q461" s="34" t="s">
        <v>33</v>
      </c>
      <c r="R461" s="34" t="s">
        <v>94</v>
      </c>
      <c r="S461" s="34" t="s">
        <v>35</v>
      </c>
      <c r="T461" s="34" t="s">
        <v>36</v>
      </c>
      <c r="U461" s="34"/>
    </row>
    <row r="462" spans="2:21">
      <c r="B462" s="46" t="s">
        <v>47</v>
      </c>
      <c r="C462" s="46" t="s">
        <v>28</v>
      </c>
      <c r="D462" s="47">
        <v>45233</v>
      </c>
      <c r="F462" s="34"/>
      <c r="G462" s="46"/>
      <c r="H462" s="34"/>
      <c r="I462" s="34"/>
      <c r="K462" s="39">
        <v>1637405</v>
      </c>
      <c r="L462" s="16" t="s">
        <v>1563</v>
      </c>
      <c r="M462" s="34" t="s">
        <v>31</v>
      </c>
      <c r="N462" s="39"/>
      <c r="O462" s="39"/>
      <c r="P462" s="39"/>
      <c r="Q462" s="34" t="s">
        <v>33</v>
      </c>
      <c r="R462" s="34" t="s">
        <v>94</v>
      </c>
      <c r="S462" s="34" t="s">
        <v>35</v>
      </c>
      <c r="T462" s="34" t="s">
        <v>36</v>
      </c>
      <c r="U462" s="39"/>
    </row>
    <row r="463" spans="2:21">
      <c r="B463" s="46" t="s">
        <v>47</v>
      </c>
      <c r="C463" s="46" t="s">
        <v>28</v>
      </c>
      <c r="D463" s="47">
        <v>45233</v>
      </c>
      <c r="F463" s="34"/>
      <c r="G463" s="46"/>
      <c r="H463" s="34"/>
      <c r="I463" s="34"/>
      <c r="K463" s="39">
        <v>1637406</v>
      </c>
      <c r="L463" s="16" t="s">
        <v>1564</v>
      </c>
      <c r="M463" s="34" t="s">
        <v>31</v>
      </c>
      <c r="N463" s="39"/>
      <c r="O463" s="39"/>
      <c r="P463" s="39"/>
      <c r="Q463" s="34" t="s">
        <v>33</v>
      </c>
      <c r="R463" s="34" t="s">
        <v>94</v>
      </c>
      <c r="S463" s="34" t="s">
        <v>35</v>
      </c>
      <c r="T463" s="34" t="s">
        <v>36</v>
      </c>
      <c r="U463" s="39"/>
    </row>
    <row r="464" spans="2:21">
      <c r="B464" s="46" t="s">
        <v>47</v>
      </c>
      <c r="C464" s="46" t="s">
        <v>28</v>
      </c>
      <c r="D464" s="47">
        <v>45233</v>
      </c>
      <c r="F464" s="34"/>
      <c r="G464" s="46"/>
      <c r="H464" s="34"/>
      <c r="I464" s="34"/>
      <c r="K464" s="39">
        <v>2539101</v>
      </c>
      <c r="L464" s="16" t="s">
        <v>1565</v>
      </c>
      <c r="M464" s="34" t="s">
        <v>31</v>
      </c>
      <c r="N464" s="39"/>
      <c r="O464" s="39"/>
      <c r="P464" s="39"/>
      <c r="Q464" s="34" t="s">
        <v>33</v>
      </c>
      <c r="R464" s="34" t="s">
        <v>94</v>
      </c>
      <c r="S464" s="34" t="s">
        <v>35</v>
      </c>
      <c r="T464" s="34" t="s">
        <v>36</v>
      </c>
      <c r="U464" s="39"/>
    </row>
    <row r="465" spans="2:21">
      <c r="B465" s="46" t="s">
        <v>47</v>
      </c>
      <c r="C465" s="46" t="s">
        <v>28</v>
      </c>
      <c r="D465" s="47">
        <v>45233</v>
      </c>
      <c r="F465" s="34"/>
      <c r="G465" s="46"/>
      <c r="H465" s="34"/>
      <c r="I465" s="34"/>
      <c r="K465" s="39">
        <v>2539102</v>
      </c>
      <c r="L465" s="16" t="s">
        <v>1566</v>
      </c>
      <c r="M465" s="34" t="s">
        <v>31</v>
      </c>
      <c r="N465" s="39"/>
      <c r="O465" s="39"/>
      <c r="P465" s="39"/>
      <c r="Q465" s="34" t="s">
        <v>33</v>
      </c>
      <c r="R465" s="34" t="s">
        <v>94</v>
      </c>
      <c r="S465" s="34" t="s">
        <v>35</v>
      </c>
      <c r="T465" s="34" t="s">
        <v>36</v>
      </c>
      <c r="U465" s="39"/>
    </row>
    <row r="466" spans="2:21">
      <c r="B466" s="46" t="s">
        <v>47</v>
      </c>
      <c r="C466" s="46" t="s">
        <v>28</v>
      </c>
      <c r="D466" s="47">
        <v>45240</v>
      </c>
      <c r="F466" s="34"/>
      <c r="G466" s="46"/>
      <c r="H466" s="34"/>
      <c r="I466" s="34"/>
      <c r="K466" s="39">
        <v>2522302</v>
      </c>
      <c r="L466" s="16" t="s">
        <v>1567</v>
      </c>
      <c r="M466" s="34" t="s">
        <v>31</v>
      </c>
      <c r="N466" s="34"/>
      <c r="O466" s="34"/>
      <c r="P466" s="34"/>
      <c r="Q466" s="34" t="s">
        <v>33</v>
      </c>
      <c r="R466" s="34" t="s">
        <v>94</v>
      </c>
      <c r="S466" s="34" t="s">
        <v>35</v>
      </c>
      <c r="T466" s="34" t="s">
        <v>36</v>
      </c>
      <c r="U466" s="34"/>
    </row>
    <row r="467" spans="2:21">
      <c r="B467" s="46" t="s">
        <v>47</v>
      </c>
      <c r="C467" s="46" t="s">
        <v>28</v>
      </c>
      <c r="D467" s="47">
        <v>45240</v>
      </c>
      <c r="F467" s="34"/>
      <c r="G467" s="46"/>
      <c r="H467" s="34"/>
      <c r="I467" s="34"/>
      <c r="K467" s="39">
        <v>2150502</v>
      </c>
      <c r="L467" s="16" t="s">
        <v>1568</v>
      </c>
      <c r="M467" s="34" t="s">
        <v>31</v>
      </c>
      <c r="N467" s="34"/>
      <c r="O467" s="34"/>
      <c r="P467" s="34"/>
      <c r="Q467" s="34" t="s">
        <v>33</v>
      </c>
      <c r="R467" s="34" t="s">
        <v>94</v>
      </c>
      <c r="S467" s="34" t="s">
        <v>35</v>
      </c>
      <c r="T467" s="34" t="s">
        <v>36</v>
      </c>
      <c r="U467" s="34"/>
    </row>
    <row r="468" spans="2:21">
      <c r="B468" s="46" t="s">
        <v>47</v>
      </c>
      <c r="C468" s="46" t="s">
        <v>28</v>
      </c>
      <c r="D468" s="47">
        <v>45240</v>
      </c>
      <c r="F468" s="34"/>
      <c r="G468" s="46"/>
      <c r="H468" s="34"/>
      <c r="I468" s="34"/>
      <c r="K468" s="39">
        <v>2150503</v>
      </c>
      <c r="L468" s="16" t="s">
        <v>1569</v>
      </c>
      <c r="M468" s="34" t="s">
        <v>31</v>
      </c>
      <c r="N468" s="34"/>
      <c r="O468" s="34"/>
      <c r="P468" s="34"/>
      <c r="Q468" s="34" t="s">
        <v>33</v>
      </c>
      <c r="R468" s="34" t="s">
        <v>94</v>
      </c>
      <c r="S468" s="34" t="s">
        <v>35</v>
      </c>
      <c r="T468" s="34" t="s">
        <v>36</v>
      </c>
      <c r="U468" s="34"/>
    </row>
    <row r="469" spans="2:21">
      <c r="B469" s="46" t="s">
        <v>47</v>
      </c>
      <c r="C469" s="46" t="s">
        <v>28</v>
      </c>
      <c r="D469" s="47">
        <v>45240</v>
      </c>
      <c r="F469" s="34"/>
      <c r="G469" s="46"/>
      <c r="H469" s="34"/>
      <c r="I469" s="34"/>
      <c r="K469" s="39">
        <v>2524805</v>
      </c>
      <c r="L469" s="16" t="s">
        <v>1570</v>
      </c>
      <c r="M469" s="34" t="s">
        <v>31</v>
      </c>
      <c r="N469" s="34"/>
      <c r="O469" s="34"/>
      <c r="P469" s="34"/>
      <c r="Q469" s="34" t="s">
        <v>33</v>
      </c>
      <c r="R469" s="34" t="s">
        <v>94</v>
      </c>
      <c r="S469" s="34" t="s">
        <v>35</v>
      </c>
      <c r="T469" s="34" t="s">
        <v>36</v>
      </c>
      <c r="U469" s="34"/>
    </row>
    <row r="470" spans="2:21">
      <c r="B470" s="46" t="s">
        <v>47</v>
      </c>
      <c r="C470" s="46" t="s">
        <v>28</v>
      </c>
      <c r="D470" s="47">
        <v>45240</v>
      </c>
      <c r="F470" s="34"/>
      <c r="G470" s="46"/>
      <c r="H470" s="34"/>
      <c r="I470" s="34"/>
      <c r="K470" s="39">
        <v>2524806</v>
      </c>
      <c r="L470" s="16" t="s">
        <v>1571</v>
      </c>
      <c r="M470" s="34" t="s">
        <v>31</v>
      </c>
      <c r="N470" s="34"/>
      <c r="O470" s="34"/>
      <c r="P470" s="34"/>
      <c r="Q470" s="34" t="s">
        <v>33</v>
      </c>
      <c r="R470" s="34" t="s">
        <v>94</v>
      </c>
      <c r="S470" s="34" t="s">
        <v>35</v>
      </c>
      <c r="T470" s="34" t="s">
        <v>36</v>
      </c>
      <c r="U470" s="34"/>
    </row>
    <row r="471" spans="2:21">
      <c r="B471" s="46" t="s">
        <v>47</v>
      </c>
      <c r="C471" s="46" t="s">
        <v>28</v>
      </c>
      <c r="D471" s="47">
        <v>45275</v>
      </c>
      <c r="F471" s="34"/>
      <c r="G471" s="46"/>
      <c r="H471" s="34"/>
      <c r="I471" s="34"/>
      <c r="K471" s="39">
        <v>1839509</v>
      </c>
      <c r="L471" s="16" t="s">
        <v>1572</v>
      </c>
      <c r="M471" s="34" t="s">
        <v>31</v>
      </c>
      <c r="N471" s="34"/>
      <c r="O471" s="34"/>
      <c r="P471" s="34"/>
      <c r="Q471" s="34" t="s">
        <v>33</v>
      </c>
      <c r="R471" s="34" t="s">
        <v>94</v>
      </c>
      <c r="S471" s="34" t="s">
        <v>35</v>
      </c>
      <c r="T471" s="34" t="s">
        <v>36</v>
      </c>
      <c r="U471" s="34"/>
    </row>
    <row r="472" spans="2:21">
      <c r="B472" s="46" t="s">
        <v>47</v>
      </c>
      <c r="C472" s="46" t="s">
        <v>28</v>
      </c>
      <c r="D472" s="47">
        <v>45275</v>
      </c>
      <c r="F472" s="34"/>
      <c r="G472" s="46"/>
      <c r="H472" s="34"/>
      <c r="I472" s="34"/>
      <c r="K472" s="39">
        <v>1839510</v>
      </c>
      <c r="L472" s="16" t="s">
        <v>1573</v>
      </c>
      <c r="M472" s="34" t="s">
        <v>31</v>
      </c>
      <c r="N472" s="34"/>
      <c r="O472" s="34"/>
      <c r="P472" s="34"/>
      <c r="Q472" s="34" t="s">
        <v>33</v>
      </c>
      <c r="R472" s="34" t="s">
        <v>94</v>
      </c>
      <c r="S472" s="34" t="s">
        <v>35</v>
      </c>
      <c r="T472" s="34" t="s">
        <v>36</v>
      </c>
      <c r="U472" s="34"/>
    </row>
    <row r="473" spans="2:21">
      <c r="B473" s="46" t="s">
        <v>47</v>
      </c>
      <c r="C473" s="46" t="s">
        <v>28</v>
      </c>
      <c r="D473" s="47">
        <v>45282</v>
      </c>
      <c r="F473" s="34"/>
      <c r="G473" s="46"/>
      <c r="H473" s="34"/>
      <c r="I473" s="34"/>
      <c r="K473" s="39">
        <v>1582503</v>
      </c>
      <c r="L473" s="16" t="s">
        <v>1574</v>
      </c>
      <c r="M473" s="34" t="s">
        <v>31</v>
      </c>
      <c r="N473" s="34"/>
      <c r="O473" s="34"/>
      <c r="P473" s="34"/>
      <c r="Q473" s="34" t="s">
        <v>33</v>
      </c>
      <c r="R473" s="34" t="s">
        <v>94</v>
      </c>
      <c r="S473" s="34" t="s">
        <v>35</v>
      </c>
      <c r="T473" s="34" t="s">
        <v>36</v>
      </c>
      <c r="U473" s="34"/>
    </row>
    <row r="474" spans="2:21">
      <c r="B474" s="46" t="s">
        <v>47</v>
      </c>
      <c r="C474" s="46" t="s">
        <v>28</v>
      </c>
      <c r="D474" s="47">
        <v>45282</v>
      </c>
      <c r="F474" s="34"/>
      <c r="G474" s="46"/>
      <c r="H474" s="34"/>
      <c r="I474" s="34"/>
      <c r="K474" s="39">
        <v>1582414</v>
      </c>
      <c r="L474" s="16" t="s">
        <v>1575</v>
      </c>
      <c r="M474" s="34" t="s">
        <v>31</v>
      </c>
      <c r="N474" s="34"/>
      <c r="O474" s="34"/>
      <c r="P474" s="34"/>
      <c r="Q474" s="34" t="s">
        <v>33</v>
      </c>
      <c r="R474" s="34" t="s">
        <v>94</v>
      </c>
      <c r="S474" s="34" t="s">
        <v>35</v>
      </c>
      <c r="T474" s="34" t="s">
        <v>36</v>
      </c>
      <c r="U474" s="34"/>
    </row>
    <row r="475" spans="2:21">
      <c r="B475" s="46" t="s">
        <v>47</v>
      </c>
      <c r="C475" s="46" t="s">
        <v>28</v>
      </c>
      <c r="D475" s="47">
        <v>45282</v>
      </c>
      <c r="F475" s="34"/>
      <c r="G475" s="46"/>
      <c r="H475" s="34"/>
      <c r="I475" s="34"/>
      <c r="K475" s="39">
        <v>1582504</v>
      </c>
      <c r="L475" s="16" t="s">
        <v>1576</v>
      </c>
      <c r="M475" s="34" t="s">
        <v>31</v>
      </c>
      <c r="N475" s="34"/>
      <c r="O475" s="34"/>
      <c r="P475" s="34"/>
      <c r="Q475" s="34" t="s">
        <v>33</v>
      </c>
      <c r="R475" s="34" t="s">
        <v>94</v>
      </c>
      <c r="S475" s="34" t="s">
        <v>35</v>
      </c>
      <c r="T475" s="34" t="s">
        <v>36</v>
      </c>
      <c r="U475" s="34"/>
    </row>
    <row r="476" spans="2:21">
      <c r="B476" s="46" t="s">
        <v>47</v>
      </c>
      <c r="C476" s="46" t="s">
        <v>28</v>
      </c>
      <c r="D476" s="47">
        <v>45282</v>
      </c>
      <c r="F476" s="34"/>
      <c r="G476" s="46"/>
      <c r="H476" s="34"/>
      <c r="I476" s="34"/>
      <c r="K476" s="39">
        <v>1932002</v>
      </c>
      <c r="L476" s="16" t="s">
        <v>1577</v>
      </c>
      <c r="M476" s="34" t="s">
        <v>31</v>
      </c>
      <c r="N476" s="34"/>
      <c r="O476" s="34"/>
      <c r="P476" s="34"/>
      <c r="Q476" s="34" t="s">
        <v>33</v>
      </c>
      <c r="R476" s="34" t="s">
        <v>94</v>
      </c>
      <c r="S476" s="34" t="s">
        <v>35</v>
      </c>
      <c r="T476" s="34" t="s">
        <v>36</v>
      </c>
      <c r="U476" s="34"/>
    </row>
    <row r="477" spans="2:21">
      <c r="B477" s="46" t="s">
        <v>47</v>
      </c>
      <c r="C477" s="46" t="s">
        <v>28</v>
      </c>
      <c r="D477" s="47">
        <v>45282</v>
      </c>
      <c r="F477" s="34"/>
      <c r="G477" s="46"/>
      <c r="H477" s="34"/>
      <c r="I477" s="34"/>
      <c r="K477" s="39">
        <v>1318206</v>
      </c>
      <c r="L477" s="16" t="s">
        <v>1578</v>
      </c>
      <c r="M477" s="34" t="s">
        <v>31</v>
      </c>
      <c r="N477" s="34"/>
      <c r="O477" s="34"/>
      <c r="P477" s="34"/>
      <c r="Q477" s="34" t="s">
        <v>33</v>
      </c>
      <c r="R477" s="34" t="s">
        <v>94</v>
      </c>
      <c r="S477" s="34" t="s">
        <v>35</v>
      </c>
      <c r="T477" s="34" t="s">
        <v>36</v>
      </c>
      <c r="U477" s="34"/>
    </row>
    <row r="478" spans="2:21">
      <c r="B478" s="46" t="s">
        <v>47</v>
      </c>
      <c r="C478" s="46" t="s">
        <v>28</v>
      </c>
      <c r="D478" s="47">
        <v>45282</v>
      </c>
      <c r="F478" s="34"/>
      <c r="G478" s="46"/>
      <c r="H478" s="34"/>
      <c r="I478" s="34"/>
      <c r="K478" s="39">
        <v>1318207</v>
      </c>
      <c r="L478" s="16" t="s">
        <v>1579</v>
      </c>
      <c r="M478" s="34" t="s">
        <v>31</v>
      </c>
      <c r="N478" s="34"/>
      <c r="O478" s="34"/>
      <c r="P478" s="34"/>
      <c r="Q478" s="34" t="s">
        <v>33</v>
      </c>
      <c r="R478" s="34" t="s">
        <v>94</v>
      </c>
      <c r="S478" s="34" t="s">
        <v>35</v>
      </c>
      <c r="T478" s="34" t="s">
        <v>36</v>
      </c>
      <c r="U478" s="34"/>
    </row>
    <row r="479" spans="2:21">
      <c r="B479" s="46" t="s">
        <v>47</v>
      </c>
      <c r="C479" s="46" t="s">
        <v>28</v>
      </c>
      <c r="D479" s="47">
        <v>45282</v>
      </c>
      <c r="F479" s="34"/>
      <c r="G479" s="46"/>
      <c r="H479" s="34"/>
      <c r="I479" s="34"/>
      <c r="K479" s="39">
        <v>1318208</v>
      </c>
      <c r="L479" s="16" t="s">
        <v>1580</v>
      </c>
      <c r="M479" s="34" t="s">
        <v>31</v>
      </c>
      <c r="N479" s="34"/>
      <c r="O479" s="34"/>
      <c r="P479" s="34"/>
      <c r="Q479" s="34" t="s">
        <v>33</v>
      </c>
      <c r="R479" s="34" t="s">
        <v>94</v>
      </c>
      <c r="S479" s="34" t="s">
        <v>35</v>
      </c>
      <c r="T479" s="34" t="s">
        <v>36</v>
      </c>
      <c r="U479" s="34"/>
    </row>
    <row r="480" spans="2:21">
      <c r="B480" s="46" t="s">
        <v>47</v>
      </c>
      <c r="C480" s="46" t="s">
        <v>28</v>
      </c>
      <c r="D480" s="47">
        <v>45282</v>
      </c>
      <c r="F480" s="34"/>
      <c r="G480" s="46"/>
      <c r="H480" s="34"/>
      <c r="I480" s="34"/>
      <c r="K480" s="39">
        <v>1318209</v>
      </c>
      <c r="L480" s="16" t="s">
        <v>1581</v>
      </c>
      <c r="M480" s="34" t="s">
        <v>31</v>
      </c>
      <c r="N480" s="34"/>
      <c r="O480" s="34"/>
      <c r="P480" s="34"/>
      <c r="Q480" s="34" t="s">
        <v>33</v>
      </c>
      <c r="R480" s="34" t="s">
        <v>94</v>
      </c>
      <c r="S480" s="34" t="s">
        <v>35</v>
      </c>
      <c r="T480" s="34" t="s">
        <v>36</v>
      </c>
      <c r="U480" s="34"/>
    </row>
    <row r="481" spans="2:21">
      <c r="B481" s="46" t="s">
        <v>47</v>
      </c>
      <c r="C481" s="46" t="s">
        <v>28</v>
      </c>
      <c r="D481" s="47">
        <v>45282</v>
      </c>
      <c r="F481" s="34"/>
      <c r="G481" s="46"/>
      <c r="H481" s="34"/>
      <c r="I481" s="34"/>
      <c r="K481" s="39">
        <v>2562401</v>
      </c>
      <c r="L481" s="16" t="s">
        <v>1582</v>
      </c>
      <c r="M481" s="34" t="s">
        <v>31</v>
      </c>
      <c r="N481" s="34"/>
      <c r="O481" s="34"/>
      <c r="P481" s="34"/>
      <c r="Q481" s="34" t="s">
        <v>33</v>
      </c>
      <c r="R481" s="34" t="s">
        <v>94</v>
      </c>
      <c r="S481" s="34" t="s">
        <v>35</v>
      </c>
      <c r="T481" s="34" t="s">
        <v>36</v>
      </c>
      <c r="U481" s="34"/>
    </row>
    <row r="482" spans="2:21">
      <c r="B482" s="46" t="s">
        <v>47</v>
      </c>
      <c r="C482" s="46" t="s">
        <v>28</v>
      </c>
      <c r="D482" s="47">
        <v>45282</v>
      </c>
      <c r="F482" s="34"/>
      <c r="G482" s="46"/>
      <c r="H482" s="34"/>
      <c r="I482" s="34"/>
      <c r="K482" s="39">
        <v>2562001</v>
      </c>
      <c r="L482" s="16" t="s">
        <v>1583</v>
      </c>
      <c r="M482" s="34" t="s">
        <v>31</v>
      </c>
      <c r="N482" s="34"/>
      <c r="O482" s="34"/>
      <c r="P482" s="34"/>
      <c r="Q482" s="34" t="s">
        <v>33</v>
      </c>
      <c r="R482" s="34" t="s">
        <v>94</v>
      </c>
      <c r="S482" s="34" t="s">
        <v>35</v>
      </c>
      <c r="T482" s="34" t="s">
        <v>36</v>
      </c>
      <c r="U482" s="34"/>
    </row>
    <row r="483" spans="2:21">
      <c r="B483" s="46" t="s">
        <v>47</v>
      </c>
      <c r="C483" s="46" t="s">
        <v>28</v>
      </c>
      <c r="D483" s="47">
        <v>45282</v>
      </c>
      <c r="F483" s="34"/>
      <c r="G483" s="46"/>
      <c r="H483" s="34"/>
      <c r="I483" s="34"/>
      <c r="K483" s="39">
        <v>2562201</v>
      </c>
      <c r="L483" s="16" t="s">
        <v>1584</v>
      </c>
      <c r="M483" s="34" t="s">
        <v>31</v>
      </c>
      <c r="N483" s="34"/>
      <c r="O483" s="34"/>
      <c r="P483" s="34"/>
      <c r="Q483" s="34" t="s">
        <v>33</v>
      </c>
      <c r="R483" s="34" t="s">
        <v>94</v>
      </c>
      <c r="S483" s="34" t="s">
        <v>35</v>
      </c>
      <c r="T483" s="34" t="s">
        <v>36</v>
      </c>
      <c r="U483" s="34"/>
    </row>
    <row r="484" spans="2:21">
      <c r="B484" s="46" t="s">
        <v>47</v>
      </c>
      <c r="C484" s="46" t="s">
        <v>28</v>
      </c>
      <c r="D484" s="47">
        <v>45282</v>
      </c>
      <c r="F484" s="34"/>
      <c r="G484" s="46"/>
      <c r="H484" s="34"/>
      <c r="I484" s="34"/>
      <c r="K484" s="39">
        <v>2562301</v>
      </c>
      <c r="L484" s="16" t="s">
        <v>1585</v>
      </c>
      <c r="M484" s="34" t="s">
        <v>31</v>
      </c>
      <c r="N484" s="34"/>
      <c r="O484" s="34"/>
      <c r="P484" s="34"/>
      <c r="Q484" s="34" t="s">
        <v>33</v>
      </c>
      <c r="R484" s="34" t="s">
        <v>94</v>
      </c>
      <c r="S484" s="34" t="s">
        <v>35</v>
      </c>
      <c r="T484" s="34" t="s">
        <v>36</v>
      </c>
      <c r="U484" s="34"/>
    </row>
    <row r="485" spans="2:21">
      <c r="B485" s="46" t="s">
        <v>47</v>
      </c>
      <c r="C485" s="46" t="s">
        <v>28</v>
      </c>
      <c r="D485" s="47">
        <v>45282</v>
      </c>
      <c r="F485" s="34"/>
      <c r="G485" s="46"/>
      <c r="H485" s="34"/>
      <c r="I485" s="34"/>
      <c r="K485" s="39">
        <v>2562501</v>
      </c>
      <c r="L485" s="16" t="s">
        <v>1586</v>
      </c>
      <c r="M485" s="34" t="s">
        <v>31</v>
      </c>
      <c r="N485" s="34"/>
      <c r="O485" s="34"/>
      <c r="P485" s="34"/>
      <c r="Q485" s="34" t="s">
        <v>33</v>
      </c>
      <c r="R485" s="34" t="s">
        <v>94</v>
      </c>
      <c r="S485" s="34" t="s">
        <v>35</v>
      </c>
      <c r="T485" s="34" t="s">
        <v>36</v>
      </c>
      <c r="U485" s="34"/>
    </row>
    <row r="486" spans="2:21">
      <c r="B486" s="46" t="s">
        <v>47</v>
      </c>
      <c r="C486" s="46" t="s">
        <v>28</v>
      </c>
      <c r="D486" s="47">
        <v>45282</v>
      </c>
      <c r="F486" s="34"/>
      <c r="G486" s="46"/>
      <c r="H486" s="34"/>
      <c r="I486" s="34"/>
      <c r="K486" s="39">
        <v>2562601</v>
      </c>
      <c r="L486" s="16" t="s">
        <v>1587</v>
      </c>
      <c r="M486" s="34" t="s">
        <v>31</v>
      </c>
      <c r="N486" s="34"/>
      <c r="O486" s="34"/>
      <c r="P486" s="34"/>
      <c r="Q486" s="34" t="s">
        <v>33</v>
      </c>
      <c r="R486" s="34" t="s">
        <v>94</v>
      </c>
      <c r="S486" s="34" t="s">
        <v>35</v>
      </c>
      <c r="T486" s="34" t="s">
        <v>36</v>
      </c>
      <c r="U486" s="34"/>
    </row>
    <row r="487" spans="2:21">
      <c r="B487" s="46" t="s">
        <v>47</v>
      </c>
      <c r="C487" s="46" t="s">
        <v>28</v>
      </c>
      <c r="D487" s="47">
        <v>45303</v>
      </c>
      <c r="F487" s="34"/>
      <c r="G487" s="46"/>
      <c r="H487" s="34"/>
      <c r="I487" s="34"/>
      <c r="K487" s="39">
        <v>2563001</v>
      </c>
      <c r="L487" s="16" t="s">
        <v>1588</v>
      </c>
      <c r="M487" s="34" t="s">
        <v>31</v>
      </c>
      <c r="N487" s="34"/>
      <c r="O487" s="34"/>
      <c r="P487" s="34"/>
      <c r="Q487" s="34" t="s">
        <v>33</v>
      </c>
      <c r="R487" s="34" t="s">
        <v>94</v>
      </c>
      <c r="S487" s="34" t="s">
        <v>35</v>
      </c>
      <c r="T487" s="34" t="s">
        <v>36</v>
      </c>
      <c r="U487" s="34"/>
    </row>
    <row r="488" spans="2:21">
      <c r="B488" s="46" t="s">
        <v>47</v>
      </c>
      <c r="C488" s="46" t="s">
        <v>28</v>
      </c>
      <c r="D488" s="47">
        <v>45303</v>
      </c>
      <c r="F488" s="34"/>
      <c r="G488" s="46"/>
      <c r="H488" s="34"/>
      <c r="I488" s="34"/>
      <c r="K488" s="39">
        <v>2563101</v>
      </c>
      <c r="L488" s="16" t="s">
        <v>1589</v>
      </c>
      <c r="M488" s="34" t="s">
        <v>31</v>
      </c>
      <c r="N488" s="34"/>
      <c r="O488" s="34"/>
      <c r="P488" s="34"/>
      <c r="Q488" s="34" t="s">
        <v>33</v>
      </c>
      <c r="R488" s="34" t="s">
        <v>94</v>
      </c>
      <c r="S488" s="34" t="s">
        <v>35</v>
      </c>
      <c r="T488" s="34" t="s">
        <v>36</v>
      </c>
      <c r="U488" s="34"/>
    </row>
    <row r="489" spans="2:21">
      <c r="B489" s="46" t="s">
        <v>47</v>
      </c>
      <c r="C489" s="46" t="s">
        <v>28</v>
      </c>
      <c r="D489" s="47">
        <v>45303</v>
      </c>
      <c r="F489" s="34"/>
      <c r="G489" s="46"/>
      <c r="H489" s="34"/>
      <c r="I489" s="34"/>
      <c r="K489" s="39">
        <v>2564101</v>
      </c>
      <c r="L489" s="16" t="s">
        <v>1590</v>
      </c>
      <c r="M489" s="34" t="s">
        <v>31</v>
      </c>
      <c r="N489" s="34"/>
      <c r="O489" s="34"/>
      <c r="P489" s="34"/>
      <c r="Q489" s="34" t="s">
        <v>33</v>
      </c>
      <c r="R489" s="34" t="s">
        <v>94</v>
      </c>
      <c r="S489" s="34" t="s">
        <v>35</v>
      </c>
      <c r="T489" s="34" t="s">
        <v>36</v>
      </c>
      <c r="U489" s="34" t="s">
        <v>1591</v>
      </c>
    </row>
    <row r="490" spans="2:21">
      <c r="B490" s="46" t="s">
        <v>47</v>
      </c>
      <c r="C490" s="46" t="s">
        <v>28</v>
      </c>
      <c r="D490" s="47">
        <v>45303</v>
      </c>
      <c r="F490" s="34"/>
      <c r="G490" s="46"/>
      <c r="H490" s="34"/>
      <c r="I490" s="34"/>
      <c r="K490" s="39">
        <v>2219616</v>
      </c>
      <c r="L490" s="16" t="s">
        <v>1592</v>
      </c>
      <c r="M490" s="34" t="s">
        <v>31</v>
      </c>
      <c r="N490" s="34"/>
      <c r="O490" s="34"/>
      <c r="P490" s="34"/>
      <c r="Q490" s="34" t="s">
        <v>33</v>
      </c>
      <c r="R490" s="34" t="s">
        <v>94</v>
      </c>
      <c r="S490" s="34" t="s">
        <v>35</v>
      </c>
      <c r="T490" s="34" t="s">
        <v>36</v>
      </c>
      <c r="U490" s="34" t="s">
        <v>1593</v>
      </c>
    </row>
    <row r="491" spans="2:21">
      <c r="B491" s="46" t="s">
        <v>47</v>
      </c>
      <c r="C491" s="46" t="s">
        <v>28</v>
      </c>
      <c r="D491" s="47">
        <v>45303</v>
      </c>
      <c r="F491" s="34"/>
      <c r="G491" s="46"/>
      <c r="H491" s="34"/>
      <c r="I491" s="34"/>
      <c r="K491" s="39">
        <v>2109313</v>
      </c>
      <c r="L491" s="16" t="s">
        <v>1594</v>
      </c>
      <c r="M491" s="34" t="s">
        <v>31</v>
      </c>
      <c r="N491" s="34"/>
      <c r="O491" s="34"/>
      <c r="P491" s="34"/>
      <c r="Q491" s="34" t="s">
        <v>33</v>
      </c>
      <c r="R491" s="34" t="s">
        <v>94</v>
      </c>
      <c r="S491" s="34" t="s">
        <v>35</v>
      </c>
      <c r="T491" s="34" t="s">
        <v>36</v>
      </c>
      <c r="U491" s="34" t="s">
        <v>1595</v>
      </c>
    </row>
    <row r="492" spans="2:21">
      <c r="B492" s="46" t="s">
        <v>47</v>
      </c>
      <c r="C492" s="46" t="s">
        <v>28</v>
      </c>
      <c r="D492" s="47">
        <v>45303</v>
      </c>
      <c r="F492" s="34"/>
      <c r="G492" s="46"/>
      <c r="H492" s="34"/>
      <c r="I492" s="34"/>
      <c r="K492" s="39">
        <v>2563801</v>
      </c>
      <c r="L492" s="16" t="s">
        <v>1596</v>
      </c>
      <c r="M492" s="34" t="s">
        <v>31</v>
      </c>
      <c r="N492" s="34"/>
      <c r="O492" s="34"/>
      <c r="P492" s="34"/>
      <c r="Q492" s="34" t="s">
        <v>33</v>
      </c>
      <c r="R492" s="34" t="s">
        <v>94</v>
      </c>
      <c r="S492" s="34" t="s">
        <v>35</v>
      </c>
      <c r="T492" s="34" t="s">
        <v>36</v>
      </c>
      <c r="U492" s="34" t="s">
        <v>1597</v>
      </c>
    </row>
    <row r="493" spans="2:21">
      <c r="B493" s="46" t="s">
        <v>47</v>
      </c>
      <c r="C493" s="46" t="s">
        <v>28</v>
      </c>
      <c r="D493" s="47">
        <v>45303</v>
      </c>
      <c r="F493" s="34"/>
      <c r="G493" s="46"/>
      <c r="H493" s="34"/>
      <c r="I493" s="34"/>
      <c r="K493" s="39">
        <v>2563701</v>
      </c>
      <c r="L493" s="16" t="s">
        <v>1598</v>
      </c>
      <c r="M493" s="34" t="s">
        <v>31</v>
      </c>
      <c r="N493" s="34"/>
      <c r="O493" s="34"/>
      <c r="P493" s="34"/>
      <c r="Q493" s="34" t="s">
        <v>33</v>
      </c>
      <c r="R493" s="34" t="s">
        <v>94</v>
      </c>
      <c r="S493" s="34" t="s">
        <v>35</v>
      </c>
      <c r="T493" s="34" t="s">
        <v>36</v>
      </c>
      <c r="U493" s="34" t="s">
        <v>1599</v>
      </c>
    </row>
    <row r="494" spans="2:21">
      <c r="B494" s="46" t="s">
        <v>47</v>
      </c>
      <c r="C494" s="46" t="s">
        <v>28</v>
      </c>
      <c r="D494" s="47">
        <v>45303</v>
      </c>
      <c r="F494" s="34"/>
      <c r="G494" s="46"/>
      <c r="H494" s="34"/>
      <c r="I494" s="34"/>
      <c r="K494" s="39">
        <v>2563802</v>
      </c>
      <c r="L494" s="16" t="s">
        <v>1600</v>
      </c>
      <c r="M494" s="34" t="s">
        <v>31</v>
      </c>
      <c r="N494" s="34"/>
      <c r="O494" s="34"/>
      <c r="P494" s="34"/>
      <c r="Q494" s="34" t="s">
        <v>33</v>
      </c>
      <c r="R494" s="34" t="s">
        <v>94</v>
      </c>
      <c r="S494" s="34" t="s">
        <v>35</v>
      </c>
      <c r="T494" s="34" t="s">
        <v>36</v>
      </c>
      <c r="U494" s="34" t="s">
        <v>1601</v>
      </c>
    </row>
    <row r="495" spans="2:21">
      <c r="B495" s="46" t="s">
        <v>47</v>
      </c>
      <c r="C495" s="46" t="s">
        <v>28</v>
      </c>
      <c r="D495" s="47">
        <v>45310</v>
      </c>
      <c r="F495" s="34"/>
      <c r="G495" s="46"/>
      <c r="H495" s="34"/>
      <c r="I495" s="34"/>
      <c r="K495" s="39">
        <v>2564301</v>
      </c>
      <c r="L495" s="16" t="s">
        <v>1602</v>
      </c>
      <c r="M495" s="34" t="s">
        <v>31</v>
      </c>
      <c r="N495" s="34"/>
      <c r="O495" s="34"/>
      <c r="P495" s="34"/>
      <c r="Q495" s="34" t="s">
        <v>33</v>
      </c>
      <c r="R495" s="34" t="s">
        <v>94</v>
      </c>
      <c r="S495" s="34" t="s">
        <v>35</v>
      </c>
      <c r="T495" s="34" t="s">
        <v>36</v>
      </c>
      <c r="U495" s="34" t="s">
        <v>1603</v>
      </c>
    </row>
    <row r="496" spans="2:21">
      <c r="B496" s="46" t="s">
        <v>47</v>
      </c>
      <c r="C496" s="90" t="s">
        <v>28</v>
      </c>
      <c r="D496" s="161">
        <v>45310</v>
      </c>
      <c r="F496" s="34"/>
      <c r="G496" s="46"/>
      <c r="H496" s="34"/>
      <c r="I496" s="34"/>
      <c r="K496" s="91">
        <v>2013616</v>
      </c>
      <c r="L496" s="92" t="s">
        <v>1604</v>
      </c>
      <c r="M496" s="34" t="s">
        <v>31</v>
      </c>
      <c r="N496" s="34"/>
      <c r="O496" s="34"/>
      <c r="P496" s="34"/>
      <c r="Q496" s="162" t="s">
        <v>33</v>
      </c>
      <c r="R496" s="162" t="s">
        <v>94</v>
      </c>
      <c r="S496" s="162" t="s">
        <v>35</v>
      </c>
      <c r="T496" s="162" t="s">
        <v>102</v>
      </c>
      <c r="U496" s="162" t="s">
        <v>1605</v>
      </c>
    </row>
    <row r="497" spans="2:21">
      <c r="B497" s="46" t="s">
        <v>47</v>
      </c>
      <c r="C497" s="90" t="s">
        <v>28</v>
      </c>
      <c r="D497" s="161">
        <v>45310</v>
      </c>
      <c r="F497" s="34"/>
      <c r="G497" s="46"/>
      <c r="H497" s="34"/>
      <c r="I497" s="34"/>
      <c r="K497" s="91">
        <v>2564401</v>
      </c>
      <c r="L497" s="92" t="s">
        <v>1606</v>
      </c>
      <c r="M497" s="34" t="s">
        <v>31</v>
      </c>
      <c r="N497" s="34"/>
      <c r="O497" s="34"/>
      <c r="P497" s="34"/>
      <c r="Q497" s="162" t="s">
        <v>33</v>
      </c>
      <c r="R497" s="162" t="s">
        <v>94</v>
      </c>
      <c r="S497" s="162" t="s">
        <v>35</v>
      </c>
      <c r="T497" s="162" t="s">
        <v>1607</v>
      </c>
      <c r="U497" s="162" t="s">
        <v>1608</v>
      </c>
    </row>
    <row r="498" spans="2:21">
      <c r="B498" s="46" t="s">
        <v>47</v>
      </c>
      <c r="C498" s="46" t="s">
        <v>28</v>
      </c>
      <c r="D498" s="47">
        <v>45324</v>
      </c>
      <c r="F498" s="34"/>
      <c r="G498" s="46"/>
      <c r="H498" s="34"/>
      <c r="I498" s="34"/>
      <c r="K498" s="39">
        <v>2013617</v>
      </c>
      <c r="L498" s="16" t="s">
        <v>1609</v>
      </c>
      <c r="M498" s="34" t="s">
        <v>31</v>
      </c>
      <c r="N498" s="34"/>
      <c r="O498" s="34"/>
      <c r="P498" s="34"/>
      <c r="Q498" s="34" t="s">
        <v>33</v>
      </c>
      <c r="R498" s="34" t="s">
        <v>94</v>
      </c>
      <c r="S498" s="34" t="s">
        <v>35</v>
      </c>
      <c r="T498" s="34" t="s">
        <v>36</v>
      </c>
      <c r="U498" s="34" t="s">
        <v>1610</v>
      </c>
    </row>
    <row r="499" spans="2:21">
      <c r="B499" s="46" t="s">
        <v>47</v>
      </c>
      <c r="C499" s="46" t="s">
        <v>28</v>
      </c>
      <c r="D499" s="47">
        <v>45324</v>
      </c>
      <c r="F499" s="34"/>
      <c r="G499" s="46"/>
      <c r="H499" s="34"/>
      <c r="I499" s="34"/>
      <c r="K499" s="39">
        <v>2570601</v>
      </c>
      <c r="L499" s="16" t="s">
        <v>1611</v>
      </c>
      <c r="M499" s="34" t="s">
        <v>31</v>
      </c>
      <c r="N499" s="34"/>
      <c r="O499" s="34"/>
      <c r="P499" s="34"/>
      <c r="Q499" s="34" t="s">
        <v>33</v>
      </c>
      <c r="R499" s="34" t="s">
        <v>94</v>
      </c>
      <c r="S499" s="34" t="s">
        <v>35</v>
      </c>
      <c r="T499" s="34" t="s">
        <v>36</v>
      </c>
      <c r="U499" s="34" t="s">
        <v>1612</v>
      </c>
    </row>
    <row r="500" spans="2:21">
      <c r="B500" s="46" t="s">
        <v>47</v>
      </c>
      <c r="C500" s="46" t="s">
        <v>28</v>
      </c>
      <c r="D500" s="47">
        <v>45331</v>
      </c>
      <c r="F500" s="34"/>
      <c r="G500" s="46"/>
      <c r="H500" s="34"/>
      <c r="I500" s="34"/>
      <c r="K500" s="39">
        <v>2571601</v>
      </c>
      <c r="L500" s="16" t="s">
        <v>1613</v>
      </c>
      <c r="M500" s="34" t="s">
        <v>31</v>
      </c>
      <c r="N500" s="34"/>
      <c r="O500" s="34"/>
      <c r="P500" s="34"/>
      <c r="Q500" s="34" t="s">
        <v>33</v>
      </c>
      <c r="R500" s="34" t="s">
        <v>94</v>
      </c>
      <c r="S500" s="34" t="s">
        <v>35</v>
      </c>
      <c r="T500" s="34" t="s">
        <v>36</v>
      </c>
      <c r="U500" s="34" t="s">
        <v>1614</v>
      </c>
    </row>
    <row r="501" spans="2:21">
      <c r="B501" s="46" t="s">
        <v>47</v>
      </c>
      <c r="C501" s="46" t="s">
        <v>28</v>
      </c>
      <c r="D501" s="47">
        <v>45331</v>
      </c>
      <c r="F501" s="34"/>
      <c r="G501" s="46"/>
      <c r="H501" s="34"/>
      <c r="I501" s="34"/>
      <c r="K501" s="39">
        <v>2570701</v>
      </c>
      <c r="L501" s="16" t="s">
        <v>1615</v>
      </c>
      <c r="M501" s="34" t="s">
        <v>31</v>
      </c>
      <c r="N501" s="34"/>
      <c r="O501" s="34"/>
      <c r="P501" s="34"/>
      <c r="Q501" s="34" t="s">
        <v>33</v>
      </c>
      <c r="R501" s="34" t="s">
        <v>94</v>
      </c>
      <c r="S501" s="34" t="s">
        <v>35</v>
      </c>
      <c r="T501" s="34" t="s">
        <v>36</v>
      </c>
      <c r="U501" s="34" t="s">
        <v>1591</v>
      </c>
    </row>
    <row r="502" spans="2:21">
      <c r="B502" s="46" t="s">
        <v>47</v>
      </c>
      <c r="C502" s="46" t="s">
        <v>28</v>
      </c>
      <c r="D502" s="47">
        <v>45331</v>
      </c>
      <c r="F502" s="34"/>
      <c r="G502" s="46"/>
      <c r="H502" s="34"/>
      <c r="I502" s="34"/>
      <c r="K502" s="39">
        <v>2219617</v>
      </c>
      <c r="L502" s="16" t="s">
        <v>1616</v>
      </c>
      <c r="M502" s="34" t="s">
        <v>31</v>
      </c>
      <c r="N502" s="34"/>
      <c r="O502" s="34"/>
      <c r="P502" s="34"/>
      <c r="Q502" s="34" t="s">
        <v>33</v>
      </c>
      <c r="R502" s="34" t="s">
        <v>94</v>
      </c>
      <c r="S502" s="34" t="s">
        <v>35</v>
      </c>
      <c r="T502" s="34" t="s">
        <v>36</v>
      </c>
      <c r="U502" s="34" t="s">
        <v>1593</v>
      </c>
    </row>
    <row r="503" spans="2:21">
      <c r="B503" s="46" t="s">
        <v>47</v>
      </c>
      <c r="C503" s="46" t="s">
        <v>28</v>
      </c>
      <c r="D503" s="47">
        <v>45331</v>
      </c>
      <c r="F503" s="34"/>
      <c r="G503" s="46"/>
      <c r="H503" s="34"/>
      <c r="I503" s="34"/>
      <c r="K503" s="39">
        <v>2563702</v>
      </c>
      <c r="L503" s="16" t="s">
        <v>1617</v>
      </c>
      <c r="M503" s="34" t="s">
        <v>31</v>
      </c>
      <c r="N503" s="34"/>
      <c r="O503" s="34"/>
      <c r="P503" s="34"/>
      <c r="Q503" s="34" t="s">
        <v>33</v>
      </c>
      <c r="R503" s="34" t="s">
        <v>94</v>
      </c>
      <c r="S503" s="34" t="s">
        <v>35</v>
      </c>
      <c r="T503" s="34" t="s">
        <v>36</v>
      </c>
      <c r="U503" s="34" t="s">
        <v>1595</v>
      </c>
    </row>
    <row r="504" spans="2:21">
      <c r="B504" s="46" t="s">
        <v>47</v>
      </c>
      <c r="C504" s="46" t="s">
        <v>28</v>
      </c>
      <c r="D504" s="47">
        <v>45331</v>
      </c>
      <c r="F504" s="34"/>
      <c r="G504" s="46"/>
      <c r="H504" s="34"/>
      <c r="I504" s="34"/>
      <c r="K504" s="39">
        <v>2570602</v>
      </c>
      <c r="L504" s="16" t="s">
        <v>1618</v>
      </c>
      <c r="M504" s="34" t="s">
        <v>31</v>
      </c>
      <c r="N504" s="34"/>
      <c r="O504" s="34"/>
      <c r="P504" s="34"/>
      <c r="Q504" s="34" t="s">
        <v>33</v>
      </c>
      <c r="R504" s="34" t="s">
        <v>94</v>
      </c>
      <c r="S504" s="34" t="s">
        <v>35</v>
      </c>
      <c r="T504" s="34" t="s">
        <v>36</v>
      </c>
      <c r="U504" s="34" t="s">
        <v>1597</v>
      </c>
    </row>
    <row r="505" spans="2:21">
      <c r="B505" s="46" t="s">
        <v>47</v>
      </c>
      <c r="C505" s="46" t="s">
        <v>28</v>
      </c>
      <c r="D505" s="47">
        <v>45331</v>
      </c>
      <c r="F505" s="34"/>
      <c r="G505" s="46"/>
      <c r="H505" s="34"/>
      <c r="I505" s="34"/>
      <c r="K505" s="39">
        <v>2490903</v>
      </c>
      <c r="L505" s="16" t="s">
        <v>1619</v>
      </c>
      <c r="M505" s="34" t="s">
        <v>31</v>
      </c>
      <c r="N505" s="34"/>
      <c r="O505" s="34"/>
      <c r="P505" s="34"/>
      <c r="Q505" s="34" t="s">
        <v>33</v>
      </c>
      <c r="R505" s="34" t="s">
        <v>94</v>
      </c>
      <c r="S505" s="34" t="s">
        <v>35</v>
      </c>
      <c r="T505" s="34" t="s">
        <v>36</v>
      </c>
      <c r="U505" s="34"/>
    </row>
    <row r="506" spans="2:21">
      <c r="B506" s="46" t="s">
        <v>47</v>
      </c>
      <c r="C506" s="46" t="s">
        <v>28</v>
      </c>
      <c r="D506" s="47">
        <v>45331</v>
      </c>
      <c r="F506" s="34"/>
      <c r="G506" s="46"/>
      <c r="H506" s="34"/>
      <c r="I506" s="34"/>
      <c r="K506" s="39">
        <v>2490904</v>
      </c>
      <c r="L506" s="16" t="s">
        <v>1620</v>
      </c>
      <c r="M506" s="34" t="s">
        <v>31</v>
      </c>
      <c r="N506" s="34"/>
      <c r="O506" s="34"/>
      <c r="P506" s="34"/>
      <c r="Q506" s="34" t="s">
        <v>33</v>
      </c>
      <c r="R506" s="34" t="s">
        <v>94</v>
      </c>
      <c r="S506" s="34" t="s">
        <v>35</v>
      </c>
      <c r="T506" s="34" t="s">
        <v>36</v>
      </c>
      <c r="U506" s="34"/>
    </row>
    <row r="507" spans="2:21">
      <c r="B507" s="46" t="s">
        <v>47</v>
      </c>
      <c r="C507" s="46" t="s">
        <v>28</v>
      </c>
      <c r="D507" s="47">
        <v>45331</v>
      </c>
      <c r="F507" s="34"/>
      <c r="G507" s="46"/>
      <c r="H507" s="34"/>
      <c r="I507" s="34"/>
      <c r="K507" s="39">
        <v>2571701</v>
      </c>
      <c r="L507" s="16" t="s">
        <v>1621</v>
      </c>
      <c r="M507" s="34" t="s">
        <v>31</v>
      </c>
      <c r="N507" s="34"/>
      <c r="O507" s="34"/>
      <c r="P507" s="34"/>
      <c r="Q507" s="34" t="s">
        <v>33</v>
      </c>
      <c r="R507" s="34" t="s">
        <v>94</v>
      </c>
      <c r="S507" s="34" t="s">
        <v>35</v>
      </c>
      <c r="T507" s="34" t="s">
        <v>36</v>
      </c>
      <c r="U507" s="34"/>
    </row>
    <row r="508" spans="2:21">
      <c r="B508" s="46" t="s">
        <v>47</v>
      </c>
      <c r="C508" s="46" t="s">
        <v>28</v>
      </c>
      <c r="D508" s="47">
        <v>45331</v>
      </c>
      <c r="F508" s="34"/>
      <c r="G508" s="46"/>
      <c r="H508" s="34"/>
      <c r="I508" s="34"/>
      <c r="K508" s="39">
        <v>2571901</v>
      </c>
      <c r="L508" s="16" t="s">
        <v>1622</v>
      </c>
      <c r="M508" s="34" t="s">
        <v>31</v>
      </c>
      <c r="N508" s="34"/>
      <c r="O508" s="34"/>
      <c r="P508" s="34"/>
      <c r="Q508" s="34" t="s">
        <v>33</v>
      </c>
      <c r="R508" s="34" t="s">
        <v>94</v>
      </c>
      <c r="S508" s="34" t="s">
        <v>35</v>
      </c>
      <c r="T508" s="34" t="s">
        <v>36</v>
      </c>
      <c r="U508" s="34"/>
    </row>
    <row r="509" spans="2:21">
      <c r="B509" s="46" t="s">
        <v>47</v>
      </c>
      <c r="C509" s="46" t="s">
        <v>28</v>
      </c>
      <c r="D509" s="47">
        <v>45331</v>
      </c>
      <c r="F509" s="34"/>
      <c r="G509" s="46"/>
      <c r="H509" s="34"/>
      <c r="I509" s="34"/>
      <c r="K509" s="39">
        <v>2314403</v>
      </c>
      <c r="L509" s="16" t="s">
        <v>1623</v>
      </c>
      <c r="M509" s="34" t="s">
        <v>31</v>
      </c>
      <c r="N509" s="34"/>
      <c r="O509" s="34"/>
      <c r="P509" s="34"/>
      <c r="Q509" s="38" t="s">
        <v>33</v>
      </c>
      <c r="R509" s="38" t="s">
        <v>94</v>
      </c>
      <c r="S509" s="38" t="s">
        <v>35</v>
      </c>
      <c r="T509" s="38" t="s">
        <v>36</v>
      </c>
      <c r="U509" s="34"/>
    </row>
    <row r="510" spans="2:21">
      <c r="B510" s="46" t="s">
        <v>47</v>
      </c>
      <c r="C510" s="46" t="s">
        <v>28</v>
      </c>
      <c r="D510" s="47">
        <v>45331</v>
      </c>
      <c r="F510" s="34"/>
      <c r="G510" s="46"/>
      <c r="H510" s="34"/>
      <c r="I510" s="34"/>
      <c r="K510" s="39">
        <v>2314404</v>
      </c>
      <c r="L510" s="16" t="s">
        <v>1624</v>
      </c>
      <c r="M510" s="34" t="s">
        <v>31</v>
      </c>
      <c r="N510" s="34"/>
      <c r="O510" s="34"/>
      <c r="P510" s="34"/>
      <c r="Q510" s="38" t="s">
        <v>33</v>
      </c>
      <c r="R510" s="38" t="s">
        <v>94</v>
      </c>
      <c r="S510" s="38" t="s">
        <v>35</v>
      </c>
      <c r="T510" s="38" t="s">
        <v>36</v>
      </c>
      <c r="U510" s="34"/>
    </row>
    <row r="511" spans="2:21">
      <c r="B511" s="46" t="s">
        <v>47</v>
      </c>
      <c r="C511" s="46" t="s">
        <v>28</v>
      </c>
      <c r="D511" s="47">
        <v>45331</v>
      </c>
      <c r="F511" s="34"/>
      <c r="G511" s="46"/>
      <c r="H511" s="34"/>
      <c r="I511" s="34"/>
      <c r="K511" s="39">
        <v>2274406</v>
      </c>
      <c r="L511" s="16" t="s">
        <v>1625</v>
      </c>
      <c r="M511" s="34" t="s">
        <v>31</v>
      </c>
      <c r="N511" s="34"/>
      <c r="O511" s="34"/>
      <c r="P511" s="34"/>
      <c r="Q511" s="38" t="s">
        <v>33</v>
      </c>
      <c r="R511" s="38" t="s">
        <v>94</v>
      </c>
      <c r="S511" s="38" t="s">
        <v>35</v>
      </c>
      <c r="T511" s="38" t="s">
        <v>36</v>
      </c>
      <c r="U511" s="34"/>
    </row>
    <row r="512" spans="2:21">
      <c r="B512" s="46" t="s">
        <v>47</v>
      </c>
      <c r="C512" s="46" t="s">
        <v>28</v>
      </c>
      <c r="D512" s="47">
        <v>45331</v>
      </c>
      <c r="F512" s="34"/>
      <c r="G512" s="46"/>
      <c r="H512" s="34"/>
      <c r="I512" s="34"/>
      <c r="K512" s="39">
        <v>2274405</v>
      </c>
      <c r="L512" s="16" t="s">
        <v>1626</v>
      </c>
      <c r="M512" s="34" t="s">
        <v>31</v>
      </c>
      <c r="N512" s="34"/>
      <c r="O512" s="34"/>
      <c r="P512" s="34"/>
      <c r="Q512" s="38" t="s">
        <v>33</v>
      </c>
      <c r="R512" s="38" t="s">
        <v>94</v>
      </c>
      <c r="S512" s="38" t="s">
        <v>35</v>
      </c>
      <c r="T512" s="38" t="s">
        <v>36</v>
      </c>
      <c r="U512" s="34"/>
    </row>
    <row r="513" spans="2:21">
      <c r="B513" s="46" t="s">
        <v>47</v>
      </c>
      <c r="C513" s="46" t="s">
        <v>28</v>
      </c>
      <c r="D513" s="81">
        <v>45331</v>
      </c>
      <c r="E513" s="107"/>
      <c r="F513" s="38"/>
      <c r="G513" s="80"/>
      <c r="H513" s="38"/>
      <c r="I513" s="38"/>
      <c r="J513" s="107"/>
      <c r="K513" s="82">
        <v>2571802</v>
      </c>
      <c r="L513" s="78" t="s">
        <v>1627</v>
      </c>
      <c r="M513" s="34" t="s">
        <v>31</v>
      </c>
      <c r="N513" s="34"/>
      <c r="O513" s="34"/>
      <c r="P513" s="34"/>
      <c r="Q513" s="38" t="s">
        <v>33</v>
      </c>
      <c r="R513" s="38" t="s">
        <v>94</v>
      </c>
      <c r="S513" s="38" t="s">
        <v>35</v>
      </c>
      <c r="T513" s="38" t="s">
        <v>36</v>
      </c>
      <c r="U513" s="34"/>
    </row>
    <row r="514" spans="2:21">
      <c r="B514" s="46" t="s">
        <v>47</v>
      </c>
      <c r="C514" s="46" t="s">
        <v>28</v>
      </c>
      <c r="D514" s="81">
        <v>45331</v>
      </c>
      <c r="E514" s="107"/>
      <c r="F514" s="38"/>
      <c r="G514" s="80"/>
      <c r="H514" s="38"/>
      <c r="I514" s="38"/>
      <c r="J514" s="107"/>
      <c r="K514" s="82">
        <v>2571801</v>
      </c>
      <c r="L514" s="78" t="s">
        <v>1628</v>
      </c>
      <c r="M514" s="34" t="s">
        <v>31</v>
      </c>
      <c r="N514" s="34"/>
      <c r="O514" s="34"/>
      <c r="P514" s="34"/>
      <c r="Q514" s="38" t="s">
        <v>33</v>
      </c>
      <c r="R514" s="38" t="s">
        <v>94</v>
      </c>
      <c r="S514" s="38" t="s">
        <v>35</v>
      </c>
      <c r="T514" s="38" t="s">
        <v>36</v>
      </c>
      <c r="U514" s="34"/>
    </row>
    <row r="515" spans="2:21">
      <c r="B515" s="46" t="s">
        <v>47</v>
      </c>
      <c r="C515" s="46" t="s">
        <v>28</v>
      </c>
      <c r="D515" s="81">
        <v>45338</v>
      </c>
      <c r="E515" s="107"/>
      <c r="F515" s="38"/>
      <c r="G515" s="80"/>
      <c r="H515" s="38"/>
      <c r="I515" s="38"/>
      <c r="J515" s="107"/>
      <c r="K515" s="82">
        <v>2483105</v>
      </c>
      <c r="L515" s="78" t="s">
        <v>1629</v>
      </c>
      <c r="M515" s="34" t="s">
        <v>31</v>
      </c>
      <c r="N515" s="34"/>
      <c r="O515" s="34"/>
      <c r="P515" s="34"/>
      <c r="Q515" s="38" t="s">
        <v>33</v>
      </c>
      <c r="R515" s="38" t="s">
        <v>94</v>
      </c>
      <c r="S515" s="38" t="s">
        <v>35</v>
      </c>
      <c r="T515" s="38" t="s">
        <v>36</v>
      </c>
      <c r="U515" s="34"/>
    </row>
    <row r="516" spans="2:21">
      <c r="B516" s="46" t="s">
        <v>47</v>
      </c>
      <c r="C516" s="46" t="s">
        <v>28</v>
      </c>
      <c r="D516" s="81">
        <v>45338</v>
      </c>
      <c r="E516" s="107"/>
      <c r="F516" s="38"/>
      <c r="G516" s="80"/>
      <c r="H516" s="38"/>
      <c r="I516" s="38"/>
      <c r="J516" s="107"/>
      <c r="K516" s="82">
        <v>2483106</v>
      </c>
      <c r="L516" s="78" t="s">
        <v>1630</v>
      </c>
      <c r="M516" s="34" t="s">
        <v>31</v>
      </c>
      <c r="N516" s="34"/>
      <c r="O516" s="34"/>
      <c r="P516" s="34"/>
      <c r="Q516" s="38" t="s">
        <v>33</v>
      </c>
      <c r="R516" s="38" t="s">
        <v>94</v>
      </c>
      <c r="S516" s="38" t="s">
        <v>35</v>
      </c>
      <c r="T516" s="38" t="s">
        <v>36</v>
      </c>
      <c r="U516" s="34"/>
    </row>
    <row r="517" spans="2:21">
      <c r="B517" s="46" t="s">
        <v>47</v>
      </c>
      <c r="C517" s="46" t="s">
        <v>28</v>
      </c>
      <c r="D517" s="47">
        <v>45345</v>
      </c>
      <c r="F517" s="34"/>
      <c r="G517" s="46"/>
      <c r="H517" s="34"/>
      <c r="I517" s="34"/>
      <c r="K517" s="39">
        <v>151902</v>
      </c>
      <c r="L517" s="16" t="s">
        <v>1631</v>
      </c>
      <c r="M517" s="34" t="s">
        <v>31</v>
      </c>
      <c r="N517" s="34"/>
      <c r="O517" s="34"/>
      <c r="P517" s="34"/>
      <c r="Q517" s="34" t="s">
        <v>33</v>
      </c>
      <c r="R517" s="34" t="s">
        <v>94</v>
      </c>
      <c r="S517" s="34" t="s">
        <v>35</v>
      </c>
      <c r="T517" s="34" t="s">
        <v>36</v>
      </c>
      <c r="U517" s="34"/>
    </row>
    <row r="518" spans="2:21">
      <c r="B518" s="46" t="s">
        <v>47</v>
      </c>
      <c r="C518" s="46" t="s">
        <v>28</v>
      </c>
      <c r="D518" s="47">
        <v>45345</v>
      </c>
      <c r="F518" s="34"/>
      <c r="G518" s="46"/>
      <c r="H518" s="34"/>
      <c r="I518" s="34"/>
      <c r="K518" s="39">
        <v>2575101</v>
      </c>
      <c r="L518" s="16" t="s">
        <v>1632</v>
      </c>
      <c r="M518" s="34" t="s">
        <v>31</v>
      </c>
      <c r="N518" s="34"/>
      <c r="O518" s="34"/>
      <c r="P518" s="34"/>
      <c r="Q518" s="34" t="s">
        <v>33</v>
      </c>
      <c r="R518" s="34" t="s">
        <v>94</v>
      </c>
      <c r="S518" s="34" t="s">
        <v>35</v>
      </c>
      <c r="T518" s="34" t="s">
        <v>36</v>
      </c>
      <c r="U518" s="34"/>
    </row>
    <row r="519" spans="2:21">
      <c r="B519" s="46" t="s">
        <v>47</v>
      </c>
      <c r="C519" s="46" t="s">
        <v>28</v>
      </c>
      <c r="D519" s="47">
        <v>45352</v>
      </c>
      <c r="F519" s="34"/>
      <c r="G519" s="46"/>
      <c r="H519" s="34"/>
      <c r="I519" s="34"/>
      <c r="K519" s="39">
        <v>2576701</v>
      </c>
      <c r="L519" s="16" t="s">
        <v>1633</v>
      </c>
      <c r="M519" s="34" t="s">
        <v>31</v>
      </c>
      <c r="N519" s="34"/>
      <c r="O519" s="34"/>
      <c r="P519" s="34"/>
      <c r="Q519" s="34" t="s">
        <v>33</v>
      </c>
      <c r="R519" s="34" t="s">
        <v>94</v>
      </c>
      <c r="S519" s="34" t="s">
        <v>35</v>
      </c>
      <c r="T519" s="34" t="s">
        <v>36</v>
      </c>
      <c r="U519" s="34"/>
    </row>
    <row r="520" spans="2:21">
      <c r="B520" s="46" t="s">
        <v>47</v>
      </c>
      <c r="C520" s="46" t="s">
        <v>28</v>
      </c>
      <c r="D520" s="47">
        <v>45352</v>
      </c>
      <c r="F520" s="34"/>
      <c r="G520" s="46"/>
      <c r="H520" s="34"/>
      <c r="I520" s="34"/>
      <c r="K520" s="39">
        <v>1582415</v>
      </c>
      <c r="L520" s="16" t="s">
        <v>1634</v>
      </c>
      <c r="M520" s="34" t="s">
        <v>31</v>
      </c>
      <c r="N520" s="34"/>
      <c r="O520" s="34"/>
      <c r="P520" s="34"/>
      <c r="Q520" s="34" t="s">
        <v>33</v>
      </c>
      <c r="R520" s="34" t="s">
        <v>94</v>
      </c>
      <c r="S520" s="34" t="s">
        <v>35</v>
      </c>
      <c r="T520" s="34" t="s">
        <v>36</v>
      </c>
      <c r="U520" s="34"/>
    </row>
    <row r="521" spans="2:21">
      <c r="B521" s="46" t="s">
        <v>47</v>
      </c>
      <c r="C521" s="46" t="s">
        <v>28</v>
      </c>
      <c r="D521" s="47">
        <v>45352</v>
      </c>
      <c r="F521" s="34"/>
      <c r="G521" s="46"/>
      <c r="H521" s="34"/>
      <c r="I521" s="34"/>
      <c r="K521" s="39">
        <v>1132403</v>
      </c>
      <c r="L521" s="16" t="s">
        <v>1635</v>
      </c>
      <c r="M521" s="34" t="s">
        <v>31</v>
      </c>
      <c r="N521" s="34"/>
      <c r="O521" s="34"/>
      <c r="P521" s="34"/>
      <c r="Q521" s="34" t="s">
        <v>33</v>
      </c>
      <c r="R521" s="34" t="s">
        <v>94</v>
      </c>
      <c r="S521" s="34" t="s">
        <v>35</v>
      </c>
      <c r="T521" s="34" t="s">
        <v>36</v>
      </c>
      <c r="U521" s="34"/>
    </row>
    <row r="522" spans="2:21">
      <c r="B522" s="46" t="s">
        <v>47</v>
      </c>
      <c r="C522" s="46" t="s">
        <v>28</v>
      </c>
      <c r="D522" s="47">
        <v>45359</v>
      </c>
      <c r="F522" s="34"/>
      <c r="G522" s="46"/>
      <c r="H522" s="34"/>
      <c r="I522" s="34"/>
      <c r="K522" s="39">
        <v>2306604</v>
      </c>
      <c r="L522" s="16" t="s">
        <v>1636</v>
      </c>
      <c r="M522" s="34" t="s">
        <v>31</v>
      </c>
      <c r="N522" s="34"/>
      <c r="O522" s="34"/>
      <c r="P522" s="34"/>
      <c r="Q522" s="34" t="s">
        <v>33</v>
      </c>
      <c r="R522" s="34" t="s">
        <v>94</v>
      </c>
      <c r="S522" s="34" t="s">
        <v>35</v>
      </c>
      <c r="T522" s="34" t="s">
        <v>36</v>
      </c>
      <c r="U522" s="34" t="s">
        <v>1637</v>
      </c>
    </row>
    <row r="523" spans="2:21">
      <c r="B523" s="46" t="s">
        <v>47</v>
      </c>
      <c r="C523" s="46" t="s">
        <v>28</v>
      </c>
      <c r="D523" s="47">
        <v>45387</v>
      </c>
      <c r="F523" s="34"/>
      <c r="G523" s="46"/>
      <c r="H523" s="34"/>
      <c r="I523" s="34"/>
      <c r="K523" s="39">
        <v>2588601</v>
      </c>
      <c r="L523" s="16" t="s">
        <v>1638</v>
      </c>
      <c r="M523" s="34" t="s">
        <v>31</v>
      </c>
      <c r="N523" s="34"/>
      <c r="O523" s="34"/>
      <c r="P523" s="34"/>
      <c r="Q523" s="34" t="s">
        <v>33</v>
      </c>
      <c r="R523" s="34" t="s">
        <v>94</v>
      </c>
      <c r="S523" s="34" t="s">
        <v>35</v>
      </c>
      <c r="T523" s="34" t="s">
        <v>36</v>
      </c>
      <c r="U523" s="34"/>
    </row>
    <row r="524" spans="2:21">
      <c r="B524" s="46" t="s">
        <v>47</v>
      </c>
      <c r="C524" s="46" t="s">
        <v>28</v>
      </c>
      <c r="D524" s="47">
        <v>45387</v>
      </c>
      <c r="F524" s="34"/>
      <c r="G524" s="46"/>
      <c r="H524" s="34"/>
      <c r="I524" s="34"/>
      <c r="K524" s="39">
        <v>2588701</v>
      </c>
      <c r="L524" s="16" t="s">
        <v>1639</v>
      </c>
      <c r="M524" s="34" t="s">
        <v>31</v>
      </c>
      <c r="N524" s="34"/>
      <c r="O524" s="34"/>
      <c r="P524" s="34"/>
      <c r="Q524" s="34" t="s">
        <v>33</v>
      </c>
      <c r="R524" s="34" t="s">
        <v>94</v>
      </c>
      <c r="S524" s="34" t="s">
        <v>35</v>
      </c>
      <c r="T524" s="34" t="s">
        <v>36</v>
      </c>
      <c r="U524" s="34"/>
    </row>
    <row r="525" spans="2:21">
      <c r="B525" s="46" t="s">
        <v>47</v>
      </c>
      <c r="C525" s="46" t="s">
        <v>28</v>
      </c>
      <c r="D525" s="47">
        <v>45387</v>
      </c>
      <c r="F525" s="34"/>
      <c r="G525" s="46"/>
      <c r="H525" s="34"/>
      <c r="I525" s="34"/>
      <c r="K525" s="39">
        <v>2588301</v>
      </c>
      <c r="L525" s="16" t="s">
        <v>1640</v>
      </c>
      <c r="M525" s="34" t="s">
        <v>31</v>
      </c>
      <c r="N525" s="34"/>
      <c r="O525" s="34"/>
      <c r="P525" s="34"/>
      <c r="Q525" s="34" t="s">
        <v>33</v>
      </c>
      <c r="R525" s="34" t="s">
        <v>94</v>
      </c>
      <c r="S525" s="34" t="s">
        <v>35</v>
      </c>
      <c r="T525" s="34" t="s">
        <v>36</v>
      </c>
      <c r="U525" s="34"/>
    </row>
    <row r="526" spans="2:21">
      <c r="B526" s="46" t="s">
        <v>47</v>
      </c>
      <c r="C526" s="46" t="s">
        <v>28</v>
      </c>
      <c r="D526" s="47">
        <v>45387</v>
      </c>
      <c r="F526" s="34"/>
      <c r="G526" s="46"/>
      <c r="H526" s="34"/>
      <c r="I526" s="34"/>
      <c r="K526" s="39">
        <v>2588401</v>
      </c>
      <c r="L526" s="16" t="s">
        <v>1641</v>
      </c>
      <c r="M526" s="34" t="s">
        <v>31</v>
      </c>
      <c r="N526" s="34"/>
      <c r="O526" s="34"/>
      <c r="P526" s="34"/>
      <c r="Q526" s="34" t="s">
        <v>33</v>
      </c>
      <c r="R526" s="34" t="s">
        <v>94</v>
      </c>
      <c r="S526" s="34" t="s">
        <v>35</v>
      </c>
      <c r="T526" s="34" t="s">
        <v>36</v>
      </c>
      <c r="U526" s="34"/>
    </row>
    <row r="527" spans="2:21">
      <c r="B527" s="46" t="s">
        <v>47</v>
      </c>
      <c r="C527" s="46" t="s">
        <v>28</v>
      </c>
      <c r="D527" s="47">
        <v>45387</v>
      </c>
      <c r="F527" s="34"/>
      <c r="G527" s="46"/>
      <c r="H527" s="34"/>
      <c r="I527" s="34"/>
      <c r="K527" s="39">
        <v>2587801</v>
      </c>
      <c r="L527" s="16" t="s">
        <v>1642</v>
      </c>
      <c r="M527" s="34" t="s">
        <v>31</v>
      </c>
      <c r="N527" s="34"/>
      <c r="O527" s="34"/>
      <c r="P527" s="34"/>
      <c r="Q527" s="34" t="s">
        <v>33</v>
      </c>
      <c r="R527" s="34" t="s">
        <v>94</v>
      </c>
      <c r="S527" s="34" t="s">
        <v>35</v>
      </c>
      <c r="T527" s="34" t="s">
        <v>36</v>
      </c>
      <c r="U527" s="34"/>
    </row>
    <row r="528" spans="2:21">
      <c r="B528" s="46" t="s">
        <v>47</v>
      </c>
      <c r="C528" s="46" t="s">
        <v>28</v>
      </c>
      <c r="D528" s="47">
        <v>45387</v>
      </c>
      <c r="F528" s="34"/>
      <c r="G528" s="46"/>
      <c r="H528" s="34"/>
      <c r="I528" s="34"/>
      <c r="K528" s="39">
        <v>2587901</v>
      </c>
      <c r="L528" s="16" t="s">
        <v>1643</v>
      </c>
      <c r="M528" s="34" t="s">
        <v>31</v>
      </c>
      <c r="N528" s="34"/>
      <c r="O528" s="34"/>
      <c r="P528" s="34"/>
      <c r="Q528" s="34" t="s">
        <v>33</v>
      </c>
      <c r="R528" s="34" t="s">
        <v>94</v>
      </c>
      <c r="S528" s="34" t="s">
        <v>35</v>
      </c>
      <c r="T528" s="34" t="s">
        <v>36</v>
      </c>
      <c r="U528" s="34"/>
    </row>
    <row r="529" spans="2:21">
      <c r="B529" s="46" t="s">
        <v>47</v>
      </c>
      <c r="C529" s="46" t="s">
        <v>28</v>
      </c>
      <c r="D529" s="47">
        <v>45387</v>
      </c>
      <c r="F529" s="34"/>
      <c r="G529" s="46"/>
      <c r="H529" s="34"/>
      <c r="I529" s="34"/>
      <c r="K529" s="39">
        <v>2588001</v>
      </c>
      <c r="L529" s="16" t="s">
        <v>1644</v>
      </c>
      <c r="M529" s="34" t="s">
        <v>31</v>
      </c>
      <c r="N529" s="34"/>
      <c r="O529" s="34"/>
      <c r="P529" s="34"/>
      <c r="Q529" s="34" t="s">
        <v>33</v>
      </c>
      <c r="R529" s="34" t="s">
        <v>94</v>
      </c>
      <c r="S529" s="34" t="s">
        <v>35</v>
      </c>
      <c r="T529" s="34" t="s">
        <v>36</v>
      </c>
      <c r="U529" s="34"/>
    </row>
    <row r="530" spans="2:21">
      <c r="B530" s="46" t="s">
        <v>47</v>
      </c>
      <c r="C530" s="46" t="s">
        <v>28</v>
      </c>
      <c r="D530" s="47">
        <v>45387</v>
      </c>
      <c r="F530" s="34"/>
      <c r="G530" s="46"/>
      <c r="H530" s="34"/>
      <c r="I530" s="34"/>
      <c r="K530" s="39">
        <v>2588101</v>
      </c>
      <c r="L530" s="16" t="s">
        <v>1645</v>
      </c>
      <c r="M530" s="34" t="s">
        <v>31</v>
      </c>
      <c r="N530" s="34"/>
      <c r="O530" s="34"/>
      <c r="P530" s="34"/>
      <c r="Q530" s="34" t="s">
        <v>33</v>
      </c>
      <c r="R530" s="34" t="s">
        <v>94</v>
      </c>
      <c r="S530" s="34" t="s">
        <v>35</v>
      </c>
      <c r="T530" s="34" t="s">
        <v>36</v>
      </c>
      <c r="U530" s="34"/>
    </row>
    <row r="531" spans="2:21">
      <c r="B531" s="46" t="s">
        <v>47</v>
      </c>
      <c r="C531" s="46" t="s">
        <v>28</v>
      </c>
      <c r="D531" s="47">
        <v>45387</v>
      </c>
      <c r="F531" s="34"/>
      <c r="G531" s="46"/>
      <c r="H531" s="34"/>
      <c r="I531" s="34"/>
      <c r="K531" s="39">
        <v>1932003</v>
      </c>
      <c r="L531" s="16" t="s">
        <v>1646</v>
      </c>
      <c r="M531" s="34" t="s">
        <v>31</v>
      </c>
      <c r="N531" s="34"/>
      <c r="O531" s="34"/>
      <c r="P531" s="34"/>
      <c r="Q531" s="34" t="s">
        <v>33</v>
      </c>
      <c r="R531" s="34" t="s">
        <v>94</v>
      </c>
      <c r="S531" s="34" t="s">
        <v>35</v>
      </c>
      <c r="T531" s="34" t="s">
        <v>36</v>
      </c>
      <c r="U531" s="34"/>
    </row>
    <row r="532" spans="2:21">
      <c r="B532" s="46" t="s">
        <v>47</v>
      </c>
      <c r="C532" s="46" t="s">
        <v>28</v>
      </c>
      <c r="D532" s="47">
        <v>45387</v>
      </c>
      <c r="F532" s="34"/>
      <c r="G532" s="46"/>
      <c r="H532" s="34"/>
      <c r="I532" s="34"/>
      <c r="K532" s="39">
        <v>1932004</v>
      </c>
      <c r="L532" s="16" t="s">
        <v>1647</v>
      </c>
      <c r="M532" s="34" t="s">
        <v>31</v>
      </c>
      <c r="N532" s="34"/>
      <c r="O532" s="34"/>
      <c r="P532" s="34"/>
      <c r="Q532" s="34" t="s">
        <v>33</v>
      </c>
      <c r="R532" s="34" t="s">
        <v>94</v>
      </c>
      <c r="S532" s="34" t="s">
        <v>35</v>
      </c>
      <c r="T532" s="34" t="s">
        <v>36</v>
      </c>
      <c r="U532" s="34"/>
    </row>
    <row r="533" spans="2:21">
      <c r="B533" s="46" t="s">
        <v>47</v>
      </c>
      <c r="C533" s="46" t="s">
        <v>28</v>
      </c>
      <c r="D533" s="47">
        <v>45401</v>
      </c>
      <c r="F533" s="34"/>
      <c r="G533" s="46"/>
      <c r="H533" s="34"/>
      <c r="I533" s="34"/>
      <c r="K533" s="39">
        <v>2589802</v>
      </c>
      <c r="L533" s="16" t="s">
        <v>1648</v>
      </c>
      <c r="M533" s="34" t="s">
        <v>31</v>
      </c>
      <c r="N533" s="34"/>
      <c r="O533" s="34"/>
      <c r="P533" s="34"/>
      <c r="Q533" s="34" t="s">
        <v>33</v>
      </c>
      <c r="R533" s="34" t="s">
        <v>94</v>
      </c>
      <c r="S533" s="34" t="s">
        <v>35</v>
      </c>
      <c r="T533" s="34" t="s">
        <v>36</v>
      </c>
      <c r="U533" s="34"/>
    </row>
    <row r="534" spans="2:21">
      <c r="B534" s="46" t="s">
        <v>47</v>
      </c>
      <c r="C534" s="46" t="s">
        <v>28</v>
      </c>
      <c r="D534" s="47">
        <v>45401</v>
      </c>
      <c r="F534" s="34"/>
      <c r="G534" s="46"/>
      <c r="H534" s="34"/>
      <c r="I534" s="34"/>
      <c r="K534" s="39">
        <v>2589801</v>
      </c>
      <c r="L534" s="16" t="s">
        <v>1649</v>
      </c>
      <c r="M534" s="34" t="s">
        <v>31</v>
      </c>
      <c r="N534" s="34"/>
      <c r="O534" s="34"/>
      <c r="P534" s="34"/>
      <c r="Q534" s="34" t="s">
        <v>33</v>
      </c>
      <c r="R534" s="34" t="s">
        <v>94</v>
      </c>
      <c r="S534" s="34" t="s">
        <v>35</v>
      </c>
      <c r="T534" s="34" t="s">
        <v>36</v>
      </c>
      <c r="U534" s="34"/>
    </row>
    <row r="535" spans="2:21">
      <c r="B535" s="46" t="s">
        <v>47</v>
      </c>
      <c r="C535" s="46" t="s">
        <v>28</v>
      </c>
      <c r="D535" s="47">
        <v>45401</v>
      </c>
      <c r="F535" s="34"/>
      <c r="G535" s="46"/>
      <c r="H535" s="34"/>
      <c r="I535" s="34"/>
      <c r="K535" s="39" t="s">
        <v>1650</v>
      </c>
      <c r="L535" s="16" t="s">
        <v>1651</v>
      </c>
      <c r="M535" s="34" t="s">
        <v>31</v>
      </c>
      <c r="N535" s="34"/>
      <c r="O535" s="34"/>
      <c r="P535" s="34"/>
      <c r="Q535" s="34" t="s">
        <v>33</v>
      </c>
      <c r="R535" s="34" t="s">
        <v>94</v>
      </c>
      <c r="S535" s="34" t="s">
        <v>35</v>
      </c>
      <c r="T535" s="34" t="s">
        <v>36</v>
      </c>
      <c r="U535" s="34"/>
    </row>
    <row r="536" spans="2:21">
      <c r="B536" s="46" t="s">
        <v>47</v>
      </c>
      <c r="C536" s="46" t="s">
        <v>28</v>
      </c>
      <c r="D536" s="47">
        <v>45401</v>
      </c>
      <c r="F536" s="34"/>
      <c r="G536" s="46"/>
      <c r="H536" s="34"/>
      <c r="I536" s="34"/>
      <c r="K536" s="39" t="s">
        <v>1652</v>
      </c>
      <c r="L536" s="16" t="s">
        <v>1653</v>
      </c>
      <c r="M536" s="34" t="s">
        <v>31</v>
      </c>
      <c r="N536" s="34"/>
      <c r="O536" s="34"/>
      <c r="P536" s="34"/>
      <c r="Q536" s="34" t="s">
        <v>33</v>
      </c>
      <c r="R536" s="34" t="s">
        <v>94</v>
      </c>
      <c r="S536" s="34" t="s">
        <v>35</v>
      </c>
      <c r="T536" s="34" t="s">
        <v>36</v>
      </c>
      <c r="U536" s="34"/>
    </row>
    <row r="537" spans="2:21">
      <c r="B537" s="46" t="s">
        <v>47</v>
      </c>
      <c r="C537" s="46" t="s">
        <v>28</v>
      </c>
      <c r="D537" s="47">
        <v>45401</v>
      </c>
      <c r="F537" s="34"/>
      <c r="G537" s="46"/>
      <c r="H537" s="34"/>
      <c r="I537" s="34"/>
      <c r="K537" s="39" t="s">
        <v>1654</v>
      </c>
      <c r="L537" s="16" t="s">
        <v>1655</v>
      </c>
      <c r="M537" s="34" t="s">
        <v>31</v>
      </c>
      <c r="N537" s="34"/>
      <c r="O537" s="34"/>
      <c r="P537" s="34"/>
      <c r="Q537" s="34" t="s">
        <v>33</v>
      </c>
      <c r="R537" s="34" t="s">
        <v>94</v>
      </c>
      <c r="S537" s="34" t="s">
        <v>35</v>
      </c>
      <c r="T537" s="34" t="s">
        <v>36</v>
      </c>
      <c r="U537" s="34"/>
    </row>
    <row r="538" spans="2:21">
      <c r="B538" s="46" t="s">
        <v>47</v>
      </c>
      <c r="C538" s="46" t="s">
        <v>28</v>
      </c>
      <c r="D538" s="47">
        <v>45401</v>
      </c>
      <c r="F538" s="34"/>
      <c r="G538" s="46"/>
      <c r="H538" s="34"/>
      <c r="I538" s="34"/>
      <c r="K538" s="39" t="s">
        <v>1656</v>
      </c>
      <c r="L538" s="16" t="s">
        <v>1657</v>
      </c>
      <c r="M538" s="34" t="s">
        <v>31</v>
      </c>
      <c r="N538" s="34"/>
      <c r="O538" s="34"/>
      <c r="P538" s="34"/>
      <c r="Q538" s="34" t="s">
        <v>33</v>
      </c>
      <c r="R538" s="34" t="s">
        <v>94</v>
      </c>
      <c r="S538" s="34" t="s">
        <v>35</v>
      </c>
      <c r="T538" s="34" t="s">
        <v>36</v>
      </c>
      <c r="U538" s="34"/>
    </row>
    <row r="539" spans="2:21">
      <c r="B539" s="46" t="s">
        <v>47</v>
      </c>
      <c r="C539" s="46" t="s">
        <v>28</v>
      </c>
      <c r="D539" s="47">
        <v>45401</v>
      </c>
      <c r="F539" s="34"/>
      <c r="G539" s="46"/>
      <c r="H539" s="34"/>
      <c r="I539" s="34"/>
      <c r="K539" s="39" t="s">
        <v>1658</v>
      </c>
      <c r="L539" s="16" t="s">
        <v>1659</v>
      </c>
      <c r="M539" s="34" t="s">
        <v>31</v>
      </c>
      <c r="N539" s="34"/>
      <c r="O539" s="34"/>
      <c r="P539" s="34"/>
      <c r="Q539" s="34" t="s">
        <v>33</v>
      </c>
      <c r="R539" s="34" t="s">
        <v>94</v>
      </c>
      <c r="S539" s="34" t="s">
        <v>35</v>
      </c>
      <c r="T539" s="34" t="s">
        <v>36</v>
      </c>
      <c r="U539" s="34"/>
    </row>
    <row r="540" spans="2:21">
      <c r="B540" s="46" t="s">
        <v>47</v>
      </c>
      <c r="C540" s="46" t="s">
        <v>28</v>
      </c>
      <c r="D540" s="47">
        <v>45401</v>
      </c>
      <c r="F540" s="34"/>
      <c r="G540" s="46"/>
      <c r="H540" s="34"/>
      <c r="I540" s="34"/>
      <c r="K540" s="39" t="s">
        <v>1660</v>
      </c>
      <c r="L540" s="16" t="s">
        <v>1661</v>
      </c>
      <c r="M540" s="34" t="s">
        <v>31</v>
      </c>
      <c r="N540" s="34"/>
      <c r="O540" s="34"/>
      <c r="P540" s="34"/>
      <c r="Q540" s="34" t="s">
        <v>33</v>
      </c>
      <c r="R540" s="34" t="s">
        <v>94</v>
      </c>
      <c r="S540" s="34" t="s">
        <v>35</v>
      </c>
      <c r="T540" s="34" t="s">
        <v>36</v>
      </c>
      <c r="U540" s="34"/>
    </row>
    <row r="541" spans="2:21">
      <c r="B541" s="46" t="s">
        <v>47</v>
      </c>
      <c r="C541" s="46" t="s">
        <v>28</v>
      </c>
      <c r="D541" s="47">
        <v>45420</v>
      </c>
      <c r="F541" s="34"/>
      <c r="G541" s="46"/>
      <c r="H541" s="34"/>
      <c r="I541" s="34"/>
      <c r="K541" s="39">
        <v>2592501</v>
      </c>
      <c r="L541" s="16" t="s">
        <v>1662</v>
      </c>
      <c r="M541" s="34" t="s">
        <v>31</v>
      </c>
      <c r="N541" s="34"/>
      <c r="O541" s="34"/>
      <c r="P541" s="34"/>
      <c r="Q541" s="34" t="s">
        <v>33</v>
      </c>
      <c r="R541" s="34" t="s">
        <v>94</v>
      </c>
      <c r="S541" s="34" t="s">
        <v>35</v>
      </c>
      <c r="T541" s="34" t="s">
        <v>36</v>
      </c>
      <c r="U541" s="34"/>
    </row>
    <row r="542" spans="2:21">
      <c r="B542" s="46" t="s">
        <v>47</v>
      </c>
      <c r="C542" s="46" t="s">
        <v>28</v>
      </c>
      <c r="D542" s="47">
        <v>45420</v>
      </c>
      <c r="F542" s="34"/>
      <c r="G542" s="46"/>
      <c r="H542" s="34"/>
      <c r="I542" s="34"/>
      <c r="K542" s="39">
        <v>2592401</v>
      </c>
      <c r="L542" s="16" t="s">
        <v>1663</v>
      </c>
      <c r="M542" s="34" t="s">
        <v>31</v>
      </c>
      <c r="N542" s="34"/>
      <c r="O542" s="34"/>
      <c r="P542" s="34"/>
      <c r="Q542" s="34" t="s">
        <v>33</v>
      </c>
      <c r="R542" s="34" t="s">
        <v>94</v>
      </c>
      <c r="S542" s="34" t="s">
        <v>35</v>
      </c>
      <c r="T542" s="34" t="s">
        <v>36</v>
      </c>
      <c r="U542" s="34"/>
    </row>
    <row r="543" spans="2:21">
      <c r="B543" s="46" t="s">
        <v>47</v>
      </c>
      <c r="C543" s="46" t="s">
        <v>28</v>
      </c>
      <c r="D543" s="47">
        <v>45429</v>
      </c>
      <c r="F543" s="34"/>
      <c r="G543" s="46"/>
      <c r="H543" s="34"/>
      <c r="I543" s="34"/>
      <c r="K543" s="39">
        <v>2592301</v>
      </c>
      <c r="L543" s="16" t="s">
        <v>1664</v>
      </c>
      <c r="M543" s="34" t="s">
        <v>31</v>
      </c>
      <c r="N543" s="34"/>
      <c r="O543" s="34"/>
      <c r="P543" s="34"/>
      <c r="Q543" s="34" t="s">
        <v>33</v>
      </c>
      <c r="R543" s="34" t="s">
        <v>94</v>
      </c>
      <c r="S543" s="34" t="s">
        <v>35</v>
      </c>
      <c r="T543" s="34" t="s">
        <v>36</v>
      </c>
      <c r="U543" s="34"/>
    </row>
    <row r="544" spans="2:21">
      <c r="B544" s="46" t="s">
        <v>47</v>
      </c>
      <c r="C544" s="46" t="s">
        <v>28</v>
      </c>
      <c r="D544" s="47">
        <v>45429</v>
      </c>
      <c r="F544" s="34"/>
      <c r="G544" s="46"/>
      <c r="H544" s="34"/>
      <c r="I544" s="34"/>
      <c r="K544" s="39">
        <v>2416602</v>
      </c>
      <c r="L544" s="16" t="s">
        <v>1665</v>
      </c>
      <c r="M544" s="34" t="s">
        <v>31</v>
      </c>
      <c r="N544" s="34"/>
      <c r="O544" s="34"/>
      <c r="P544" s="34"/>
      <c r="Q544" s="34" t="s">
        <v>33</v>
      </c>
      <c r="R544" s="34" t="s">
        <v>94</v>
      </c>
      <c r="S544" s="34" t="s">
        <v>35</v>
      </c>
      <c r="T544" s="34" t="s">
        <v>36</v>
      </c>
      <c r="U544" s="34"/>
    </row>
    <row r="545" spans="2:21">
      <c r="B545" s="46" t="s">
        <v>47</v>
      </c>
      <c r="C545" s="46" t="s">
        <v>28</v>
      </c>
      <c r="D545" s="47">
        <v>45429</v>
      </c>
      <c r="F545" s="34"/>
      <c r="G545" s="46"/>
      <c r="H545" s="34"/>
      <c r="I545" s="34"/>
      <c r="K545" s="39">
        <v>1931504</v>
      </c>
      <c r="L545" s="16" t="s">
        <v>1666</v>
      </c>
      <c r="M545" s="34" t="s">
        <v>31</v>
      </c>
      <c r="N545" s="34"/>
      <c r="O545" s="34"/>
      <c r="P545" s="34"/>
      <c r="Q545" s="34" t="s">
        <v>33</v>
      </c>
      <c r="R545" s="34" t="s">
        <v>94</v>
      </c>
      <c r="S545" s="34" t="s">
        <v>35</v>
      </c>
      <c r="T545" s="34" t="s">
        <v>36</v>
      </c>
      <c r="U545" s="34"/>
    </row>
    <row r="546" spans="2:21">
      <c r="B546" s="46" t="s">
        <v>47</v>
      </c>
      <c r="C546" s="46" t="s">
        <v>28</v>
      </c>
      <c r="D546" s="47">
        <v>45436</v>
      </c>
      <c r="F546" s="34"/>
      <c r="G546" s="46"/>
      <c r="H546" s="34"/>
      <c r="I546" s="34"/>
      <c r="K546" s="39">
        <v>2594101</v>
      </c>
      <c r="L546" s="16" t="s">
        <v>1667</v>
      </c>
      <c r="M546" s="34" t="s">
        <v>31</v>
      </c>
      <c r="N546" s="34"/>
      <c r="O546" s="34"/>
      <c r="P546" s="34"/>
      <c r="Q546" s="34" t="s">
        <v>33</v>
      </c>
      <c r="R546" s="34" t="s">
        <v>94</v>
      </c>
      <c r="S546" s="34" t="s">
        <v>35</v>
      </c>
      <c r="T546" s="34" t="s">
        <v>36</v>
      </c>
      <c r="U546" s="34"/>
    </row>
    <row r="547" spans="2:21">
      <c r="B547" s="46" t="s">
        <v>47</v>
      </c>
      <c r="C547" s="46" t="s">
        <v>28</v>
      </c>
      <c r="D547" s="47">
        <v>45436</v>
      </c>
      <c r="F547" s="34"/>
      <c r="G547" s="46"/>
      <c r="H547" s="34"/>
      <c r="I547" s="34"/>
      <c r="K547" s="39">
        <v>2594201</v>
      </c>
      <c r="L547" s="16" t="s">
        <v>1668</v>
      </c>
      <c r="M547" s="34" t="s">
        <v>31</v>
      </c>
      <c r="N547" s="34"/>
      <c r="O547" s="34"/>
      <c r="P547" s="34"/>
      <c r="Q547" s="34" t="s">
        <v>33</v>
      </c>
      <c r="R547" s="34" t="s">
        <v>94</v>
      </c>
      <c r="S547" s="34" t="s">
        <v>35</v>
      </c>
      <c r="T547" s="34" t="s">
        <v>36</v>
      </c>
      <c r="U547" s="34"/>
    </row>
    <row r="548" spans="2:21">
      <c r="B548" s="46" t="s">
        <v>47</v>
      </c>
      <c r="C548" s="46" t="s">
        <v>28</v>
      </c>
      <c r="D548" s="47">
        <v>45441</v>
      </c>
      <c r="F548" s="34"/>
      <c r="G548" s="46"/>
      <c r="H548" s="34"/>
      <c r="I548" s="34"/>
      <c r="K548" s="39">
        <v>2600301</v>
      </c>
      <c r="L548" s="16" t="s">
        <v>1669</v>
      </c>
      <c r="M548" s="34" t="s">
        <v>31</v>
      </c>
      <c r="N548" s="34"/>
      <c r="O548" s="34"/>
      <c r="P548" s="34"/>
      <c r="Q548" s="34" t="s">
        <v>33</v>
      </c>
      <c r="R548" s="34" t="s">
        <v>94</v>
      </c>
      <c r="S548" s="34" t="s">
        <v>35</v>
      </c>
      <c r="T548" s="34" t="s">
        <v>36</v>
      </c>
      <c r="U548" s="34"/>
    </row>
    <row r="549" spans="2:21">
      <c r="B549" s="46" t="s">
        <v>47</v>
      </c>
      <c r="C549" s="46" t="s">
        <v>28</v>
      </c>
      <c r="D549" s="47">
        <v>45457</v>
      </c>
      <c r="F549" s="34"/>
      <c r="G549" s="46"/>
      <c r="H549" s="34"/>
      <c r="I549" s="34"/>
      <c r="K549" s="39">
        <v>2600601</v>
      </c>
      <c r="L549" s="16" t="s">
        <v>1670</v>
      </c>
      <c r="M549" s="34" t="s">
        <v>31</v>
      </c>
      <c r="N549" s="34"/>
      <c r="O549" s="34"/>
      <c r="P549" s="34"/>
      <c r="Q549" s="34" t="s">
        <v>33</v>
      </c>
      <c r="R549" s="34" t="s">
        <v>94</v>
      </c>
      <c r="S549" s="34" t="s">
        <v>35</v>
      </c>
      <c r="T549" s="34" t="s">
        <v>36</v>
      </c>
      <c r="U549" s="34"/>
    </row>
    <row r="550" spans="2:21">
      <c r="B550" s="46" t="s">
        <v>47</v>
      </c>
      <c r="C550" s="46" t="s">
        <v>28</v>
      </c>
      <c r="D550" s="47">
        <v>45471</v>
      </c>
      <c r="F550" s="34"/>
      <c r="G550" s="46"/>
      <c r="H550" s="34"/>
      <c r="I550" s="34"/>
      <c r="K550" s="39">
        <v>1414504</v>
      </c>
      <c r="L550" s="16" t="s">
        <v>1671</v>
      </c>
      <c r="M550" s="34" t="s">
        <v>31</v>
      </c>
      <c r="N550" s="34"/>
      <c r="O550" s="34"/>
      <c r="P550" s="34"/>
      <c r="Q550" s="34" t="s">
        <v>33</v>
      </c>
      <c r="R550" s="34" t="s">
        <v>94</v>
      </c>
      <c r="S550" s="34" t="s">
        <v>35</v>
      </c>
      <c r="T550" s="34" t="s">
        <v>36</v>
      </c>
      <c r="U550" s="34"/>
    </row>
    <row r="551" spans="2:21">
      <c r="B551" s="46" t="s">
        <v>47</v>
      </c>
      <c r="C551" s="46" t="s">
        <v>28</v>
      </c>
      <c r="D551" s="47">
        <v>45471</v>
      </c>
      <c r="F551" s="34"/>
      <c r="G551" s="46"/>
      <c r="H551" s="34"/>
      <c r="I551" s="34"/>
      <c r="K551" s="39">
        <v>33937</v>
      </c>
      <c r="L551" s="16" t="s">
        <v>1672</v>
      </c>
      <c r="M551" s="34" t="s">
        <v>31</v>
      </c>
      <c r="N551" s="34"/>
      <c r="O551" s="34"/>
      <c r="P551" s="34"/>
      <c r="Q551" s="34" t="s">
        <v>33</v>
      </c>
      <c r="R551" s="34" t="s">
        <v>94</v>
      </c>
      <c r="S551" s="34" t="s">
        <v>35</v>
      </c>
      <c r="T551" s="34" t="s">
        <v>36</v>
      </c>
      <c r="U551" s="34"/>
    </row>
    <row r="552" spans="2:21">
      <c r="B552" s="46" t="s">
        <v>47</v>
      </c>
      <c r="C552" s="46" t="s">
        <v>28</v>
      </c>
      <c r="D552" s="47">
        <v>45471</v>
      </c>
      <c r="F552" s="34"/>
      <c r="G552" s="46"/>
      <c r="H552" s="34"/>
      <c r="I552" s="34"/>
      <c r="K552" s="39">
        <v>905221</v>
      </c>
      <c r="L552" s="16" t="s">
        <v>1673</v>
      </c>
      <c r="M552" s="34" t="s">
        <v>31</v>
      </c>
      <c r="N552" s="34"/>
      <c r="O552" s="34"/>
      <c r="P552" s="34"/>
      <c r="Q552" s="34" t="s">
        <v>33</v>
      </c>
      <c r="R552" s="34" t="s">
        <v>94</v>
      </c>
      <c r="S552" s="34" t="s">
        <v>35</v>
      </c>
      <c r="T552" s="34" t="s">
        <v>36</v>
      </c>
      <c r="U552" s="34"/>
    </row>
    <row r="553" spans="2:21">
      <c r="B553" s="46" t="s">
        <v>47</v>
      </c>
      <c r="C553" s="46" t="s">
        <v>28</v>
      </c>
      <c r="D553" s="47">
        <v>45471</v>
      </c>
      <c r="F553" s="34"/>
      <c r="G553" s="46"/>
      <c r="H553" s="34"/>
      <c r="I553" s="34"/>
      <c r="K553" s="39">
        <v>2603901</v>
      </c>
      <c r="L553" s="16" t="s">
        <v>1674</v>
      </c>
      <c r="M553" s="34" t="s">
        <v>31</v>
      </c>
      <c r="N553" s="34"/>
      <c r="O553" s="34"/>
      <c r="P553" s="34"/>
      <c r="Q553" s="34" t="s">
        <v>33</v>
      </c>
      <c r="R553" s="34" t="s">
        <v>94</v>
      </c>
      <c r="S553" s="34" t="s">
        <v>35</v>
      </c>
      <c r="T553" s="34" t="s">
        <v>36</v>
      </c>
      <c r="U553" s="34"/>
    </row>
    <row r="554" spans="2:21">
      <c r="B554" s="46" t="s">
        <v>47</v>
      </c>
      <c r="C554" s="46" t="s">
        <v>28</v>
      </c>
      <c r="D554" s="47">
        <v>45471</v>
      </c>
      <c r="F554" s="34"/>
      <c r="G554" s="46"/>
      <c r="H554" s="34"/>
      <c r="I554" s="34"/>
      <c r="K554" s="39">
        <v>2604701</v>
      </c>
      <c r="L554" s="16" t="s">
        <v>1675</v>
      </c>
      <c r="M554" s="34" t="s">
        <v>31</v>
      </c>
      <c r="N554" s="34"/>
      <c r="O554" s="34"/>
      <c r="P554" s="34"/>
      <c r="Q554" s="34" t="s">
        <v>33</v>
      </c>
      <c r="R554" s="34" t="s">
        <v>94</v>
      </c>
      <c r="S554" s="34" t="s">
        <v>35</v>
      </c>
      <c r="T554" s="34" t="s">
        <v>36</v>
      </c>
      <c r="U554" s="34"/>
    </row>
    <row r="555" spans="2:21">
      <c r="B555" s="46" t="s">
        <v>47</v>
      </c>
      <c r="C555" s="46" t="s">
        <v>28</v>
      </c>
      <c r="D555" s="47">
        <v>45471</v>
      </c>
      <c r="F555" s="34"/>
      <c r="G555" s="46"/>
      <c r="H555" s="34"/>
      <c r="I555" s="34"/>
      <c r="K555" s="39">
        <v>2604702</v>
      </c>
      <c r="L555" s="16" t="s">
        <v>1676</v>
      </c>
      <c r="M555" s="34" t="s">
        <v>31</v>
      </c>
      <c r="N555" s="34"/>
      <c r="O555" s="34"/>
      <c r="P555" s="34"/>
      <c r="Q555" s="34" t="s">
        <v>33</v>
      </c>
      <c r="R555" s="34" t="s">
        <v>94</v>
      </c>
      <c r="S555" s="34" t="s">
        <v>35</v>
      </c>
      <c r="T555" s="34" t="s">
        <v>36</v>
      </c>
      <c r="U555" s="34"/>
    </row>
    <row r="556" spans="2:21">
      <c r="B556" s="46" t="s">
        <v>47</v>
      </c>
      <c r="C556" s="46" t="s">
        <v>28</v>
      </c>
      <c r="D556" s="47">
        <v>45478</v>
      </c>
      <c r="F556" s="34"/>
      <c r="G556" s="46"/>
      <c r="H556" s="34"/>
      <c r="I556" s="34"/>
      <c r="K556" s="39">
        <v>2606501</v>
      </c>
      <c r="L556" s="16" t="s">
        <v>1677</v>
      </c>
      <c r="M556" s="34" t="s">
        <v>31</v>
      </c>
      <c r="N556" s="34"/>
      <c r="O556" s="34"/>
      <c r="P556" s="34"/>
      <c r="Q556" s="34" t="s">
        <v>33</v>
      </c>
      <c r="R556" s="34" t="s">
        <v>94</v>
      </c>
      <c r="S556" s="34" t="s">
        <v>35</v>
      </c>
      <c r="T556" s="34" t="s">
        <v>36</v>
      </c>
      <c r="U556" s="34"/>
    </row>
    <row r="557" spans="2:21">
      <c r="B557" s="46" t="s">
        <v>47</v>
      </c>
      <c r="C557" s="46" t="s">
        <v>28</v>
      </c>
      <c r="D557" s="47">
        <v>45478</v>
      </c>
      <c r="F557" s="34"/>
      <c r="G557" s="46"/>
      <c r="H557" s="34"/>
      <c r="I557" s="34"/>
      <c r="K557" s="39">
        <v>2606502</v>
      </c>
      <c r="L557" s="16" t="s">
        <v>1678</v>
      </c>
      <c r="M557" s="34" t="s">
        <v>31</v>
      </c>
      <c r="N557" s="34"/>
      <c r="O557" s="34"/>
      <c r="P557" s="34"/>
      <c r="Q557" s="34" t="s">
        <v>33</v>
      </c>
      <c r="R557" s="34" t="s">
        <v>94</v>
      </c>
      <c r="S557" s="34" t="s">
        <v>35</v>
      </c>
      <c r="T557" s="34" t="s">
        <v>36</v>
      </c>
      <c r="U557" s="34"/>
    </row>
    <row r="558" spans="2:21">
      <c r="B558" s="46" t="s">
        <v>47</v>
      </c>
      <c r="C558" s="46" t="s">
        <v>28</v>
      </c>
      <c r="D558" s="47">
        <v>45478</v>
      </c>
      <c r="F558" s="34"/>
      <c r="G558" s="46"/>
      <c r="H558" s="34"/>
      <c r="I558" s="34"/>
      <c r="K558" s="39">
        <v>2606601</v>
      </c>
      <c r="L558" s="16" t="s">
        <v>1679</v>
      </c>
      <c r="M558" s="34" t="s">
        <v>31</v>
      </c>
      <c r="N558" s="34"/>
      <c r="O558" s="34"/>
      <c r="P558" s="34"/>
      <c r="Q558" s="34" t="s">
        <v>33</v>
      </c>
      <c r="R558" s="34" t="s">
        <v>94</v>
      </c>
      <c r="S558" s="34" t="s">
        <v>35</v>
      </c>
      <c r="T558" s="34" t="s">
        <v>36</v>
      </c>
      <c r="U558" s="34"/>
    </row>
    <row r="559" spans="2:21">
      <c r="B559" s="46" t="s">
        <v>47</v>
      </c>
      <c r="C559" s="46" t="s">
        <v>28</v>
      </c>
      <c r="D559" s="47">
        <v>45478</v>
      </c>
      <c r="F559" s="34"/>
      <c r="G559" s="46"/>
      <c r="H559" s="34"/>
      <c r="I559" s="34"/>
      <c r="K559" s="39">
        <v>2606602</v>
      </c>
      <c r="L559" s="16" t="s">
        <v>1680</v>
      </c>
      <c r="M559" s="34" t="s">
        <v>31</v>
      </c>
      <c r="N559" s="34"/>
      <c r="O559" s="34"/>
      <c r="P559" s="34"/>
      <c r="Q559" s="34" t="s">
        <v>33</v>
      </c>
      <c r="R559" s="34" t="s">
        <v>94</v>
      </c>
      <c r="S559" s="34" t="s">
        <v>35</v>
      </c>
      <c r="T559" s="34" t="s">
        <v>36</v>
      </c>
      <c r="U559" s="34"/>
    </row>
    <row r="560" spans="2:21">
      <c r="B560" s="46" t="s">
        <v>47</v>
      </c>
      <c r="C560" s="46" t="s">
        <v>28</v>
      </c>
      <c r="D560" s="47">
        <v>45478</v>
      </c>
      <c r="F560" s="34"/>
      <c r="G560" s="46"/>
      <c r="H560" s="34"/>
      <c r="I560" s="34"/>
      <c r="K560" s="39">
        <v>2606603</v>
      </c>
      <c r="L560" s="16" t="s">
        <v>1681</v>
      </c>
      <c r="M560" s="34" t="s">
        <v>31</v>
      </c>
      <c r="N560" s="34"/>
      <c r="O560" s="34"/>
      <c r="P560" s="34"/>
      <c r="Q560" s="34" t="s">
        <v>33</v>
      </c>
      <c r="R560" s="34" t="s">
        <v>94</v>
      </c>
      <c r="S560" s="34" t="s">
        <v>35</v>
      </c>
      <c r="T560" s="34" t="s">
        <v>36</v>
      </c>
      <c r="U560" s="34"/>
    </row>
    <row r="561" spans="2:21">
      <c r="B561" s="46" t="s">
        <v>47</v>
      </c>
      <c r="C561" s="46" t="s">
        <v>28</v>
      </c>
      <c r="D561" s="47">
        <v>45478</v>
      </c>
      <c r="F561" s="34"/>
      <c r="G561" s="46"/>
      <c r="H561" s="34"/>
      <c r="I561" s="34"/>
      <c r="K561" s="39">
        <v>2606604</v>
      </c>
      <c r="L561" s="16" t="s">
        <v>1682</v>
      </c>
      <c r="M561" s="34" t="s">
        <v>31</v>
      </c>
      <c r="N561" s="34"/>
      <c r="O561" s="34"/>
      <c r="P561" s="34"/>
      <c r="Q561" s="34" t="s">
        <v>33</v>
      </c>
      <c r="R561" s="34" t="s">
        <v>94</v>
      </c>
      <c r="S561" s="34" t="s">
        <v>35</v>
      </c>
      <c r="T561" s="34" t="s">
        <v>36</v>
      </c>
      <c r="U561" s="34"/>
    </row>
    <row r="562" spans="2:21">
      <c r="B562" s="46" t="s">
        <v>47</v>
      </c>
      <c r="C562" s="46" t="s">
        <v>28</v>
      </c>
      <c r="D562" s="47">
        <v>45492</v>
      </c>
      <c r="F562" s="34"/>
      <c r="G562" s="46"/>
      <c r="H562" s="34"/>
      <c r="I562" s="34"/>
      <c r="K562" s="82">
        <v>2608001</v>
      </c>
      <c r="L562" s="78" t="s">
        <v>1683</v>
      </c>
      <c r="M562" s="38" t="s">
        <v>31</v>
      </c>
      <c r="N562" s="38"/>
      <c r="O562" s="38"/>
      <c r="P562" s="38"/>
      <c r="Q562" s="38" t="s">
        <v>33</v>
      </c>
      <c r="R562" s="34" t="s">
        <v>94</v>
      </c>
      <c r="S562" s="34" t="s">
        <v>35</v>
      </c>
      <c r="T562" s="34" t="s">
        <v>36</v>
      </c>
      <c r="U562" s="38"/>
    </row>
    <row r="563" spans="2:21">
      <c r="B563" s="46" t="s">
        <v>47</v>
      </c>
      <c r="C563" s="46" t="s">
        <v>28</v>
      </c>
      <c r="D563" s="47">
        <v>45513</v>
      </c>
      <c r="F563" s="34"/>
      <c r="G563" s="46"/>
      <c r="H563" s="34"/>
      <c r="I563" s="34"/>
      <c r="K563" s="39">
        <v>2522303</v>
      </c>
      <c r="L563" s="16" t="s">
        <v>1684</v>
      </c>
      <c r="M563" s="34" t="s">
        <v>31</v>
      </c>
      <c r="N563" s="39"/>
      <c r="O563" s="39"/>
      <c r="P563" s="39"/>
      <c r="Q563" s="34" t="s">
        <v>33</v>
      </c>
      <c r="R563" s="34" t="s">
        <v>94</v>
      </c>
      <c r="S563" s="34" t="s">
        <v>35</v>
      </c>
      <c r="T563" s="34" t="s">
        <v>36</v>
      </c>
      <c r="U563" s="39"/>
    </row>
    <row r="564" spans="2:21">
      <c r="B564" s="46" t="s">
        <v>47</v>
      </c>
      <c r="C564" s="46" t="s">
        <v>28</v>
      </c>
      <c r="D564" s="47">
        <v>45513</v>
      </c>
      <c r="F564" s="34"/>
      <c r="G564" s="46"/>
      <c r="H564" s="34"/>
      <c r="I564" s="34"/>
      <c r="K564" s="39">
        <v>2522304</v>
      </c>
      <c r="L564" s="16" t="s">
        <v>1685</v>
      </c>
      <c r="M564" s="34" t="s">
        <v>31</v>
      </c>
      <c r="N564" s="39"/>
      <c r="O564" s="39"/>
      <c r="P564" s="39"/>
      <c r="Q564" s="34" t="s">
        <v>33</v>
      </c>
      <c r="R564" s="34" t="s">
        <v>94</v>
      </c>
      <c r="S564" s="34" t="s">
        <v>35</v>
      </c>
      <c r="T564" s="34" t="s">
        <v>36</v>
      </c>
      <c r="U564" s="39" t="s">
        <v>1686</v>
      </c>
    </row>
    <row r="565" spans="2:21">
      <c r="B565" s="46" t="s">
        <v>47</v>
      </c>
      <c r="C565" s="46" t="s">
        <v>28</v>
      </c>
      <c r="D565" s="47">
        <v>45513</v>
      </c>
      <c r="F565" s="34"/>
      <c r="G565" s="46"/>
      <c r="H565" s="34"/>
      <c r="I565" s="34"/>
      <c r="K565" s="39">
        <v>2608002</v>
      </c>
      <c r="L565" s="16" t="s">
        <v>1687</v>
      </c>
      <c r="M565" s="34" t="s">
        <v>31</v>
      </c>
      <c r="N565" s="39"/>
      <c r="O565" s="39"/>
      <c r="P565" s="39"/>
      <c r="Q565" s="34" t="s">
        <v>33</v>
      </c>
      <c r="R565" s="34" t="s">
        <v>94</v>
      </c>
      <c r="S565" s="34" t="s">
        <v>35</v>
      </c>
      <c r="T565" s="34" t="s">
        <v>36</v>
      </c>
      <c r="U565" s="39" t="s">
        <v>1686</v>
      </c>
    </row>
    <row r="566" spans="2:21">
      <c r="B566" s="46" t="s">
        <v>47</v>
      </c>
      <c r="C566" s="80" t="s">
        <v>28</v>
      </c>
      <c r="D566" s="47">
        <v>45548</v>
      </c>
      <c r="F566" s="207">
        <v>2130601</v>
      </c>
      <c r="G566" s="16" t="s">
        <v>1160</v>
      </c>
      <c r="H566" s="39" t="s">
        <v>1688</v>
      </c>
      <c r="I566" s="34"/>
      <c r="K566" s="39">
        <v>2130603</v>
      </c>
      <c r="L566" s="16" t="s">
        <v>1689</v>
      </c>
      <c r="M566" s="34" t="s">
        <v>31</v>
      </c>
      <c r="N566" s="34"/>
      <c r="O566" s="34"/>
      <c r="P566" s="34"/>
      <c r="Q566" s="34" t="s">
        <v>33</v>
      </c>
      <c r="R566" s="38" t="s">
        <v>94</v>
      </c>
      <c r="S566" s="38" t="s">
        <v>35</v>
      </c>
      <c r="T566" s="38" t="s">
        <v>36</v>
      </c>
      <c r="U566" s="39" t="s">
        <v>1690</v>
      </c>
    </row>
    <row r="567" spans="2:21">
      <c r="B567" s="46" t="s">
        <v>47</v>
      </c>
      <c r="C567" s="46" t="s">
        <v>28</v>
      </c>
      <c r="D567" s="47">
        <v>45548</v>
      </c>
      <c r="F567" s="207" t="s">
        <v>1691</v>
      </c>
      <c r="G567" s="16" t="s">
        <v>1692</v>
      </c>
      <c r="H567" s="39" t="s">
        <v>1688</v>
      </c>
      <c r="I567" s="34"/>
      <c r="K567" s="39">
        <v>2522305</v>
      </c>
      <c r="L567" s="16" t="s">
        <v>1693</v>
      </c>
      <c r="M567" s="34" t="s">
        <v>31</v>
      </c>
      <c r="N567" s="34"/>
      <c r="O567" s="34"/>
      <c r="P567" s="34"/>
      <c r="Q567" s="34" t="s">
        <v>33</v>
      </c>
      <c r="R567" s="34" t="s">
        <v>94</v>
      </c>
      <c r="S567" s="34" t="s">
        <v>35</v>
      </c>
      <c r="T567" s="34" t="s">
        <v>36</v>
      </c>
      <c r="U567" s="39" t="s">
        <v>1690</v>
      </c>
    </row>
    <row r="568" spans="2:21">
      <c r="B568" s="46" t="s">
        <v>47</v>
      </c>
      <c r="C568" s="46" t="s">
        <v>28</v>
      </c>
      <c r="D568" s="47">
        <v>45548</v>
      </c>
      <c r="F568" s="207">
        <v>2600601</v>
      </c>
      <c r="G568" s="16" t="s">
        <v>1670</v>
      </c>
      <c r="H568" s="39" t="s">
        <v>1688</v>
      </c>
      <c r="I568" s="34"/>
      <c r="K568" s="39">
        <v>2600602</v>
      </c>
      <c r="L568" s="16" t="s">
        <v>1694</v>
      </c>
      <c r="M568" s="34" t="s">
        <v>31</v>
      </c>
      <c r="N568" s="34"/>
      <c r="O568" s="34"/>
      <c r="P568" s="34"/>
      <c r="Q568" s="34" t="s">
        <v>33</v>
      </c>
      <c r="R568" s="34" t="s">
        <v>94</v>
      </c>
      <c r="S568" s="34" t="s">
        <v>35</v>
      </c>
      <c r="T568" s="34" t="s">
        <v>36</v>
      </c>
      <c r="U568" s="39" t="s">
        <v>1690</v>
      </c>
    </row>
    <row r="569" spans="2:21">
      <c r="B569" s="46" t="s">
        <v>47</v>
      </c>
      <c r="C569" s="46" t="s">
        <v>28</v>
      </c>
      <c r="D569" s="47">
        <v>45548</v>
      </c>
      <c r="F569" s="207">
        <v>1522212</v>
      </c>
      <c r="G569" s="16" t="s">
        <v>1695</v>
      </c>
      <c r="H569" s="39" t="s">
        <v>1688</v>
      </c>
      <c r="I569" s="34"/>
      <c r="K569" s="39">
        <v>2522002</v>
      </c>
      <c r="L569" s="16" t="s">
        <v>1696</v>
      </c>
      <c r="M569" s="34" t="s">
        <v>31</v>
      </c>
      <c r="N569" s="34"/>
      <c r="O569" s="34"/>
      <c r="P569" s="34"/>
      <c r="Q569" s="34" t="s">
        <v>33</v>
      </c>
      <c r="R569" s="34" t="s">
        <v>94</v>
      </c>
      <c r="S569" s="34" t="s">
        <v>35</v>
      </c>
      <c r="T569" s="34" t="s">
        <v>36</v>
      </c>
      <c r="U569" s="39" t="s">
        <v>1690</v>
      </c>
    </row>
    <row r="570" spans="2:21">
      <c r="B570" s="46" t="s">
        <v>47</v>
      </c>
      <c r="C570" s="46" t="s">
        <v>28</v>
      </c>
      <c r="D570" s="47">
        <v>45548</v>
      </c>
      <c r="F570" s="34"/>
      <c r="G570" s="46"/>
      <c r="H570" s="34"/>
      <c r="I570" s="34"/>
      <c r="K570" s="39">
        <v>2625602</v>
      </c>
      <c r="L570" s="209" t="s">
        <v>1697</v>
      </c>
      <c r="M570" s="34" t="s">
        <v>31</v>
      </c>
      <c r="N570" s="34"/>
      <c r="O570" s="34"/>
      <c r="P570" s="34"/>
      <c r="Q570" s="34" t="s">
        <v>33</v>
      </c>
      <c r="R570" s="34" t="s">
        <v>94</v>
      </c>
      <c r="S570" s="34" t="s">
        <v>35</v>
      </c>
      <c r="T570" s="34" t="s">
        <v>36</v>
      </c>
      <c r="U570" s="39"/>
    </row>
    <row r="571" spans="2:21">
      <c r="B571" s="46" t="s">
        <v>47</v>
      </c>
      <c r="C571" s="46" t="s">
        <v>28</v>
      </c>
      <c r="D571" s="47">
        <v>45548</v>
      </c>
      <c r="F571" s="34"/>
      <c r="G571" s="46"/>
      <c r="H571" s="34"/>
      <c r="I571" s="34"/>
      <c r="K571" s="39">
        <v>2625601</v>
      </c>
      <c r="L571" s="209" t="s">
        <v>1698</v>
      </c>
      <c r="M571" s="34" t="s">
        <v>31</v>
      </c>
      <c r="N571" s="34"/>
      <c r="O571" s="34"/>
      <c r="P571" s="34"/>
      <c r="Q571" s="34" t="s">
        <v>33</v>
      </c>
      <c r="R571" s="34" t="s">
        <v>94</v>
      </c>
      <c r="S571" s="34" t="s">
        <v>35</v>
      </c>
      <c r="T571" s="34" t="s">
        <v>36</v>
      </c>
      <c r="U571" s="34"/>
    </row>
    <row r="572" spans="2:21">
      <c r="B572" s="46" t="s">
        <v>47</v>
      </c>
      <c r="C572" s="46" t="s">
        <v>28</v>
      </c>
      <c r="D572" s="47">
        <v>45548</v>
      </c>
      <c r="F572" s="34"/>
      <c r="G572" s="46"/>
      <c r="H572" s="34"/>
      <c r="I572" s="34"/>
      <c r="K572" s="39">
        <v>2625603</v>
      </c>
      <c r="L572" s="210" t="s">
        <v>1699</v>
      </c>
      <c r="M572" s="34" t="s">
        <v>31</v>
      </c>
      <c r="N572" s="95"/>
      <c r="O572" s="95"/>
      <c r="P572" s="95"/>
      <c r="Q572" s="34" t="s">
        <v>33</v>
      </c>
      <c r="R572" s="34" t="s">
        <v>94</v>
      </c>
      <c r="S572" s="34" t="s">
        <v>35</v>
      </c>
      <c r="T572" s="34" t="s">
        <v>36</v>
      </c>
      <c r="U572" s="128" t="s">
        <v>1686</v>
      </c>
    </row>
    <row r="573" spans="2:21">
      <c r="B573" s="46" t="s">
        <v>47</v>
      </c>
      <c r="C573" s="46" t="s">
        <v>28</v>
      </c>
      <c r="D573" s="47">
        <v>45548</v>
      </c>
      <c r="F573" s="34"/>
      <c r="G573" s="46"/>
      <c r="H573" s="34"/>
      <c r="I573" s="34"/>
      <c r="K573" s="39">
        <v>2625604</v>
      </c>
      <c r="L573" s="211" t="s">
        <v>1700</v>
      </c>
      <c r="M573" s="34" t="s">
        <v>31</v>
      </c>
      <c r="N573" s="34"/>
      <c r="O573" s="34"/>
      <c r="P573" s="34"/>
      <c r="Q573" s="34" t="s">
        <v>33</v>
      </c>
      <c r="R573" s="34" t="s">
        <v>94</v>
      </c>
      <c r="S573" s="34" t="s">
        <v>35</v>
      </c>
      <c r="T573" s="34" t="s">
        <v>36</v>
      </c>
      <c r="U573" s="39" t="s">
        <v>1686</v>
      </c>
    </row>
    <row r="574" spans="2:21">
      <c r="B574" s="46" t="s">
        <v>47</v>
      </c>
      <c r="C574" s="46" t="s">
        <v>28</v>
      </c>
      <c r="D574" s="47">
        <v>45548</v>
      </c>
      <c r="F574" s="34"/>
      <c r="G574" s="46"/>
      <c r="H574" s="34"/>
      <c r="I574" s="34"/>
      <c r="K574" s="39">
        <v>1595217</v>
      </c>
      <c r="L574" s="211" t="s">
        <v>1701</v>
      </c>
      <c r="M574" s="34" t="s">
        <v>31</v>
      </c>
      <c r="N574" s="34"/>
      <c r="O574" s="34"/>
      <c r="P574" s="34"/>
      <c r="Q574" s="34" t="s">
        <v>33</v>
      </c>
      <c r="R574" s="34" t="s">
        <v>94</v>
      </c>
      <c r="S574" s="34" t="s">
        <v>35</v>
      </c>
      <c r="T574" s="34" t="s">
        <v>36</v>
      </c>
      <c r="U574" s="39"/>
    </row>
    <row r="575" spans="2:21">
      <c r="B575" s="46" t="s">
        <v>47</v>
      </c>
      <c r="C575" s="46" t="s">
        <v>28</v>
      </c>
      <c r="D575" s="47">
        <v>45548</v>
      </c>
      <c r="F575" s="34"/>
      <c r="G575" s="46"/>
      <c r="H575" s="34"/>
      <c r="I575" s="34"/>
      <c r="K575" s="39">
        <v>1595218</v>
      </c>
      <c r="L575" s="211" t="s">
        <v>1702</v>
      </c>
      <c r="M575" s="34" t="s">
        <v>31</v>
      </c>
      <c r="N575" s="34"/>
      <c r="O575" s="34"/>
      <c r="P575" s="34"/>
      <c r="Q575" s="34" t="s">
        <v>33</v>
      </c>
      <c r="R575" s="34" t="s">
        <v>94</v>
      </c>
      <c r="S575" s="34" t="s">
        <v>35</v>
      </c>
      <c r="T575" s="34" t="s">
        <v>36</v>
      </c>
      <c r="U575" s="39" t="s">
        <v>1686</v>
      </c>
    </row>
    <row r="576" spans="2:21">
      <c r="B576" s="46" t="s">
        <v>47</v>
      </c>
      <c r="C576" s="46" t="s">
        <v>28</v>
      </c>
      <c r="D576" s="47">
        <v>45562</v>
      </c>
      <c r="F576" s="34"/>
      <c r="G576" s="46"/>
      <c r="H576" s="34"/>
      <c r="I576" s="34"/>
      <c r="K576" s="39" t="s">
        <v>1703</v>
      </c>
      <c r="L576" s="211" t="s">
        <v>1704</v>
      </c>
      <c r="M576" s="34" t="s">
        <v>31</v>
      </c>
      <c r="N576" s="34"/>
      <c r="O576" s="34"/>
      <c r="P576" s="34"/>
      <c r="Q576" s="34" t="s">
        <v>33</v>
      </c>
      <c r="R576" s="34" t="s">
        <v>94</v>
      </c>
      <c r="S576" s="34" t="s">
        <v>35</v>
      </c>
      <c r="T576" s="34" t="s">
        <v>36</v>
      </c>
      <c r="U576" s="39"/>
    </row>
    <row r="577" spans="2:21">
      <c r="B577" s="46" t="s">
        <v>47</v>
      </c>
      <c r="C577" s="46" t="s">
        <v>28</v>
      </c>
      <c r="D577" s="47">
        <v>45562</v>
      </c>
      <c r="F577" s="34"/>
      <c r="G577" s="46"/>
      <c r="H577" s="34"/>
      <c r="I577" s="34"/>
      <c r="K577" s="39" t="s">
        <v>1705</v>
      </c>
      <c r="L577" s="211" t="s">
        <v>1706</v>
      </c>
      <c r="M577" s="34" t="s">
        <v>31</v>
      </c>
      <c r="N577" s="34"/>
      <c r="O577" s="34"/>
      <c r="P577" s="34"/>
      <c r="Q577" s="34" t="s">
        <v>33</v>
      </c>
      <c r="R577" s="34" t="s">
        <v>94</v>
      </c>
      <c r="S577" s="34" t="s">
        <v>35</v>
      </c>
      <c r="T577" s="34" t="s">
        <v>36</v>
      </c>
      <c r="U577" s="34"/>
    </row>
    <row r="578" spans="2:21">
      <c r="B578" s="46" t="s">
        <v>47</v>
      </c>
      <c r="C578" s="46" t="s">
        <v>28</v>
      </c>
      <c r="D578" s="47">
        <v>45562</v>
      </c>
      <c r="F578" s="34"/>
      <c r="G578" s="46"/>
      <c r="H578" s="34"/>
      <c r="I578" s="34"/>
      <c r="K578" s="39">
        <v>1595220</v>
      </c>
      <c r="L578" s="211" t="s">
        <v>1707</v>
      </c>
      <c r="M578" s="34" t="s">
        <v>31</v>
      </c>
      <c r="N578" s="34"/>
      <c r="O578" s="34"/>
      <c r="P578" s="34"/>
      <c r="Q578" s="34" t="s">
        <v>33</v>
      </c>
      <c r="R578" s="34" t="s">
        <v>94</v>
      </c>
      <c r="S578" s="34" t="s">
        <v>35</v>
      </c>
      <c r="T578" s="34" t="s">
        <v>36</v>
      </c>
      <c r="U578" s="34"/>
    </row>
    <row r="579" spans="2:21">
      <c r="B579" s="46" t="s">
        <v>47</v>
      </c>
      <c r="C579" s="80" t="s">
        <v>28</v>
      </c>
      <c r="D579" s="81">
        <v>45562</v>
      </c>
      <c r="E579" s="107"/>
      <c r="F579" s="38"/>
      <c r="G579" s="80"/>
      <c r="H579" s="38"/>
      <c r="I579" s="38"/>
      <c r="J579" s="107"/>
      <c r="K579" s="82">
        <v>1595219</v>
      </c>
      <c r="L579" s="224" t="s">
        <v>1708</v>
      </c>
      <c r="M579" s="38" t="s">
        <v>31</v>
      </c>
      <c r="N579" s="38"/>
      <c r="O579" s="38"/>
      <c r="P579" s="38"/>
      <c r="Q579" s="38" t="s">
        <v>33</v>
      </c>
      <c r="R579" s="38" t="s">
        <v>94</v>
      </c>
      <c r="S579" s="38" t="s">
        <v>35</v>
      </c>
      <c r="T579" s="38" t="s">
        <v>36</v>
      </c>
      <c r="U579" s="38"/>
    </row>
    <row r="580" spans="2:21">
      <c r="B580" s="46" t="s">
        <v>47</v>
      </c>
      <c r="C580" s="80" t="s">
        <v>28</v>
      </c>
      <c r="D580" s="81">
        <v>45562</v>
      </c>
      <c r="E580" s="107"/>
      <c r="F580" s="38"/>
      <c r="G580" s="80"/>
      <c r="H580" s="38"/>
      <c r="I580" s="38"/>
      <c r="J580" s="107"/>
      <c r="K580" s="82">
        <v>1637411</v>
      </c>
      <c r="L580" s="224" t="s">
        <v>1709</v>
      </c>
      <c r="M580" s="38" t="s">
        <v>31</v>
      </c>
      <c r="N580" s="38"/>
      <c r="O580" s="38"/>
      <c r="P580" s="38"/>
      <c r="Q580" s="38" t="s">
        <v>33</v>
      </c>
      <c r="R580" s="38" t="s">
        <v>94</v>
      </c>
      <c r="S580" s="38" t="s">
        <v>35</v>
      </c>
      <c r="T580" s="38" t="s">
        <v>36</v>
      </c>
      <c r="U580" s="82" t="s">
        <v>1686</v>
      </c>
    </row>
    <row r="581" spans="2:21">
      <c r="B581" s="46" t="s">
        <v>47</v>
      </c>
      <c r="C581" s="80" t="s">
        <v>28</v>
      </c>
      <c r="D581" s="81">
        <v>45562</v>
      </c>
      <c r="E581" s="107"/>
      <c r="F581" s="38"/>
      <c r="G581" s="80"/>
      <c r="H581" s="38"/>
      <c r="I581" s="38"/>
      <c r="J581" s="107"/>
      <c r="K581" s="82">
        <v>1637409</v>
      </c>
      <c r="L581" s="224" t="s">
        <v>1710</v>
      </c>
      <c r="M581" s="38" t="s">
        <v>31</v>
      </c>
      <c r="N581" s="38"/>
      <c r="O581" s="38"/>
      <c r="P581" s="38"/>
      <c r="Q581" s="38" t="s">
        <v>33</v>
      </c>
      <c r="R581" s="38" t="s">
        <v>94</v>
      </c>
      <c r="S581" s="38" t="s">
        <v>35</v>
      </c>
      <c r="T581" s="38" t="s">
        <v>36</v>
      </c>
      <c r="U581" s="82" t="s">
        <v>1686</v>
      </c>
    </row>
    <row r="582" spans="2:21">
      <c r="B582" s="46" t="s">
        <v>47</v>
      </c>
      <c r="C582" s="80" t="s">
        <v>28</v>
      </c>
      <c r="D582" s="81">
        <v>45562</v>
      </c>
      <c r="E582" s="107"/>
      <c r="F582" s="38"/>
      <c r="G582" s="80"/>
      <c r="H582" s="38"/>
      <c r="I582" s="38"/>
      <c r="J582" s="107"/>
      <c r="K582" s="82">
        <v>1595222</v>
      </c>
      <c r="L582" s="224" t="s">
        <v>1711</v>
      </c>
      <c r="M582" s="38" t="s">
        <v>31</v>
      </c>
      <c r="N582" s="38"/>
      <c r="O582" s="38"/>
      <c r="P582" s="38"/>
      <c r="Q582" s="38" t="s">
        <v>33</v>
      </c>
      <c r="R582" s="38" t="s">
        <v>94</v>
      </c>
      <c r="S582" s="38" t="s">
        <v>35</v>
      </c>
      <c r="T582" s="38" t="s">
        <v>36</v>
      </c>
      <c r="U582" s="82" t="s">
        <v>1686</v>
      </c>
    </row>
    <row r="583" spans="2:21">
      <c r="B583" s="46" t="s">
        <v>47</v>
      </c>
      <c r="C583" s="80" t="s">
        <v>28</v>
      </c>
      <c r="D583" s="81">
        <v>45562</v>
      </c>
      <c r="E583" s="107"/>
      <c r="F583" s="38"/>
      <c r="G583" s="80"/>
      <c r="H583" s="38"/>
      <c r="I583" s="38"/>
      <c r="J583" s="107"/>
      <c r="K583" s="82">
        <v>1595221</v>
      </c>
      <c r="L583" s="224" t="s">
        <v>1712</v>
      </c>
      <c r="M583" s="38" t="s">
        <v>31</v>
      </c>
      <c r="N583" s="38"/>
      <c r="O583" s="38"/>
      <c r="P583" s="38"/>
      <c r="Q583" s="38" t="s">
        <v>33</v>
      </c>
      <c r="R583" s="38" t="s">
        <v>94</v>
      </c>
      <c r="S583" s="38" t="s">
        <v>35</v>
      </c>
      <c r="T583" s="38" t="s">
        <v>36</v>
      </c>
      <c r="U583" s="82" t="s">
        <v>1686</v>
      </c>
    </row>
    <row r="584" spans="2:21">
      <c r="B584" s="46" t="s">
        <v>47</v>
      </c>
      <c r="C584" s="80" t="s">
        <v>28</v>
      </c>
      <c r="D584" s="81">
        <v>45562</v>
      </c>
      <c r="E584" s="107"/>
      <c r="F584" s="225" t="s">
        <v>1713</v>
      </c>
      <c r="G584" s="78" t="s">
        <v>1714</v>
      </c>
      <c r="H584" s="82" t="s">
        <v>1688</v>
      </c>
      <c r="I584" s="38"/>
      <c r="J584" s="107"/>
      <c r="K584" s="82">
        <v>1582420</v>
      </c>
      <c r="L584" s="78" t="s">
        <v>1715</v>
      </c>
      <c r="M584" s="38" t="s">
        <v>31</v>
      </c>
      <c r="N584" s="38"/>
      <c r="O584" s="38"/>
      <c r="P584" s="38"/>
      <c r="Q584" s="38" t="s">
        <v>33</v>
      </c>
      <c r="R584" s="38" t="s">
        <v>94</v>
      </c>
      <c r="S584" s="38" t="s">
        <v>35</v>
      </c>
      <c r="T584" s="38" t="s">
        <v>36</v>
      </c>
      <c r="U584" s="82" t="s">
        <v>1686</v>
      </c>
    </row>
    <row r="585" spans="2:21">
      <c r="B585" s="46" t="s">
        <v>47</v>
      </c>
      <c r="C585" s="80" t="s">
        <v>28</v>
      </c>
      <c r="D585" s="81">
        <v>45562</v>
      </c>
      <c r="E585" s="107"/>
      <c r="F585" s="225">
        <v>1839506</v>
      </c>
      <c r="G585" s="78" t="s">
        <v>1716</v>
      </c>
      <c r="H585" s="82" t="s">
        <v>1688</v>
      </c>
      <c r="I585" s="38"/>
      <c r="J585" s="107"/>
      <c r="K585" s="82">
        <v>1839516</v>
      </c>
      <c r="L585" s="78" t="s">
        <v>1717</v>
      </c>
      <c r="M585" s="38" t="s">
        <v>31</v>
      </c>
      <c r="N585" s="38"/>
      <c r="O585" s="38"/>
      <c r="P585" s="38"/>
      <c r="Q585" s="38" t="s">
        <v>33</v>
      </c>
      <c r="R585" s="38" t="s">
        <v>94</v>
      </c>
      <c r="S585" s="38" t="s">
        <v>35</v>
      </c>
      <c r="T585" s="38" t="s">
        <v>36</v>
      </c>
      <c r="U585" s="82" t="s">
        <v>1686</v>
      </c>
    </row>
    <row r="586" spans="2:21">
      <c r="B586" s="46" t="s">
        <v>47</v>
      </c>
      <c r="C586" s="80" t="s">
        <v>28</v>
      </c>
      <c r="D586" s="81">
        <v>45562</v>
      </c>
      <c r="E586" s="107"/>
      <c r="F586" s="225">
        <v>2606501</v>
      </c>
      <c r="G586" s="78" t="s">
        <v>1718</v>
      </c>
      <c r="H586" s="82" t="s">
        <v>1688</v>
      </c>
      <c r="I586" s="38"/>
      <c r="J586" s="107"/>
      <c r="K586" s="82">
        <v>2114015</v>
      </c>
      <c r="L586" s="78" t="s">
        <v>1719</v>
      </c>
      <c r="M586" s="38" t="s">
        <v>31</v>
      </c>
      <c r="N586" s="38"/>
      <c r="O586" s="38"/>
      <c r="P586" s="38"/>
      <c r="Q586" s="38" t="s">
        <v>33</v>
      </c>
      <c r="R586" s="38" t="s">
        <v>94</v>
      </c>
      <c r="S586" s="38" t="s">
        <v>35</v>
      </c>
      <c r="T586" s="38" t="s">
        <v>36</v>
      </c>
      <c r="U586" s="82" t="s">
        <v>1686</v>
      </c>
    </row>
    <row r="587" spans="2:21">
      <c r="B587" s="46" t="s">
        <v>47</v>
      </c>
      <c r="C587" s="80" t="s">
        <v>28</v>
      </c>
      <c r="D587" s="81">
        <v>45562</v>
      </c>
      <c r="E587" s="107"/>
      <c r="F587" s="225">
        <v>2606502</v>
      </c>
      <c r="G587" s="78" t="s">
        <v>1720</v>
      </c>
      <c r="H587" s="82" t="s">
        <v>1688</v>
      </c>
      <c r="I587" s="38"/>
      <c r="J587" s="107"/>
      <c r="K587" s="82">
        <v>2114016</v>
      </c>
      <c r="L587" s="78" t="s">
        <v>1721</v>
      </c>
      <c r="M587" s="38" t="s">
        <v>31</v>
      </c>
      <c r="N587" s="38"/>
      <c r="O587" s="38"/>
      <c r="P587" s="38"/>
      <c r="Q587" s="38" t="s">
        <v>33</v>
      </c>
      <c r="R587" s="38" t="s">
        <v>94</v>
      </c>
      <c r="S587" s="38" t="s">
        <v>35</v>
      </c>
      <c r="T587" s="38" t="s">
        <v>36</v>
      </c>
      <c r="U587" s="82" t="s">
        <v>1686</v>
      </c>
    </row>
    <row r="588" spans="2:21">
      <c r="B588" s="46" t="s">
        <v>47</v>
      </c>
      <c r="C588" s="80" t="s">
        <v>28</v>
      </c>
      <c r="D588" s="81">
        <v>45562</v>
      </c>
      <c r="E588" s="107"/>
      <c r="F588" s="225">
        <v>1318204</v>
      </c>
      <c r="G588" s="78" t="s">
        <v>1722</v>
      </c>
      <c r="H588" s="82" t="s">
        <v>1688</v>
      </c>
      <c r="I588" s="38"/>
      <c r="J588" s="107"/>
      <c r="K588" s="82">
        <v>1467702</v>
      </c>
      <c r="L588" s="78" t="s">
        <v>1723</v>
      </c>
      <c r="M588" s="38" t="s">
        <v>31</v>
      </c>
      <c r="N588" s="38"/>
      <c r="O588" s="38"/>
      <c r="P588" s="38"/>
      <c r="Q588" s="38" t="s">
        <v>33</v>
      </c>
      <c r="R588" s="38" t="s">
        <v>94</v>
      </c>
      <c r="S588" s="38" t="s">
        <v>35</v>
      </c>
      <c r="T588" s="38" t="s">
        <v>36</v>
      </c>
      <c r="U588" s="82" t="s">
        <v>1686</v>
      </c>
    </row>
    <row r="589" spans="2:21">
      <c r="B589" s="46" t="s">
        <v>47</v>
      </c>
      <c r="C589" s="80" t="s">
        <v>28</v>
      </c>
      <c r="D589" s="81">
        <v>45562</v>
      </c>
      <c r="E589" s="107"/>
      <c r="F589" s="225">
        <v>1318205</v>
      </c>
      <c r="G589" s="78" t="s">
        <v>1724</v>
      </c>
      <c r="H589" s="82" t="s">
        <v>1688</v>
      </c>
      <c r="I589" s="38"/>
      <c r="J589" s="107"/>
      <c r="K589" s="82">
        <v>1467703</v>
      </c>
      <c r="L589" s="78" t="s">
        <v>1725</v>
      </c>
      <c r="M589" s="38" t="s">
        <v>31</v>
      </c>
      <c r="N589" s="38"/>
      <c r="O589" s="38"/>
      <c r="P589" s="38"/>
      <c r="Q589" s="38" t="s">
        <v>33</v>
      </c>
      <c r="R589" s="38" t="s">
        <v>94</v>
      </c>
      <c r="S589" s="38" t="s">
        <v>35</v>
      </c>
      <c r="T589" s="38" t="s">
        <v>36</v>
      </c>
      <c r="U589" s="82" t="s">
        <v>1686</v>
      </c>
    </row>
    <row r="590" spans="2:21">
      <c r="B590" s="46" t="s">
        <v>47</v>
      </c>
      <c r="C590" s="46" t="s">
        <v>28</v>
      </c>
      <c r="D590" s="47">
        <v>45583</v>
      </c>
      <c r="F590" s="34"/>
      <c r="G590" s="46"/>
      <c r="H590" s="34"/>
      <c r="I590" s="34"/>
      <c r="K590" s="39">
        <v>1467704</v>
      </c>
      <c r="L590" s="16" t="s">
        <v>1726</v>
      </c>
      <c r="M590" s="34" t="s">
        <v>31</v>
      </c>
      <c r="N590" s="34"/>
      <c r="O590" s="34"/>
      <c r="P590" s="34"/>
      <c r="Q590" s="34" t="s">
        <v>33</v>
      </c>
      <c r="R590" s="34" t="s">
        <v>94</v>
      </c>
      <c r="S590" s="34" t="s">
        <v>35</v>
      </c>
      <c r="T590" s="34" t="s">
        <v>36</v>
      </c>
      <c r="U590" s="39"/>
    </row>
    <row r="591" spans="2:21">
      <c r="B591" s="46" t="s">
        <v>47</v>
      </c>
      <c r="C591" s="46" t="s">
        <v>28</v>
      </c>
      <c r="D591" s="47">
        <v>45583</v>
      </c>
      <c r="F591" s="34"/>
      <c r="G591" s="46"/>
      <c r="H591" s="34"/>
      <c r="I591" s="34"/>
      <c r="K591" s="39">
        <v>1467705</v>
      </c>
      <c r="L591" s="16" t="s">
        <v>1727</v>
      </c>
      <c r="M591" s="34" t="s">
        <v>31</v>
      </c>
      <c r="N591" s="34"/>
      <c r="O591" s="34"/>
      <c r="P591" s="34"/>
      <c r="Q591" s="34" t="s">
        <v>33</v>
      </c>
      <c r="R591" s="34" t="s">
        <v>94</v>
      </c>
      <c r="S591" s="34" t="s">
        <v>35</v>
      </c>
      <c r="T591" s="34" t="s">
        <v>36</v>
      </c>
      <c r="U591" s="39" t="s">
        <v>1686</v>
      </c>
    </row>
    <row r="592" spans="2:21">
      <c r="B592" s="46" t="s">
        <v>47</v>
      </c>
      <c r="C592" s="46" t="s">
        <v>28</v>
      </c>
      <c r="D592" s="47">
        <v>45583</v>
      </c>
      <c r="F592" s="34"/>
      <c r="G592" s="46"/>
      <c r="H592" s="34"/>
      <c r="I592" s="34"/>
      <c r="K592" s="39">
        <v>1839518</v>
      </c>
      <c r="L592" s="16" t="s">
        <v>1728</v>
      </c>
      <c r="M592" s="34" t="s">
        <v>31</v>
      </c>
      <c r="N592" s="34"/>
      <c r="O592" s="34"/>
      <c r="P592" s="34"/>
      <c r="Q592" s="34" t="s">
        <v>33</v>
      </c>
      <c r="R592" s="34" t="s">
        <v>94</v>
      </c>
      <c r="S592" s="34" t="s">
        <v>35</v>
      </c>
      <c r="T592" s="34" t="s">
        <v>36</v>
      </c>
      <c r="U592" s="39" t="s">
        <v>1686</v>
      </c>
    </row>
    <row r="593" spans="2:21">
      <c r="B593" s="46" t="s">
        <v>47</v>
      </c>
      <c r="C593" s="46" t="s">
        <v>28</v>
      </c>
      <c r="D593" s="47">
        <v>45583</v>
      </c>
      <c r="F593" s="34"/>
      <c r="G593" s="46"/>
      <c r="H593" s="34"/>
      <c r="I593" s="34"/>
      <c r="K593" s="39">
        <v>1839517</v>
      </c>
      <c r="L593" s="16" t="s">
        <v>1729</v>
      </c>
      <c r="M593" s="34" t="s">
        <v>31</v>
      </c>
      <c r="N593" s="34"/>
      <c r="O593" s="34"/>
      <c r="P593" s="34"/>
      <c r="Q593" s="34" t="s">
        <v>33</v>
      </c>
      <c r="R593" s="34" t="s">
        <v>94</v>
      </c>
      <c r="S593" s="34" t="s">
        <v>35</v>
      </c>
      <c r="T593" s="34" t="s">
        <v>36</v>
      </c>
      <c r="U593" s="39" t="s">
        <v>1686</v>
      </c>
    </row>
    <row r="594" spans="2:21">
      <c r="B594" s="46" t="s">
        <v>47</v>
      </c>
      <c r="C594" s="46" t="s">
        <v>28</v>
      </c>
      <c r="D594" s="47">
        <v>45583</v>
      </c>
      <c r="F594" s="34"/>
      <c r="G594" s="46"/>
      <c r="H594" s="34"/>
      <c r="I594" s="34"/>
      <c r="K594" s="39">
        <v>2641902</v>
      </c>
      <c r="L594" s="16" t="s">
        <v>1730</v>
      </c>
      <c r="M594" s="34" t="s">
        <v>31</v>
      </c>
      <c r="N594" s="34"/>
      <c r="O594" s="34"/>
      <c r="P594" s="34"/>
      <c r="Q594" s="34" t="s">
        <v>33</v>
      </c>
      <c r="R594" s="34" t="s">
        <v>94</v>
      </c>
      <c r="S594" s="34" t="s">
        <v>35</v>
      </c>
      <c r="T594" s="34" t="s">
        <v>36</v>
      </c>
      <c r="U594" s="39"/>
    </row>
    <row r="595" spans="2:21">
      <c r="B595" s="46" t="s">
        <v>47</v>
      </c>
      <c r="C595" s="46" t="s">
        <v>28</v>
      </c>
      <c r="D595" s="47">
        <v>45583</v>
      </c>
      <c r="F595" s="34"/>
      <c r="G595" s="46"/>
      <c r="H595" s="34"/>
      <c r="I595" s="34"/>
      <c r="K595" s="39">
        <v>2571805</v>
      </c>
      <c r="L595" s="16" t="s">
        <v>1731</v>
      </c>
      <c r="M595" s="34" t="s">
        <v>31</v>
      </c>
      <c r="N595" s="34"/>
      <c r="O595" s="34"/>
      <c r="P595" s="34"/>
      <c r="Q595" s="34" t="s">
        <v>33</v>
      </c>
      <c r="R595" s="34" t="s">
        <v>94</v>
      </c>
      <c r="S595" s="34" t="s">
        <v>35</v>
      </c>
      <c r="T595" s="34" t="s">
        <v>36</v>
      </c>
      <c r="U595" s="39"/>
    </row>
    <row r="596" spans="2:21">
      <c r="B596" s="46" t="s">
        <v>47</v>
      </c>
      <c r="C596" s="46" t="s">
        <v>28</v>
      </c>
      <c r="D596" s="47">
        <v>45583</v>
      </c>
      <c r="F596" s="34"/>
      <c r="G596" s="46"/>
      <c r="H596" s="34"/>
      <c r="I596" s="34"/>
      <c r="K596" s="39">
        <v>2641901</v>
      </c>
      <c r="L596" s="16" t="s">
        <v>1732</v>
      </c>
      <c r="M596" s="34" t="s">
        <v>31</v>
      </c>
      <c r="N596" s="34"/>
      <c r="O596" s="34"/>
      <c r="P596" s="34"/>
      <c r="Q596" s="34" t="s">
        <v>33</v>
      </c>
      <c r="R596" s="34" t="s">
        <v>94</v>
      </c>
      <c r="S596" s="34" t="s">
        <v>35</v>
      </c>
      <c r="T596" s="34" t="s">
        <v>36</v>
      </c>
      <c r="U596" s="39" t="s">
        <v>1686</v>
      </c>
    </row>
    <row r="597" spans="2:21">
      <c r="B597" s="46" t="s">
        <v>47</v>
      </c>
      <c r="C597" s="46" t="s">
        <v>28</v>
      </c>
      <c r="D597" s="47">
        <v>45583</v>
      </c>
      <c r="F597" s="34"/>
      <c r="G597" s="46"/>
      <c r="H597" s="34"/>
      <c r="I597" s="34"/>
      <c r="K597" s="39">
        <v>2571804</v>
      </c>
      <c r="L597" s="16" t="s">
        <v>1733</v>
      </c>
      <c r="M597" s="34" t="s">
        <v>31</v>
      </c>
      <c r="N597" s="34"/>
      <c r="O597" s="34"/>
      <c r="P597" s="34"/>
      <c r="Q597" s="34" t="s">
        <v>33</v>
      </c>
      <c r="R597" s="34" t="s">
        <v>94</v>
      </c>
      <c r="S597" s="34" t="s">
        <v>35</v>
      </c>
      <c r="T597" s="34" t="s">
        <v>36</v>
      </c>
      <c r="U597" s="39" t="s">
        <v>1686</v>
      </c>
    </row>
    <row r="598" spans="2:21">
      <c r="B598" s="46" t="s">
        <v>47</v>
      </c>
      <c r="C598" s="46" t="s">
        <v>28</v>
      </c>
      <c r="D598" s="47">
        <v>45583</v>
      </c>
      <c r="F598" s="34"/>
      <c r="G598" s="46"/>
      <c r="H598" s="34"/>
      <c r="I598" s="34"/>
      <c r="K598" s="39">
        <v>2641202</v>
      </c>
      <c r="L598" s="16" t="s">
        <v>1734</v>
      </c>
      <c r="M598" s="34" t="s">
        <v>31</v>
      </c>
      <c r="N598" s="34"/>
      <c r="O598" s="34"/>
      <c r="P598" s="34"/>
      <c r="Q598" s="34" t="s">
        <v>33</v>
      </c>
      <c r="R598" s="34" t="s">
        <v>94</v>
      </c>
      <c r="S598" s="34" t="s">
        <v>35</v>
      </c>
      <c r="T598" s="34" t="s">
        <v>36</v>
      </c>
      <c r="U598" s="39" t="s">
        <v>1686</v>
      </c>
    </row>
    <row r="599" spans="2:21">
      <c r="B599" s="46" t="s">
        <v>47</v>
      </c>
      <c r="C599" s="46" t="s">
        <v>28</v>
      </c>
      <c r="D599" s="47">
        <v>45583</v>
      </c>
      <c r="F599" s="34"/>
      <c r="G599" s="46"/>
      <c r="H599" s="34"/>
      <c r="I599" s="34"/>
      <c r="K599" s="39">
        <v>2641201</v>
      </c>
      <c r="L599" s="16" t="s">
        <v>1735</v>
      </c>
      <c r="M599" s="34" t="s">
        <v>31</v>
      </c>
      <c r="N599" s="34"/>
      <c r="O599" s="34"/>
      <c r="P599" s="34"/>
      <c r="Q599" s="34" t="s">
        <v>33</v>
      </c>
      <c r="R599" s="34" t="s">
        <v>94</v>
      </c>
      <c r="S599" s="34" t="s">
        <v>35</v>
      </c>
      <c r="T599" s="34" t="s">
        <v>36</v>
      </c>
      <c r="U599" s="39" t="s">
        <v>1686</v>
      </c>
    </row>
    <row r="600" spans="2:21">
      <c r="B600" s="46" t="s">
        <v>47</v>
      </c>
      <c r="C600" s="46" t="s">
        <v>28</v>
      </c>
      <c r="D600" s="47">
        <v>45583</v>
      </c>
      <c r="F600" s="34"/>
      <c r="G600" s="46"/>
      <c r="H600" s="34"/>
      <c r="I600" s="34"/>
      <c r="K600" s="39">
        <v>2641204</v>
      </c>
      <c r="L600" s="16" t="s">
        <v>1736</v>
      </c>
      <c r="M600" s="34" t="s">
        <v>31</v>
      </c>
      <c r="N600" s="34"/>
      <c r="O600" s="34"/>
      <c r="P600" s="34"/>
      <c r="Q600" s="34" t="s">
        <v>33</v>
      </c>
      <c r="R600" s="34" t="s">
        <v>94</v>
      </c>
      <c r="S600" s="34" t="s">
        <v>35</v>
      </c>
      <c r="T600" s="34" t="s">
        <v>36</v>
      </c>
      <c r="U600" s="39" t="s">
        <v>1686</v>
      </c>
    </row>
    <row r="601" spans="2:21">
      <c r="B601" s="46" t="s">
        <v>47</v>
      </c>
      <c r="C601" s="46" t="s">
        <v>28</v>
      </c>
      <c r="D601" s="47">
        <v>45583</v>
      </c>
      <c r="F601" s="34"/>
      <c r="G601" s="46"/>
      <c r="H601" s="34"/>
      <c r="I601" s="34"/>
      <c r="K601" s="39">
        <v>2641203</v>
      </c>
      <c r="L601" s="16" t="s">
        <v>1737</v>
      </c>
      <c r="M601" s="34" t="s">
        <v>31</v>
      </c>
      <c r="N601" s="34"/>
      <c r="O601" s="34"/>
      <c r="P601" s="34"/>
      <c r="Q601" s="34" t="s">
        <v>33</v>
      </c>
      <c r="R601" s="34" t="s">
        <v>94</v>
      </c>
      <c r="S601" s="34" t="s">
        <v>35</v>
      </c>
      <c r="T601" s="34" t="s">
        <v>36</v>
      </c>
      <c r="U601" s="39" t="s">
        <v>1686</v>
      </c>
    </row>
    <row r="602" spans="2:21">
      <c r="B602" s="46" t="s">
        <v>47</v>
      </c>
      <c r="C602" s="46" t="s">
        <v>28</v>
      </c>
      <c r="D602" s="47">
        <v>45590</v>
      </c>
      <c r="F602" s="34"/>
      <c r="G602" s="46"/>
      <c r="H602" s="34"/>
      <c r="I602" s="34"/>
      <c r="K602" s="39" t="s">
        <v>1738</v>
      </c>
      <c r="L602" s="16" t="s">
        <v>1739</v>
      </c>
      <c r="M602" s="34" t="s">
        <v>31</v>
      </c>
      <c r="N602" s="34"/>
      <c r="O602" s="34"/>
      <c r="P602" s="34"/>
      <c r="Q602" s="34" t="s">
        <v>33</v>
      </c>
      <c r="R602" s="34" t="s">
        <v>94</v>
      </c>
      <c r="S602" s="34" t="s">
        <v>35</v>
      </c>
      <c r="T602" s="34" t="s">
        <v>36</v>
      </c>
      <c r="U602" s="34"/>
    </row>
    <row r="603" spans="2:21">
      <c r="B603" s="46" t="s">
        <v>47</v>
      </c>
      <c r="C603" s="46" t="s">
        <v>28</v>
      </c>
      <c r="D603" s="47">
        <v>45590</v>
      </c>
      <c r="F603" s="34"/>
      <c r="G603" s="46"/>
      <c r="H603" s="34"/>
      <c r="I603" s="34"/>
      <c r="K603" s="39" t="s">
        <v>1740</v>
      </c>
      <c r="L603" s="16" t="s">
        <v>1741</v>
      </c>
      <c r="M603" s="34" t="s">
        <v>31</v>
      </c>
      <c r="N603" s="34"/>
      <c r="O603" s="34"/>
      <c r="P603" s="34"/>
      <c r="Q603" s="34" t="s">
        <v>33</v>
      </c>
      <c r="R603" s="34" t="s">
        <v>94</v>
      </c>
      <c r="S603" s="34" t="s">
        <v>35</v>
      </c>
      <c r="T603" s="34" t="s">
        <v>36</v>
      </c>
      <c r="U603" s="34"/>
    </row>
    <row r="604" spans="2:21">
      <c r="B604" s="46" t="s">
        <v>47</v>
      </c>
      <c r="C604" s="46" t="s">
        <v>28</v>
      </c>
      <c r="D604" s="47">
        <v>45596</v>
      </c>
      <c r="F604" s="34"/>
      <c r="G604" s="46"/>
      <c r="H604" s="34"/>
      <c r="I604" s="34"/>
      <c r="K604" s="39">
        <v>2522311</v>
      </c>
      <c r="L604" s="16" t="s">
        <v>1742</v>
      </c>
      <c r="M604" s="34" t="s">
        <v>31</v>
      </c>
      <c r="N604" s="34"/>
      <c r="O604" s="34"/>
      <c r="P604" s="34"/>
      <c r="Q604" s="34" t="s">
        <v>33</v>
      </c>
      <c r="R604" s="34" t="s">
        <v>94</v>
      </c>
      <c r="S604" s="34" t="s">
        <v>35</v>
      </c>
      <c r="T604" s="34" t="s">
        <v>36</v>
      </c>
      <c r="U604" s="39" t="s">
        <v>1686</v>
      </c>
    </row>
    <row r="605" spans="2:21">
      <c r="B605" s="46" t="s">
        <v>47</v>
      </c>
      <c r="C605" s="46" t="s">
        <v>28</v>
      </c>
      <c r="D605" s="47">
        <v>45596</v>
      </c>
      <c r="F605" s="34"/>
      <c r="G605" s="46"/>
      <c r="H605" s="34"/>
      <c r="I605" s="34"/>
      <c r="K605" s="39">
        <v>2522307</v>
      </c>
      <c r="L605" s="16" t="s">
        <v>1743</v>
      </c>
      <c r="M605" s="34" t="s">
        <v>31</v>
      </c>
      <c r="N605" s="34"/>
      <c r="O605" s="34"/>
      <c r="P605" s="34"/>
      <c r="Q605" s="34" t="s">
        <v>33</v>
      </c>
      <c r="R605" s="34" t="s">
        <v>94</v>
      </c>
      <c r="S605" s="34" t="s">
        <v>35</v>
      </c>
      <c r="T605" s="34" t="s">
        <v>36</v>
      </c>
      <c r="U605" s="39" t="s">
        <v>1686</v>
      </c>
    </row>
    <row r="606" spans="2:21">
      <c r="B606" s="46" t="s">
        <v>47</v>
      </c>
      <c r="C606" s="46" t="s">
        <v>28</v>
      </c>
      <c r="D606" s="47">
        <v>45596</v>
      </c>
      <c r="F606" s="34"/>
      <c r="G606" s="46"/>
      <c r="H606" s="34"/>
      <c r="I606" s="34"/>
      <c r="K606" s="39">
        <v>2522306</v>
      </c>
      <c r="L606" s="16" t="s">
        <v>1744</v>
      </c>
      <c r="M606" s="34" t="s">
        <v>31</v>
      </c>
      <c r="N606" s="34"/>
      <c r="O606" s="34"/>
      <c r="P606" s="34"/>
      <c r="Q606" s="34" t="s">
        <v>33</v>
      </c>
      <c r="R606" s="34" t="s">
        <v>94</v>
      </c>
      <c r="S606" s="34" t="s">
        <v>35</v>
      </c>
      <c r="T606" s="34" t="s">
        <v>36</v>
      </c>
      <c r="U606" s="39" t="s">
        <v>1686</v>
      </c>
    </row>
    <row r="607" spans="2:21">
      <c r="B607" s="46" t="s">
        <v>47</v>
      </c>
      <c r="C607" s="46" t="s">
        <v>28</v>
      </c>
      <c r="D607" s="47">
        <v>45596</v>
      </c>
      <c r="F607" s="34"/>
      <c r="G607" s="46"/>
      <c r="H607" s="34"/>
      <c r="I607" s="34"/>
      <c r="K607" s="39" t="s">
        <v>1745</v>
      </c>
      <c r="L607" s="16" t="s">
        <v>1746</v>
      </c>
      <c r="M607" s="34" t="s">
        <v>31</v>
      </c>
      <c r="N607" s="34"/>
      <c r="O607" s="34"/>
      <c r="P607" s="34"/>
      <c r="Q607" s="34" t="s">
        <v>33</v>
      </c>
      <c r="R607" s="34" t="s">
        <v>94</v>
      </c>
      <c r="S607" s="34" t="s">
        <v>35</v>
      </c>
      <c r="T607" s="34" t="s">
        <v>36</v>
      </c>
      <c r="U607" s="106" t="s">
        <v>1747</v>
      </c>
    </row>
    <row r="608" spans="2:21">
      <c r="B608" s="46" t="s">
        <v>47</v>
      </c>
      <c r="C608" s="46" t="s">
        <v>28</v>
      </c>
      <c r="D608" s="47">
        <v>45611</v>
      </c>
      <c r="F608" s="34"/>
      <c r="G608" s="46"/>
      <c r="H608" s="34"/>
      <c r="I608" s="34"/>
      <c r="K608" s="39" t="s">
        <v>1748</v>
      </c>
      <c r="L608" s="16" t="s">
        <v>1749</v>
      </c>
      <c r="M608" s="34" t="s">
        <v>31</v>
      </c>
      <c r="N608" s="34"/>
      <c r="O608" s="34"/>
      <c r="P608" s="34"/>
      <c r="Q608" s="34" t="s">
        <v>33</v>
      </c>
      <c r="R608" s="34" t="s">
        <v>94</v>
      </c>
      <c r="S608" s="34" t="s">
        <v>35</v>
      </c>
      <c r="T608" s="34" t="s">
        <v>36</v>
      </c>
      <c r="U608" s="34"/>
    </row>
    <row r="609" spans="2:21">
      <c r="B609" s="46" t="s">
        <v>47</v>
      </c>
      <c r="C609" s="46" t="s">
        <v>28</v>
      </c>
      <c r="D609" s="47">
        <v>45611</v>
      </c>
      <c r="F609" s="34"/>
      <c r="G609" s="46"/>
      <c r="H609" s="34"/>
      <c r="I609" s="34"/>
      <c r="K609" s="39" t="s">
        <v>1750</v>
      </c>
      <c r="L609" s="16" t="s">
        <v>1751</v>
      </c>
      <c r="M609" s="34" t="s">
        <v>31</v>
      </c>
      <c r="N609" s="34"/>
      <c r="O609" s="34"/>
      <c r="P609" s="34"/>
      <c r="Q609" s="34" t="s">
        <v>33</v>
      </c>
      <c r="R609" s="34" t="s">
        <v>94</v>
      </c>
      <c r="S609" s="34" t="s">
        <v>35</v>
      </c>
      <c r="T609" s="34" t="s">
        <v>36</v>
      </c>
      <c r="U609" s="34"/>
    </row>
    <row r="610" spans="2:21">
      <c r="B610" s="46" t="s">
        <v>47</v>
      </c>
      <c r="C610" s="46" t="s">
        <v>28</v>
      </c>
      <c r="D610" s="47">
        <v>45611</v>
      </c>
      <c r="F610" s="34"/>
      <c r="G610" s="46"/>
      <c r="H610" s="34"/>
      <c r="I610" s="34"/>
      <c r="K610" s="39">
        <v>2150507</v>
      </c>
      <c r="L610" s="16" t="s">
        <v>1752</v>
      </c>
      <c r="M610" s="34" t="s">
        <v>31</v>
      </c>
      <c r="N610" s="34"/>
      <c r="O610" s="34"/>
      <c r="P610" s="34"/>
      <c r="Q610" s="34" t="s">
        <v>33</v>
      </c>
      <c r="R610" s="34" t="s">
        <v>94</v>
      </c>
      <c r="S610" s="34" t="s">
        <v>35</v>
      </c>
      <c r="T610" s="34" t="s">
        <v>36</v>
      </c>
      <c r="U610" s="39" t="s">
        <v>1686</v>
      </c>
    </row>
    <row r="611" spans="2:21">
      <c r="B611" s="46" t="s">
        <v>47</v>
      </c>
      <c r="C611" s="46" t="s">
        <v>28</v>
      </c>
      <c r="D611" s="47">
        <v>45611</v>
      </c>
      <c r="F611" s="34"/>
      <c r="G611" s="46"/>
      <c r="H611" s="34"/>
      <c r="I611" s="34"/>
      <c r="K611" s="39">
        <v>2150508</v>
      </c>
      <c r="L611" s="16" t="s">
        <v>1753</v>
      </c>
      <c r="M611" s="34" t="s">
        <v>31</v>
      </c>
      <c r="N611" s="34"/>
      <c r="O611" s="34"/>
      <c r="P611" s="34"/>
      <c r="Q611" s="34" t="s">
        <v>33</v>
      </c>
      <c r="R611" s="34" t="s">
        <v>94</v>
      </c>
      <c r="S611" s="34" t="s">
        <v>35</v>
      </c>
      <c r="T611" s="34" t="s">
        <v>36</v>
      </c>
      <c r="U611" s="39" t="s">
        <v>1686</v>
      </c>
    </row>
    <row r="612" spans="2:21">
      <c r="B612" s="46" t="s">
        <v>47</v>
      </c>
      <c r="C612" s="46" t="s">
        <v>28</v>
      </c>
      <c r="D612" s="47">
        <v>45611</v>
      </c>
      <c r="F612" s="34"/>
      <c r="G612" s="46"/>
      <c r="H612" s="34"/>
      <c r="I612" s="34"/>
      <c r="K612" s="39">
        <v>2522309</v>
      </c>
      <c r="L612" s="16" t="s">
        <v>1754</v>
      </c>
      <c r="M612" s="34" t="s">
        <v>31</v>
      </c>
      <c r="N612" s="34"/>
      <c r="O612" s="34"/>
      <c r="P612" s="34"/>
      <c r="Q612" s="34" t="s">
        <v>33</v>
      </c>
      <c r="R612" s="34" t="s">
        <v>94</v>
      </c>
      <c r="S612" s="34" t="s">
        <v>35</v>
      </c>
      <c r="T612" s="34" t="s">
        <v>36</v>
      </c>
      <c r="U612" s="39" t="s">
        <v>1686</v>
      </c>
    </row>
    <row r="613" spans="2:21">
      <c r="B613" s="46" t="s">
        <v>47</v>
      </c>
      <c r="C613" s="46" t="s">
        <v>28</v>
      </c>
      <c r="D613" s="47">
        <v>45611</v>
      </c>
      <c r="F613" s="34"/>
      <c r="G613" s="46"/>
      <c r="H613" s="34"/>
      <c r="I613" s="34"/>
      <c r="K613" s="39">
        <v>2522310</v>
      </c>
      <c r="L613" s="16" t="s">
        <v>1755</v>
      </c>
      <c r="M613" s="34" t="s">
        <v>31</v>
      </c>
      <c r="N613" s="34"/>
      <c r="O613" s="34"/>
      <c r="P613" s="34"/>
      <c r="Q613" s="34" t="s">
        <v>33</v>
      </c>
      <c r="R613" s="34" t="s">
        <v>94</v>
      </c>
      <c r="S613" s="34" t="s">
        <v>35</v>
      </c>
      <c r="T613" s="34" t="s">
        <v>36</v>
      </c>
      <c r="U613" s="39" t="s">
        <v>1686</v>
      </c>
    </row>
    <row r="614" spans="2:21">
      <c r="B614" s="46" t="s">
        <v>47</v>
      </c>
      <c r="C614" s="46" t="s">
        <v>28</v>
      </c>
      <c r="D614" s="47">
        <v>45611</v>
      </c>
      <c r="F614" s="34"/>
      <c r="G614" s="46"/>
      <c r="H614" s="34"/>
      <c r="I614" s="34"/>
      <c r="K614" s="39">
        <v>2522308</v>
      </c>
      <c r="L614" s="16" t="s">
        <v>1756</v>
      </c>
      <c r="M614" s="34" t="s">
        <v>31</v>
      </c>
      <c r="N614" s="34"/>
      <c r="O614" s="34"/>
      <c r="P614" s="34"/>
      <c r="Q614" s="34" t="s">
        <v>33</v>
      </c>
      <c r="R614" s="34" t="s">
        <v>94</v>
      </c>
      <c r="S614" s="34" t="s">
        <v>35</v>
      </c>
      <c r="T614" s="34" t="s">
        <v>36</v>
      </c>
      <c r="U614" s="39" t="s">
        <v>1686</v>
      </c>
    </row>
    <row r="615" spans="2:21">
      <c r="B615" s="46" t="s">
        <v>47</v>
      </c>
      <c r="C615" s="46" t="s">
        <v>28</v>
      </c>
      <c r="D615" s="47">
        <v>45611</v>
      </c>
      <c r="F615" s="34"/>
      <c r="G615" s="46"/>
      <c r="H615" s="34"/>
      <c r="I615" s="34"/>
      <c r="K615" s="39">
        <v>2411808</v>
      </c>
      <c r="L615" s="16" t="s">
        <v>1757</v>
      </c>
      <c r="M615" s="34" t="s">
        <v>31</v>
      </c>
      <c r="N615" s="34"/>
      <c r="O615" s="34"/>
      <c r="P615" s="34"/>
      <c r="Q615" s="34" t="s">
        <v>33</v>
      </c>
      <c r="R615" s="34" t="s">
        <v>94</v>
      </c>
      <c r="S615" s="34" t="s">
        <v>35</v>
      </c>
      <c r="T615" s="34" t="s">
        <v>36</v>
      </c>
      <c r="U615" s="39" t="s">
        <v>1686</v>
      </c>
    </row>
    <row r="616" spans="2:21">
      <c r="B616" s="46" t="s">
        <v>47</v>
      </c>
      <c r="C616" s="46" t="s">
        <v>28</v>
      </c>
      <c r="D616" s="47">
        <v>45611</v>
      </c>
      <c r="F616" s="34"/>
      <c r="G616" s="46"/>
      <c r="H616" s="34"/>
      <c r="I616" s="34"/>
      <c r="K616" s="39">
        <v>2641802</v>
      </c>
      <c r="L616" s="16" t="s">
        <v>1758</v>
      </c>
      <c r="M616" s="34" t="s">
        <v>31</v>
      </c>
      <c r="N616" s="34"/>
      <c r="O616" s="34"/>
      <c r="P616" s="34"/>
      <c r="Q616" s="34" t="s">
        <v>33</v>
      </c>
      <c r="R616" s="34" t="s">
        <v>94</v>
      </c>
      <c r="S616" s="34" t="s">
        <v>35</v>
      </c>
      <c r="T616" s="34" t="s">
        <v>36</v>
      </c>
      <c r="U616" s="39" t="s">
        <v>1686</v>
      </c>
    </row>
    <row r="617" spans="2:21">
      <c r="B617" s="46" t="s">
        <v>47</v>
      </c>
      <c r="C617" s="46" t="s">
        <v>28</v>
      </c>
      <c r="D617" s="47">
        <v>45611</v>
      </c>
      <c r="F617" s="34"/>
      <c r="G617" s="46"/>
      <c r="H617" s="34"/>
      <c r="I617" s="34"/>
      <c r="K617" s="39">
        <v>2641801</v>
      </c>
      <c r="L617" s="16" t="s">
        <v>1759</v>
      </c>
      <c r="M617" s="34" t="s">
        <v>31</v>
      </c>
      <c r="N617" s="34"/>
      <c r="O617" s="34"/>
      <c r="P617" s="34"/>
      <c r="Q617" s="34" t="s">
        <v>33</v>
      </c>
      <c r="R617" s="34" t="s">
        <v>94</v>
      </c>
      <c r="S617" s="34" t="s">
        <v>35</v>
      </c>
      <c r="T617" s="34" t="s">
        <v>36</v>
      </c>
      <c r="U617" s="39" t="s">
        <v>1686</v>
      </c>
    </row>
    <row r="618" spans="2:21">
      <c r="B618" s="46" t="s">
        <v>47</v>
      </c>
      <c r="C618" s="46" t="s">
        <v>28</v>
      </c>
      <c r="D618" s="47">
        <v>45611</v>
      </c>
      <c r="F618" s="34"/>
      <c r="G618" s="46"/>
      <c r="H618" s="34"/>
      <c r="I618" s="34"/>
      <c r="K618" s="39">
        <v>1874004</v>
      </c>
      <c r="L618" s="16" t="s">
        <v>1760</v>
      </c>
      <c r="M618" s="34" t="s">
        <v>31</v>
      </c>
      <c r="N618" s="34"/>
      <c r="O618" s="34"/>
      <c r="P618" s="34"/>
      <c r="Q618" s="34" t="s">
        <v>33</v>
      </c>
      <c r="R618" s="34" t="s">
        <v>94</v>
      </c>
      <c r="S618" s="34" t="s">
        <v>35</v>
      </c>
      <c r="T618" s="34" t="s">
        <v>36</v>
      </c>
      <c r="U618" s="34"/>
    </row>
    <row r="619" spans="2:21">
      <c r="B619" s="46" t="s">
        <v>47</v>
      </c>
      <c r="C619" s="46" t="s">
        <v>28</v>
      </c>
      <c r="D619" s="47">
        <v>45611</v>
      </c>
      <c r="F619" s="34"/>
      <c r="G619" s="46"/>
      <c r="H619" s="34"/>
      <c r="I619" s="34"/>
      <c r="K619" s="39" t="s">
        <v>1761</v>
      </c>
      <c r="L619" s="16" t="s">
        <v>1762</v>
      </c>
      <c r="M619" s="34" t="s">
        <v>31</v>
      </c>
      <c r="N619" s="34"/>
      <c r="O619" s="34"/>
      <c r="P619" s="34"/>
      <c r="Q619" s="34" t="s">
        <v>33</v>
      </c>
      <c r="R619" s="34" t="s">
        <v>94</v>
      </c>
      <c r="S619" s="34" t="s">
        <v>35</v>
      </c>
      <c r="T619" s="34" t="s">
        <v>36</v>
      </c>
      <c r="U619" s="39" t="s">
        <v>1686</v>
      </c>
    </row>
    <row r="620" spans="2:21">
      <c r="B620" s="46" t="s">
        <v>47</v>
      </c>
      <c r="C620" s="46" t="s">
        <v>28</v>
      </c>
      <c r="D620" s="47">
        <v>45611</v>
      </c>
      <c r="F620" s="34"/>
      <c r="G620" s="46"/>
      <c r="H620" s="34"/>
      <c r="I620" s="34"/>
      <c r="K620" s="39" t="s">
        <v>1763</v>
      </c>
      <c r="L620" s="16" t="s">
        <v>1764</v>
      </c>
      <c r="M620" s="34" t="s">
        <v>31</v>
      </c>
      <c r="N620" s="34"/>
      <c r="O620" s="34"/>
      <c r="P620" s="34"/>
      <c r="Q620" s="34" t="s">
        <v>33</v>
      </c>
      <c r="R620" s="34" t="s">
        <v>94</v>
      </c>
      <c r="S620" s="34" t="s">
        <v>35</v>
      </c>
      <c r="T620" s="34" t="s">
        <v>36</v>
      </c>
      <c r="U620" s="39" t="s">
        <v>1686</v>
      </c>
    </row>
    <row r="621" spans="2:21">
      <c r="B621" s="46" t="s">
        <v>47</v>
      </c>
      <c r="C621" s="46" t="s">
        <v>28</v>
      </c>
      <c r="D621" s="47">
        <v>45611</v>
      </c>
      <c r="F621" s="34"/>
      <c r="G621" s="46"/>
      <c r="H621" s="34"/>
      <c r="I621" s="34"/>
      <c r="K621" s="39">
        <v>2562402</v>
      </c>
      <c r="L621" s="16" t="s">
        <v>1765</v>
      </c>
      <c r="M621" s="34" t="s">
        <v>31</v>
      </c>
      <c r="N621" s="34"/>
      <c r="O621" s="34"/>
      <c r="P621" s="34"/>
      <c r="Q621" s="34" t="s">
        <v>33</v>
      </c>
      <c r="R621" s="34" t="s">
        <v>94</v>
      </c>
      <c r="S621" s="34" t="s">
        <v>35</v>
      </c>
      <c r="T621" s="34" t="s">
        <v>36</v>
      </c>
      <c r="U621" s="39" t="s">
        <v>1686</v>
      </c>
    </row>
    <row r="622" spans="2:21">
      <c r="B622" s="46" t="s">
        <v>47</v>
      </c>
      <c r="C622" s="46" t="s">
        <v>28</v>
      </c>
      <c r="D622" s="47">
        <v>45611</v>
      </c>
      <c r="F622" s="34"/>
      <c r="G622" s="46"/>
      <c r="H622" s="34"/>
      <c r="I622" s="34"/>
      <c r="K622" s="39">
        <v>2562002</v>
      </c>
      <c r="L622" s="16" t="s">
        <v>1766</v>
      </c>
      <c r="M622" s="34" t="s">
        <v>31</v>
      </c>
      <c r="N622" s="34"/>
      <c r="O622" s="34"/>
      <c r="P622" s="34"/>
      <c r="Q622" s="34" t="s">
        <v>33</v>
      </c>
      <c r="R622" s="34" t="s">
        <v>94</v>
      </c>
      <c r="S622" s="34" t="s">
        <v>35</v>
      </c>
      <c r="T622" s="34" t="s">
        <v>36</v>
      </c>
      <c r="U622" s="39" t="s">
        <v>1686</v>
      </c>
    </row>
    <row r="623" spans="2:21">
      <c r="B623" s="46" t="s">
        <v>47</v>
      </c>
      <c r="C623" s="46" t="s">
        <v>28</v>
      </c>
      <c r="D623" s="47">
        <v>45611</v>
      </c>
      <c r="F623" s="34"/>
      <c r="G623" s="46"/>
      <c r="H623" s="34"/>
      <c r="I623" s="34"/>
      <c r="K623" s="39">
        <v>2562202</v>
      </c>
      <c r="L623" s="16" t="s">
        <v>1767</v>
      </c>
      <c r="M623" s="34" t="s">
        <v>31</v>
      </c>
      <c r="N623" s="34"/>
      <c r="O623" s="34"/>
      <c r="P623" s="34"/>
      <c r="Q623" s="34" t="s">
        <v>33</v>
      </c>
      <c r="R623" s="34" t="s">
        <v>94</v>
      </c>
      <c r="S623" s="34" t="s">
        <v>35</v>
      </c>
      <c r="T623" s="34" t="s">
        <v>36</v>
      </c>
      <c r="U623" s="39" t="s">
        <v>1686</v>
      </c>
    </row>
    <row r="624" spans="2:21">
      <c r="B624" s="46" t="s">
        <v>47</v>
      </c>
      <c r="C624" s="46" t="s">
        <v>28</v>
      </c>
      <c r="D624" s="47">
        <v>45611</v>
      </c>
      <c r="F624" s="34"/>
      <c r="G624" s="46"/>
      <c r="H624" s="34"/>
      <c r="I624" s="34"/>
      <c r="K624" s="39">
        <v>2562302</v>
      </c>
      <c r="L624" s="16" t="s">
        <v>1768</v>
      </c>
      <c r="M624" s="34" t="s">
        <v>31</v>
      </c>
      <c r="N624" s="34"/>
      <c r="O624" s="34"/>
      <c r="P624" s="34"/>
      <c r="Q624" s="34" t="s">
        <v>33</v>
      </c>
      <c r="R624" s="34" t="s">
        <v>94</v>
      </c>
      <c r="S624" s="34" t="s">
        <v>35</v>
      </c>
      <c r="T624" s="34" t="s">
        <v>36</v>
      </c>
      <c r="U624" s="39" t="s">
        <v>1686</v>
      </c>
    </row>
    <row r="625" spans="2:21">
      <c r="B625" s="46" t="s">
        <v>47</v>
      </c>
      <c r="C625" s="46" t="s">
        <v>28</v>
      </c>
      <c r="D625" s="47">
        <v>45611</v>
      </c>
      <c r="F625" s="34"/>
      <c r="G625" s="46"/>
      <c r="H625" s="34"/>
      <c r="I625" s="34"/>
      <c r="K625" s="39">
        <v>2562502</v>
      </c>
      <c r="L625" s="16" t="s">
        <v>1769</v>
      </c>
      <c r="M625" s="34" t="s">
        <v>31</v>
      </c>
      <c r="N625" s="34"/>
      <c r="O625" s="34"/>
      <c r="P625" s="34"/>
      <c r="Q625" s="34" t="s">
        <v>33</v>
      </c>
      <c r="R625" s="34" t="s">
        <v>94</v>
      </c>
      <c r="S625" s="34" t="s">
        <v>35</v>
      </c>
      <c r="T625" s="34" t="s">
        <v>36</v>
      </c>
      <c r="U625" s="39" t="s">
        <v>1686</v>
      </c>
    </row>
    <row r="626" spans="2:21">
      <c r="B626" s="46" t="s">
        <v>47</v>
      </c>
      <c r="C626" s="46" t="s">
        <v>28</v>
      </c>
      <c r="D626" s="47">
        <v>45611</v>
      </c>
      <c r="F626" s="34"/>
      <c r="G626" s="46"/>
      <c r="H626" s="34"/>
      <c r="I626" s="34"/>
      <c r="K626" s="39">
        <v>2562602</v>
      </c>
      <c r="L626" s="16" t="s">
        <v>1770</v>
      </c>
      <c r="M626" s="34" t="s">
        <v>31</v>
      </c>
      <c r="N626" s="34"/>
      <c r="O626" s="34"/>
      <c r="P626" s="34"/>
      <c r="Q626" s="34" t="s">
        <v>33</v>
      </c>
      <c r="R626" s="34" t="s">
        <v>94</v>
      </c>
      <c r="S626" s="34" t="s">
        <v>35</v>
      </c>
      <c r="T626" s="34" t="s">
        <v>36</v>
      </c>
      <c r="U626" s="39" t="s">
        <v>1686</v>
      </c>
    </row>
    <row r="627" spans="2:21">
      <c r="B627" s="46" t="s">
        <v>47</v>
      </c>
      <c r="C627" s="46" t="s">
        <v>28</v>
      </c>
      <c r="D627" s="47">
        <v>45625</v>
      </c>
      <c r="F627" s="34"/>
      <c r="G627" s="46"/>
      <c r="H627" s="34"/>
      <c r="I627" s="34"/>
      <c r="K627" s="254">
        <v>2219620</v>
      </c>
      <c r="L627" s="16" t="s">
        <v>1771</v>
      </c>
      <c r="M627" s="34" t="s">
        <v>31</v>
      </c>
      <c r="N627" s="34"/>
      <c r="O627" s="34"/>
      <c r="P627" s="34"/>
      <c r="Q627" s="34" t="s">
        <v>33</v>
      </c>
      <c r="R627" s="34" t="s">
        <v>94</v>
      </c>
      <c r="S627" s="34" t="s">
        <v>35</v>
      </c>
      <c r="T627" s="34" t="s">
        <v>36</v>
      </c>
      <c r="U627" s="39" t="s">
        <v>1686</v>
      </c>
    </row>
    <row r="628" spans="2:21">
      <c r="B628" s="46" t="s">
        <v>47</v>
      </c>
      <c r="C628" s="46" t="s">
        <v>28</v>
      </c>
      <c r="D628" s="47">
        <v>45625</v>
      </c>
      <c r="F628" s="34"/>
      <c r="G628" s="46"/>
      <c r="H628" s="34"/>
      <c r="I628" s="34"/>
      <c r="K628" s="254">
        <v>2219619</v>
      </c>
      <c r="L628" s="16" t="s">
        <v>1772</v>
      </c>
      <c r="M628" s="34" t="s">
        <v>31</v>
      </c>
      <c r="N628" s="34"/>
      <c r="O628" s="34"/>
      <c r="P628" s="34"/>
      <c r="Q628" s="34" t="s">
        <v>33</v>
      </c>
      <c r="R628" s="34" t="s">
        <v>94</v>
      </c>
      <c r="S628" s="34" t="s">
        <v>35</v>
      </c>
      <c r="T628" s="34" t="s">
        <v>36</v>
      </c>
      <c r="U628" s="39" t="s">
        <v>1686</v>
      </c>
    </row>
    <row r="629" spans="2:21">
      <c r="B629" s="46" t="s">
        <v>47</v>
      </c>
      <c r="C629" s="46" t="s">
        <v>28</v>
      </c>
      <c r="D629" s="47">
        <v>45625</v>
      </c>
      <c r="F629" s="34"/>
      <c r="G629" s="46"/>
      <c r="H629" s="34"/>
      <c r="I629" s="34"/>
      <c r="K629" s="254">
        <v>2109315</v>
      </c>
      <c r="L629" s="16" t="s">
        <v>1773</v>
      </c>
      <c r="M629" s="34" t="s">
        <v>31</v>
      </c>
      <c r="N629" s="34"/>
      <c r="O629" s="34"/>
      <c r="P629" s="34"/>
      <c r="Q629" s="34" t="s">
        <v>33</v>
      </c>
      <c r="R629" s="34" t="s">
        <v>94</v>
      </c>
      <c r="S629" s="34" t="s">
        <v>35</v>
      </c>
      <c r="T629" s="34" t="s">
        <v>36</v>
      </c>
      <c r="U629" s="39" t="s">
        <v>1686</v>
      </c>
    </row>
    <row r="630" spans="2:21">
      <c r="B630" s="46" t="s">
        <v>47</v>
      </c>
      <c r="C630" s="46" t="s">
        <v>28</v>
      </c>
      <c r="D630" s="47">
        <v>45625</v>
      </c>
      <c r="F630" s="34"/>
      <c r="G630" s="46"/>
      <c r="H630" s="34"/>
      <c r="I630" s="34"/>
      <c r="K630" s="254">
        <v>2109316</v>
      </c>
      <c r="L630" s="16" t="s">
        <v>1774</v>
      </c>
      <c r="M630" s="34" t="s">
        <v>31</v>
      </c>
      <c r="N630" s="34"/>
      <c r="O630" s="34"/>
      <c r="P630" s="34"/>
      <c r="Q630" s="34" t="s">
        <v>33</v>
      </c>
      <c r="R630" s="34" t="s">
        <v>94</v>
      </c>
      <c r="S630" s="34" t="s">
        <v>35</v>
      </c>
      <c r="T630" s="34" t="s">
        <v>36</v>
      </c>
      <c r="U630" s="39" t="s">
        <v>1686</v>
      </c>
    </row>
    <row r="631" spans="2:21">
      <c r="B631" s="46" t="s">
        <v>47</v>
      </c>
      <c r="C631" s="46" t="s">
        <v>28</v>
      </c>
      <c r="D631" s="47">
        <v>45625</v>
      </c>
      <c r="F631" s="34"/>
      <c r="G631" s="46"/>
      <c r="H631" s="34"/>
      <c r="I631" s="34"/>
      <c r="K631" s="254">
        <v>2013619</v>
      </c>
      <c r="L631" s="16" t="s">
        <v>1775</v>
      </c>
      <c r="M631" s="34" t="s">
        <v>31</v>
      </c>
      <c r="N631" s="34"/>
      <c r="O631" s="34"/>
      <c r="P631" s="34"/>
      <c r="Q631" s="34" t="s">
        <v>33</v>
      </c>
      <c r="R631" s="34" t="s">
        <v>94</v>
      </c>
      <c r="S631" s="34" t="s">
        <v>35</v>
      </c>
      <c r="T631" s="34" t="s">
        <v>36</v>
      </c>
      <c r="U631" s="39" t="s">
        <v>1686</v>
      </c>
    </row>
    <row r="632" spans="2:21">
      <c r="B632" s="46" t="s">
        <v>47</v>
      </c>
      <c r="C632" s="46" t="s">
        <v>28</v>
      </c>
      <c r="D632" s="47">
        <v>45625</v>
      </c>
      <c r="F632" s="34"/>
      <c r="G632" s="46"/>
      <c r="H632" s="34"/>
      <c r="I632" s="34"/>
      <c r="K632" s="254">
        <v>2013620</v>
      </c>
      <c r="L632" s="16" t="s">
        <v>1776</v>
      </c>
      <c r="M632" s="34" t="s">
        <v>31</v>
      </c>
      <c r="N632" s="34"/>
      <c r="O632" s="34"/>
      <c r="P632" s="34"/>
      <c r="Q632" s="34" t="s">
        <v>33</v>
      </c>
      <c r="R632" s="34" t="s">
        <v>94</v>
      </c>
      <c r="S632" s="34" t="s">
        <v>35</v>
      </c>
      <c r="T632" s="34" t="s">
        <v>36</v>
      </c>
      <c r="U632" s="39" t="s">
        <v>1686</v>
      </c>
    </row>
    <row r="633" spans="2:21">
      <c r="B633" s="46" t="s">
        <v>47</v>
      </c>
      <c r="C633" s="46" t="s">
        <v>28</v>
      </c>
      <c r="D633" s="47">
        <v>45625</v>
      </c>
      <c r="F633" s="34"/>
      <c r="G633" s="46"/>
      <c r="H633" s="34"/>
      <c r="I633" s="34"/>
      <c r="K633" s="254">
        <v>2013618</v>
      </c>
      <c r="L633" s="16" t="s">
        <v>1777</v>
      </c>
      <c r="M633" s="34" t="s">
        <v>31</v>
      </c>
      <c r="N633" s="34"/>
      <c r="O633" s="34"/>
      <c r="P633" s="34"/>
      <c r="Q633" s="34" t="s">
        <v>33</v>
      </c>
      <c r="R633" s="34" t="s">
        <v>94</v>
      </c>
      <c r="S633" s="34" t="s">
        <v>35</v>
      </c>
      <c r="T633" s="34" t="s">
        <v>36</v>
      </c>
      <c r="U633" s="39" t="s">
        <v>1686</v>
      </c>
    </row>
    <row r="634" spans="2:21">
      <c r="B634" s="46" t="s">
        <v>47</v>
      </c>
      <c r="C634" s="80" t="s">
        <v>28</v>
      </c>
      <c r="D634" s="81">
        <v>45646</v>
      </c>
      <c r="E634" s="107"/>
      <c r="F634" s="38"/>
      <c r="G634" s="80"/>
      <c r="H634" s="38"/>
      <c r="I634" s="38"/>
      <c r="J634" s="107"/>
      <c r="K634" s="82">
        <v>369306</v>
      </c>
      <c r="L634" s="78" t="s">
        <v>1778</v>
      </c>
      <c r="M634" s="34" t="s">
        <v>31</v>
      </c>
      <c r="N634" s="39"/>
      <c r="O634" s="39"/>
      <c r="P634" s="39"/>
      <c r="Q634" s="34" t="s">
        <v>33</v>
      </c>
      <c r="R634" s="38" t="s">
        <v>94</v>
      </c>
      <c r="S634" s="38" t="s">
        <v>35</v>
      </c>
      <c r="T634" s="38" t="s">
        <v>36</v>
      </c>
      <c r="U634" s="39" t="s">
        <v>1686</v>
      </c>
    </row>
    <row r="635" spans="2:21">
      <c r="B635" s="46" t="s">
        <v>47</v>
      </c>
      <c r="C635" s="80" t="s">
        <v>28</v>
      </c>
      <c r="D635" s="81">
        <v>45646</v>
      </c>
      <c r="E635" s="107"/>
      <c r="F635" s="38"/>
      <c r="G635" s="80"/>
      <c r="H635" s="38"/>
      <c r="I635" s="38"/>
      <c r="J635" s="107"/>
      <c r="K635" s="82">
        <v>1007909</v>
      </c>
      <c r="L635" s="78" t="s">
        <v>1779</v>
      </c>
      <c r="M635" s="34" t="s">
        <v>31</v>
      </c>
      <c r="N635" s="34"/>
      <c r="O635" s="34"/>
      <c r="P635" s="34"/>
      <c r="Q635" s="34" t="s">
        <v>33</v>
      </c>
      <c r="R635" s="38" t="s">
        <v>94</v>
      </c>
      <c r="S635" s="38" t="s">
        <v>35</v>
      </c>
      <c r="T635" s="38" t="s">
        <v>36</v>
      </c>
      <c r="U635" s="39" t="s">
        <v>1686</v>
      </c>
    </row>
    <row r="636" spans="2:21">
      <c r="B636" s="46" t="s">
        <v>47</v>
      </c>
      <c r="C636" s="80" t="s">
        <v>28</v>
      </c>
      <c r="D636" s="81">
        <v>45646</v>
      </c>
      <c r="E636" s="107"/>
      <c r="F636" s="38"/>
      <c r="G636" s="80"/>
      <c r="H636" s="38"/>
      <c r="I636" s="38"/>
      <c r="J636" s="107"/>
      <c r="K636" s="82">
        <v>2150509</v>
      </c>
      <c r="L636" s="78" t="s">
        <v>1780</v>
      </c>
      <c r="M636" s="34" t="s">
        <v>31</v>
      </c>
      <c r="N636" s="34"/>
      <c r="O636" s="34"/>
      <c r="P636" s="34"/>
      <c r="Q636" s="34" t="s">
        <v>33</v>
      </c>
      <c r="R636" s="38" t="s">
        <v>94</v>
      </c>
      <c r="S636" s="38" t="s">
        <v>35</v>
      </c>
      <c r="T636" s="38" t="s">
        <v>36</v>
      </c>
      <c r="U636" s="39" t="s">
        <v>1686</v>
      </c>
    </row>
    <row r="637" spans="2:21">
      <c r="B637" s="46" t="s">
        <v>47</v>
      </c>
      <c r="C637" s="80" t="s">
        <v>28</v>
      </c>
      <c r="D637" s="81">
        <v>45646</v>
      </c>
      <c r="E637" s="107"/>
      <c r="F637" s="38"/>
      <c r="G637" s="80"/>
      <c r="H637" s="38"/>
      <c r="I637" s="38"/>
      <c r="J637" s="107"/>
      <c r="K637" s="82">
        <v>2522315</v>
      </c>
      <c r="L637" s="78" t="s">
        <v>1781</v>
      </c>
      <c r="M637" s="34" t="s">
        <v>31</v>
      </c>
      <c r="N637" s="34"/>
      <c r="O637" s="34"/>
      <c r="P637" s="34"/>
      <c r="Q637" s="34" t="s">
        <v>33</v>
      </c>
      <c r="R637" s="38" t="s">
        <v>94</v>
      </c>
      <c r="S637" s="38" t="s">
        <v>35</v>
      </c>
      <c r="T637" s="38" t="s">
        <v>36</v>
      </c>
      <c r="U637" s="39" t="s">
        <v>1686</v>
      </c>
    </row>
    <row r="638" spans="2:21">
      <c r="B638" s="46" t="s">
        <v>47</v>
      </c>
      <c r="C638" s="80" t="s">
        <v>28</v>
      </c>
      <c r="D638" s="81">
        <v>45646</v>
      </c>
      <c r="E638" s="107"/>
      <c r="F638" s="38"/>
      <c r="G638" s="80"/>
      <c r="H638" s="38"/>
      <c r="I638" s="38"/>
      <c r="J638" s="107"/>
      <c r="K638" s="82">
        <v>2600603</v>
      </c>
      <c r="L638" s="78" t="s">
        <v>1782</v>
      </c>
      <c r="M638" s="34" t="s">
        <v>31</v>
      </c>
      <c r="N638" s="34"/>
      <c r="O638" s="34"/>
      <c r="P638" s="34"/>
      <c r="Q638" s="34" t="s">
        <v>33</v>
      </c>
      <c r="R638" s="38" t="s">
        <v>94</v>
      </c>
      <c r="S638" s="38" t="s">
        <v>35</v>
      </c>
      <c r="T638" s="38" t="s">
        <v>36</v>
      </c>
      <c r="U638" s="39" t="s">
        <v>1686</v>
      </c>
    </row>
    <row r="639" spans="2:21">
      <c r="B639" s="46" t="s">
        <v>47</v>
      </c>
      <c r="C639" s="46" t="s">
        <v>28</v>
      </c>
      <c r="D639" s="47">
        <v>45667</v>
      </c>
      <c r="F639" s="34"/>
      <c r="G639" s="46"/>
      <c r="H639" s="34"/>
      <c r="I639" s="34"/>
      <c r="K639" s="39">
        <v>2522316</v>
      </c>
      <c r="L639" s="16" t="s">
        <v>1783</v>
      </c>
      <c r="M639" s="34" t="s">
        <v>31</v>
      </c>
      <c r="N639" s="34"/>
      <c r="O639" s="34"/>
      <c r="P639" s="34"/>
      <c r="Q639" s="34" t="s">
        <v>33</v>
      </c>
      <c r="R639" s="34" t="s">
        <v>94</v>
      </c>
      <c r="S639" s="38" t="s">
        <v>35</v>
      </c>
      <c r="T639" s="34" t="s">
        <v>36</v>
      </c>
      <c r="U639" s="39" t="s">
        <v>1686</v>
      </c>
    </row>
    <row r="640" spans="2:21">
      <c r="B640" s="46" t="s">
        <v>47</v>
      </c>
      <c r="C640" s="46" t="s">
        <v>28</v>
      </c>
      <c r="D640" s="47">
        <v>45667</v>
      </c>
      <c r="F640" s="34"/>
      <c r="G640" s="46"/>
      <c r="H640" s="34"/>
      <c r="I640" s="34"/>
      <c r="K640" s="39">
        <v>2662601</v>
      </c>
      <c r="L640" s="16" t="s">
        <v>1784</v>
      </c>
      <c r="M640" s="34" t="s">
        <v>31</v>
      </c>
      <c r="N640" s="34"/>
      <c r="O640" s="34"/>
      <c r="P640" s="34"/>
      <c r="Q640" s="34" t="s">
        <v>33</v>
      </c>
      <c r="R640" s="34" t="s">
        <v>94</v>
      </c>
      <c r="S640" s="38" t="s">
        <v>35</v>
      </c>
      <c r="T640" s="34" t="s">
        <v>36</v>
      </c>
      <c r="U640" s="39" t="s">
        <v>1686</v>
      </c>
    </row>
    <row r="641" spans="2:21">
      <c r="B641" s="46" t="s">
        <v>47</v>
      </c>
      <c r="C641" s="46" t="s">
        <v>28</v>
      </c>
      <c r="D641" s="47">
        <v>45667</v>
      </c>
      <c r="F641" s="34"/>
      <c r="G641" s="46"/>
      <c r="H641" s="34"/>
      <c r="I641" s="34"/>
      <c r="K641" s="39">
        <v>2662602</v>
      </c>
      <c r="L641" s="16" t="s">
        <v>1785</v>
      </c>
      <c r="M641" s="34" t="s">
        <v>31</v>
      </c>
      <c r="N641" s="34"/>
      <c r="O641" s="34"/>
      <c r="P641" s="34"/>
      <c r="Q641" s="34" t="s">
        <v>33</v>
      </c>
      <c r="R641" s="34" t="s">
        <v>94</v>
      </c>
      <c r="S641" s="38" t="s">
        <v>35</v>
      </c>
      <c r="T641" s="34" t="s">
        <v>36</v>
      </c>
      <c r="U641" s="39" t="s">
        <v>1686</v>
      </c>
    </row>
    <row r="642" spans="2:21">
      <c r="B642" s="46" t="s">
        <v>47</v>
      </c>
      <c r="C642" s="46" t="s">
        <v>28</v>
      </c>
      <c r="D642" s="47">
        <v>45667</v>
      </c>
      <c r="F642" s="34"/>
      <c r="G642" s="46"/>
      <c r="H642" s="34"/>
      <c r="I642" s="34"/>
      <c r="K642" s="39">
        <v>2662603</v>
      </c>
      <c r="L642" s="16" t="s">
        <v>1786</v>
      </c>
      <c r="M642" s="34" t="s">
        <v>31</v>
      </c>
      <c r="N642" s="34"/>
      <c r="O642" s="34"/>
      <c r="P642" s="34"/>
      <c r="Q642" s="34" t="s">
        <v>33</v>
      </c>
      <c r="R642" s="34" t="s">
        <v>94</v>
      </c>
      <c r="S642" s="38" t="s">
        <v>35</v>
      </c>
      <c r="T642" s="34" t="s">
        <v>36</v>
      </c>
      <c r="U642" s="39" t="s">
        <v>1686</v>
      </c>
    </row>
    <row r="643" spans="2:21">
      <c r="B643" s="46" t="s">
        <v>47</v>
      </c>
      <c r="C643" s="46" t="s">
        <v>28</v>
      </c>
      <c r="D643" s="47">
        <v>45667</v>
      </c>
      <c r="F643" s="34"/>
      <c r="G643" s="46"/>
      <c r="H643" s="34"/>
      <c r="I643" s="34"/>
      <c r="K643" s="39">
        <v>2662604</v>
      </c>
      <c r="L643" s="16" t="s">
        <v>1787</v>
      </c>
      <c r="M643" s="34" t="s">
        <v>31</v>
      </c>
      <c r="N643" s="34"/>
      <c r="O643" s="34"/>
      <c r="P643" s="34"/>
      <c r="Q643" s="34" t="s">
        <v>33</v>
      </c>
      <c r="R643" s="34" t="s">
        <v>94</v>
      </c>
      <c r="S643" s="38" t="s">
        <v>35</v>
      </c>
      <c r="T643" s="34" t="s">
        <v>36</v>
      </c>
      <c r="U643" s="39" t="s">
        <v>1686</v>
      </c>
    </row>
    <row r="644" spans="2:21">
      <c r="B644" s="46" t="s">
        <v>47</v>
      </c>
      <c r="C644" s="46" t="s">
        <v>28</v>
      </c>
      <c r="D644" s="47">
        <v>45667</v>
      </c>
      <c r="F644" s="34"/>
      <c r="G644" s="46"/>
      <c r="H644" s="34"/>
      <c r="I644" s="34"/>
      <c r="K644" s="39">
        <v>2662605</v>
      </c>
      <c r="L644" s="16" t="s">
        <v>1788</v>
      </c>
      <c r="M644" s="34" t="s">
        <v>31</v>
      </c>
      <c r="N644" s="34"/>
      <c r="O644" s="34"/>
      <c r="P644" s="34"/>
      <c r="Q644" s="34" t="s">
        <v>33</v>
      </c>
      <c r="R644" s="34" t="s">
        <v>94</v>
      </c>
      <c r="S644" s="38" t="s">
        <v>35</v>
      </c>
      <c r="T644" s="34" t="s">
        <v>36</v>
      </c>
      <c r="U644" s="39" t="s">
        <v>1686</v>
      </c>
    </row>
    <row r="645" spans="2:21">
      <c r="B645" s="46" t="s">
        <v>47</v>
      </c>
      <c r="C645" s="46" t="s">
        <v>28</v>
      </c>
      <c r="D645" s="47">
        <v>45667</v>
      </c>
      <c r="F645" s="34"/>
      <c r="G645" s="46"/>
      <c r="H645" s="34"/>
      <c r="I645" s="34"/>
      <c r="K645" s="39">
        <v>2662606</v>
      </c>
      <c r="L645" s="16" t="s">
        <v>1789</v>
      </c>
      <c r="M645" s="34" t="s">
        <v>31</v>
      </c>
      <c r="N645" s="34"/>
      <c r="O645" s="34"/>
      <c r="P645" s="34"/>
      <c r="Q645" s="34" t="s">
        <v>33</v>
      </c>
      <c r="R645" s="34" t="s">
        <v>94</v>
      </c>
      <c r="S645" s="38" t="s">
        <v>35</v>
      </c>
      <c r="T645" s="34" t="s">
        <v>36</v>
      </c>
      <c r="U645" s="39" t="s">
        <v>1686</v>
      </c>
    </row>
    <row r="646" spans="2:21">
      <c r="B646" s="46" t="s">
        <v>47</v>
      </c>
      <c r="C646" s="46" t="s">
        <v>28</v>
      </c>
      <c r="D646" s="47">
        <v>45667</v>
      </c>
      <c r="F646" s="34"/>
      <c r="G646" s="46"/>
      <c r="H646" s="34"/>
      <c r="I646" s="34"/>
      <c r="K646" s="39">
        <v>2570603</v>
      </c>
      <c r="L646" s="16" t="s">
        <v>1790</v>
      </c>
      <c r="M646" s="34" t="s">
        <v>31</v>
      </c>
      <c r="N646" s="34"/>
      <c r="O646" s="34"/>
      <c r="P646" s="34"/>
      <c r="Q646" s="34" t="s">
        <v>33</v>
      </c>
      <c r="R646" s="34" t="s">
        <v>94</v>
      </c>
      <c r="S646" s="38" t="s">
        <v>35</v>
      </c>
      <c r="T646" s="34" t="s">
        <v>36</v>
      </c>
      <c r="U646" s="39" t="s">
        <v>1686</v>
      </c>
    </row>
    <row r="647" spans="2:21">
      <c r="B647" s="46" t="s">
        <v>47</v>
      </c>
      <c r="C647" s="46" t="s">
        <v>28</v>
      </c>
      <c r="D647" s="47">
        <v>45667</v>
      </c>
      <c r="F647" s="34"/>
      <c r="G647" s="46"/>
      <c r="H647" s="34"/>
      <c r="I647" s="34"/>
      <c r="K647" s="39">
        <v>1467706</v>
      </c>
      <c r="L647" s="16" t="s">
        <v>1791</v>
      </c>
      <c r="M647" s="34" t="s">
        <v>31</v>
      </c>
      <c r="N647" s="34"/>
      <c r="O647" s="34"/>
      <c r="P647" s="34"/>
      <c r="Q647" s="34" t="s">
        <v>33</v>
      </c>
      <c r="R647" s="34" t="s">
        <v>94</v>
      </c>
      <c r="S647" s="38" t="s">
        <v>35</v>
      </c>
      <c r="T647" s="34" t="s">
        <v>36</v>
      </c>
      <c r="U647" s="39" t="s">
        <v>1686</v>
      </c>
    </row>
    <row r="648" spans="2:21">
      <c r="B648" s="46" t="s">
        <v>47</v>
      </c>
      <c r="C648" s="46" t="s">
        <v>28</v>
      </c>
      <c r="D648" s="47">
        <v>45667</v>
      </c>
      <c r="F648" s="34"/>
      <c r="G648" s="46"/>
      <c r="H648" s="34"/>
      <c r="I648" s="34"/>
      <c r="K648" s="39">
        <v>1467707</v>
      </c>
      <c r="L648" s="16" t="s">
        <v>1792</v>
      </c>
      <c r="M648" s="34" t="s">
        <v>31</v>
      </c>
      <c r="N648" s="34"/>
      <c r="O648" s="34"/>
      <c r="P648" s="34"/>
      <c r="Q648" s="34" t="s">
        <v>33</v>
      </c>
      <c r="R648" s="34" t="s">
        <v>94</v>
      </c>
      <c r="S648" s="38" t="s">
        <v>35</v>
      </c>
      <c r="T648" s="34" t="s">
        <v>36</v>
      </c>
      <c r="U648" s="39" t="s">
        <v>1686</v>
      </c>
    </row>
    <row r="649" spans="2:21">
      <c r="B649" s="46" t="s">
        <v>47</v>
      </c>
      <c r="C649" s="46" t="s">
        <v>28</v>
      </c>
      <c r="D649" s="47">
        <v>45667</v>
      </c>
      <c r="F649" s="34"/>
      <c r="G649" s="46"/>
      <c r="H649" s="34"/>
      <c r="I649" s="34"/>
      <c r="K649" s="39">
        <v>1467708</v>
      </c>
      <c r="L649" s="16" t="s">
        <v>1793</v>
      </c>
      <c r="M649" s="34" t="s">
        <v>31</v>
      </c>
      <c r="N649" s="34"/>
      <c r="O649" s="34"/>
      <c r="P649" s="34"/>
      <c r="Q649" s="34" t="s">
        <v>33</v>
      </c>
      <c r="R649" s="34" t="s">
        <v>94</v>
      </c>
      <c r="S649" s="38" t="s">
        <v>35</v>
      </c>
      <c r="T649" s="34" t="s">
        <v>36</v>
      </c>
      <c r="U649" s="39" t="s">
        <v>1686</v>
      </c>
    </row>
    <row r="650" spans="2:21">
      <c r="B650" s="46" t="s">
        <v>47</v>
      </c>
      <c r="C650" s="46" t="s">
        <v>28</v>
      </c>
      <c r="D650" s="47">
        <v>45667</v>
      </c>
      <c r="F650" s="34"/>
      <c r="G650" s="46"/>
      <c r="H650" s="34"/>
      <c r="I650" s="34"/>
      <c r="K650" s="39">
        <v>1467709</v>
      </c>
      <c r="L650" s="16" t="s">
        <v>1794</v>
      </c>
      <c r="M650" s="34" t="s">
        <v>31</v>
      </c>
      <c r="N650" s="34"/>
      <c r="O650" s="34"/>
      <c r="P650" s="34"/>
      <c r="Q650" s="34" t="s">
        <v>33</v>
      </c>
      <c r="R650" s="34" t="s">
        <v>94</v>
      </c>
      <c r="S650" s="38" t="s">
        <v>35</v>
      </c>
      <c r="T650" s="34" t="s">
        <v>36</v>
      </c>
      <c r="U650" s="39" t="s">
        <v>1686</v>
      </c>
    </row>
    <row r="651" spans="2:21">
      <c r="B651" s="46" t="s">
        <v>47</v>
      </c>
      <c r="C651" s="46" t="s">
        <v>28</v>
      </c>
      <c r="D651" s="47">
        <v>45667</v>
      </c>
      <c r="F651" s="34"/>
      <c r="G651" s="46"/>
      <c r="H651" s="34"/>
      <c r="I651" s="34"/>
      <c r="K651" s="39">
        <v>2662701</v>
      </c>
      <c r="L651" s="16" t="s">
        <v>1795</v>
      </c>
      <c r="M651" s="34" t="s">
        <v>31</v>
      </c>
      <c r="N651" s="34"/>
      <c r="O651" s="34"/>
      <c r="P651" s="34"/>
      <c r="Q651" s="34" t="s">
        <v>33</v>
      </c>
      <c r="R651" s="34" t="s">
        <v>94</v>
      </c>
      <c r="S651" s="38" t="s">
        <v>35</v>
      </c>
      <c r="T651" s="34" t="s">
        <v>36</v>
      </c>
      <c r="U651" s="39" t="s">
        <v>1686</v>
      </c>
    </row>
    <row r="652" spans="2:21">
      <c r="B652" s="46" t="s">
        <v>47</v>
      </c>
      <c r="C652" s="46" t="s">
        <v>28</v>
      </c>
      <c r="D652" s="47">
        <v>45667</v>
      </c>
      <c r="F652" s="34"/>
      <c r="G652" s="46"/>
      <c r="H652" s="34"/>
      <c r="I652" s="34"/>
      <c r="K652" s="39">
        <v>2662702</v>
      </c>
      <c r="L652" s="16" t="s">
        <v>1796</v>
      </c>
      <c r="M652" s="34" t="s">
        <v>31</v>
      </c>
      <c r="N652" s="34"/>
      <c r="O652" s="34"/>
      <c r="P652" s="34"/>
      <c r="Q652" s="34" t="s">
        <v>33</v>
      </c>
      <c r="R652" s="34" t="s">
        <v>94</v>
      </c>
      <c r="S652" s="38" t="s">
        <v>35</v>
      </c>
      <c r="T652" s="34" t="s">
        <v>36</v>
      </c>
      <c r="U652" s="39" t="s">
        <v>1686</v>
      </c>
    </row>
    <row r="653" spans="2:21">
      <c r="B653" s="46" t="s">
        <v>47</v>
      </c>
      <c r="C653" s="46" t="s">
        <v>28</v>
      </c>
      <c r="D653" s="47">
        <v>45667</v>
      </c>
      <c r="F653" s="34"/>
      <c r="G653" s="46"/>
      <c r="H653" s="34"/>
      <c r="I653" s="34"/>
      <c r="K653" s="39">
        <v>2662703</v>
      </c>
      <c r="L653" s="16" t="s">
        <v>1797</v>
      </c>
      <c r="M653" s="34" t="s">
        <v>31</v>
      </c>
      <c r="N653" s="34"/>
      <c r="O653" s="34"/>
      <c r="P653" s="34"/>
      <c r="Q653" s="34" t="s">
        <v>33</v>
      </c>
      <c r="R653" s="34" t="s">
        <v>94</v>
      </c>
      <c r="S653" s="38" t="s">
        <v>35</v>
      </c>
      <c r="T653" s="34" t="s">
        <v>36</v>
      </c>
      <c r="U653" s="39" t="s">
        <v>1686</v>
      </c>
    </row>
    <row r="654" spans="2:21">
      <c r="B654" s="46" t="s">
        <v>47</v>
      </c>
      <c r="C654" s="46" t="s">
        <v>28</v>
      </c>
      <c r="D654" s="47">
        <v>45667</v>
      </c>
      <c r="F654" s="34"/>
      <c r="G654" s="46"/>
      <c r="H654" s="34"/>
      <c r="I654" s="34"/>
      <c r="K654" s="39">
        <v>2662704</v>
      </c>
      <c r="L654" s="16" t="s">
        <v>1798</v>
      </c>
      <c r="M654" s="34" t="s">
        <v>31</v>
      </c>
      <c r="N654" s="34"/>
      <c r="O654" s="34"/>
      <c r="P654" s="34"/>
      <c r="Q654" s="34" t="s">
        <v>33</v>
      </c>
      <c r="R654" s="34" t="s">
        <v>94</v>
      </c>
      <c r="S654" s="38" t="s">
        <v>35</v>
      </c>
      <c r="T654" s="34" t="s">
        <v>36</v>
      </c>
      <c r="U654" s="39" t="s">
        <v>1686</v>
      </c>
    </row>
    <row r="655" spans="2:21">
      <c r="B655" s="46" t="s">
        <v>47</v>
      </c>
      <c r="C655" s="46" t="s">
        <v>28</v>
      </c>
      <c r="D655" s="47">
        <v>45667</v>
      </c>
      <c r="F655" s="34"/>
      <c r="G655" s="46"/>
      <c r="H655" s="34"/>
      <c r="I655" s="34"/>
      <c r="K655" s="39">
        <v>1582506</v>
      </c>
      <c r="L655" s="16" t="s">
        <v>1799</v>
      </c>
      <c r="M655" s="34" t="s">
        <v>31</v>
      </c>
      <c r="N655" s="34"/>
      <c r="O655" s="34"/>
      <c r="P655" s="34"/>
      <c r="Q655" s="34" t="s">
        <v>33</v>
      </c>
      <c r="R655" s="34" t="s">
        <v>94</v>
      </c>
      <c r="S655" s="38" t="s">
        <v>35</v>
      </c>
      <c r="T655" s="34" t="s">
        <v>36</v>
      </c>
      <c r="U655" s="39" t="s">
        <v>1686</v>
      </c>
    </row>
    <row r="656" spans="2:21">
      <c r="B656" s="46" t="s">
        <v>47</v>
      </c>
      <c r="C656" s="46" t="s">
        <v>28</v>
      </c>
      <c r="D656" s="47">
        <v>45667</v>
      </c>
      <c r="F656" s="34"/>
      <c r="G656" s="46"/>
      <c r="H656" s="34"/>
      <c r="I656" s="34"/>
      <c r="K656" s="39">
        <v>1582507</v>
      </c>
      <c r="L656" s="16" t="s">
        <v>1800</v>
      </c>
      <c r="M656" s="34" t="s">
        <v>31</v>
      </c>
      <c r="N656" s="34"/>
      <c r="O656" s="34"/>
      <c r="P656" s="34"/>
      <c r="Q656" s="34" t="s">
        <v>33</v>
      </c>
      <c r="R656" s="34" t="s">
        <v>94</v>
      </c>
      <c r="S656" s="38" t="s">
        <v>35</v>
      </c>
      <c r="T656" s="34" t="s">
        <v>36</v>
      </c>
      <c r="U656" s="39" t="s">
        <v>1686</v>
      </c>
    </row>
    <row r="657" spans="2:21">
      <c r="B657" s="46" t="s">
        <v>47</v>
      </c>
      <c r="C657" s="46" t="s">
        <v>28</v>
      </c>
      <c r="D657" s="47">
        <v>45667</v>
      </c>
      <c r="F657" s="34"/>
      <c r="G657" s="46"/>
      <c r="H657" s="34"/>
      <c r="I657" s="34"/>
      <c r="K657" s="39">
        <v>1839519</v>
      </c>
      <c r="L657" s="16" t="s">
        <v>1801</v>
      </c>
      <c r="M657" s="34" t="s">
        <v>31</v>
      </c>
      <c r="N657" s="34"/>
      <c r="O657" s="34"/>
      <c r="P657" s="34"/>
      <c r="Q657" s="34" t="s">
        <v>33</v>
      </c>
      <c r="R657" s="34" t="s">
        <v>94</v>
      </c>
      <c r="S657" s="38" t="s">
        <v>35</v>
      </c>
      <c r="T657" s="34" t="s">
        <v>36</v>
      </c>
      <c r="U657" s="39" t="s">
        <v>1686</v>
      </c>
    </row>
    <row r="658" spans="2:21">
      <c r="B658" s="46" t="s">
        <v>47</v>
      </c>
      <c r="C658" s="46" t="s">
        <v>28</v>
      </c>
      <c r="D658" s="47">
        <v>45667</v>
      </c>
      <c r="F658" s="34"/>
      <c r="G658" s="46"/>
      <c r="H658" s="34"/>
      <c r="I658" s="34"/>
      <c r="K658" s="39">
        <v>1839520</v>
      </c>
      <c r="L658" s="16" t="s">
        <v>1802</v>
      </c>
      <c r="M658" s="34" t="s">
        <v>31</v>
      </c>
      <c r="N658" s="34"/>
      <c r="O658" s="34"/>
      <c r="P658" s="34"/>
      <c r="Q658" s="34" t="s">
        <v>33</v>
      </c>
      <c r="R658" s="34" t="s">
        <v>94</v>
      </c>
      <c r="S658" s="38" t="s">
        <v>35</v>
      </c>
      <c r="T658" s="34" t="s">
        <v>36</v>
      </c>
      <c r="U658" s="39" t="s">
        <v>1686</v>
      </c>
    </row>
    <row r="659" spans="2:21">
      <c r="B659" s="46" t="s">
        <v>47</v>
      </c>
      <c r="C659" s="46" t="s">
        <v>28</v>
      </c>
      <c r="D659" s="47">
        <v>45667</v>
      </c>
      <c r="F659" s="34"/>
      <c r="G659" s="46"/>
      <c r="H659" s="34"/>
      <c r="I659" s="34"/>
      <c r="K659" s="39">
        <v>1839521</v>
      </c>
      <c r="L659" s="16" t="s">
        <v>1803</v>
      </c>
      <c r="M659" s="34" t="s">
        <v>31</v>
      </c>
      <c r="N659" s="34"/>
      <c r="O659" s="34"/>
      <c r="P659" s="34"/>
      <c r="Q659" s="34" t="s">
        <v>33</v>
      </c>
      <c r="R659" s="34" t="s">
        <v>94</v>
      </c>
      <c r="S659" s="38" t="s">
        <v>35</v>
      </c>
      <c r="T659" s="34" t="s">
        <v>36</v>
      </c>
      <c r="U659" s="39" t="s">
        <v>1686</v>
      </c>
    </row>
    <row r="660" spans="2:21">
      <c r="B660" s="46" t="s">
        <v>47</v>
      </c>
      <c r="C660" s="46" t="s">
        <v>28</v>
      </c>
      <c r="D660" s="47">
        <v>45667</v>
      </c>
      <c r="F660" s="34"/>
      <c r="G660" s="46"/>
      <c r="H660" s="34"/>
      <c r="I660" s="34"/>
      <c r="K660" s="39">
        <v>1839522</v>
      </c>
      <c r="L660" s="16" t="s">
        <v>1803</v>
      </c>
      <c r="M660" s="34" t="s">
        <v>31</v>
      </c>
      <c r="N660" s="34"/>
      <c r="O660" s="34"/>
      <c r="P660" s="34"/>
      <c r="Q660" s="34" t="s">
        <v>33</v>
      </c>
      <c r="R660" s="34" t="s">
        <v>94</v>
      </c>
      <c r="S660" s="38" t="s">
        <v>35</v>
      </c>
      <c r="T660" s="34" t="s">
        <v>36</v>
      </c>
      <c r="U660" s="39" t="s">
        <v>1686</v>
      </c>
    </row>
    <row r="661" spans="2:21">
      <c r="B661" s="46" t="s">
        <v>47</v>
      </c>
      <c r="C661" s="46" t="s">
        <v>28</v>
      </c>
      <c r="D661" s="47">
        <v>45667</v>
      </c>
      <c r="F661" s="34"/>
      <c r="G661" s="46"/>
      <c r="H661" s="34"/>
      <c r="I661" s="34"/>
      <c r="K661" s="39">
        <v>2663101</v>
      </c>
      <c r="L661" s="16" t="s">
        <v>1804</v>
      </c>
      <c r="M661" s="34" t="s">
        <v>31</v>
      </c>
      <c r="N661" s="34"/>
      <c r="O661" s="34"/>
      <c r="P661" s="34"/>
      <c r="Q661" s="34" t="s">
        <v>33</v>
      </c>
      <c r="R661" s="34" t="s">
        <v>94</v>
      </c>
      <c r="S661" s="38" t="s">
        <v>35</v>
      </c>
      <c r="T661" s="34" t="s">
        <v>36</v>
      </c>
      <c r="U661" s="39" t="s">
        <v>1686</v>
      </c>
    </row>
    <row r="662" spans="2:21">
      <c r="B662" s="46" t="s">
        <v>47</v>
      </c>
      <c r="C662" s="46" t="s">
        <v>28</v>
      </c>
      <c r="D662" s="47">
        <v>45667</v>
      </c>
      <c r="F662" s="34"/>
      <c r="G662" s="46"/>
      <c r="H662" s="34"/>
      <c r="I662" s="34"/>
      <c r="K662" s="39">
        <v>2663102</v>
      </c>
      <c r="L662" s="16" t="s">
        <v>1805</v>
      </c>
      <c r="M662" s="34" t="s">
        <v>31</v>
      </c>
      <c r="N662" s="34"/>
      <c r="O662" s="34"/>
      <c r="P662" s="34"/>
      <c r="Q662" s="34" t="s">
        <v>33</v>
      </c>
      <c r="R662" s="34" t="s">
        <v>94</v>
      </c>
      <c r="S662" s="38" t="s">
        <v>35</v>
      </c>
      <c r="T662" s="34" t="s">
        <v>36</v>
      </c>
      <c r="U662" s="39" t="s">
        <v>1686</v>
      </c>
    </row>
    <row r="663" spans="2:21">
      <c r="B663" s="46" t="s">
        <v>47</v>
      </c>
      <c r="C663" s="46" t="s">
        <v>28</v>
      </c>
      <c r="D663" s="47">
        <v>45667</v>
      </c>
      <c r="F663" s="34"/>
      <c r="G663" s="46"/>
      <c r="H663" s="34"/>
      <c r="I663" s="34"/>
      <c r="K663" s="39">
        <v>2663002</v>
      </c>
      <c r="L663" s="16" t="s">
        <v>1806</v>
      </c>
      <c r="M663" s="34" t="s">
        <v>31</v>
      </c>
      <c r="N663" s="34"/>
      <c r="O663" s="34"/>
      <c r="P663" s="34"/>
      <c r="Q663" s="34" t="s">
        <v>33</v>
      </c>
      <c r="R663" s="34" t="s">
        <v>94</v>
      </c>
      <c r="S663" s="38" t="s">
        <v>35</v>
      </c>
      <c r="T663" s="34" t="s">
        <v>36</v>
      </c>
      <c r="U663" s="39" t="s">
        <v>1686</v>
      </c>
    </row>
    <row r="664" spans="2:21">
      <c r="B664" s="46" t="s">
        <v>47</v>
      </c>
      <c r="C664" s="46" t="s">
        <v>28</v>
      </c>
      <c r="D664" s="47">
        <v>45667</v>
      </c>
      <c r="F664" s="34"/>
      <c r="G664" s="46"/>
      <c r="H664" s="34"/>
      <c r="I664" s="34"/>
      <c r="K664" s="39">
        <v>2663001</v>
      </c>
      <c r="L664" s="16" t="s">
        <v>1807</v>
      </c>
      <c r="M664" s="34" t="s">
        <v>31</v>
      </c>
      <c r="N664" s="34"/>
      <c r="O664" s="34"/>
      <c r="P664" s="34"/>
      <c r="Q664" s="34" t="s">
        <v>33</v>
      </c>
      <c r="R664" s="34" t="s">
        <v>94</v>
      </c>
      <c r="S664" s="38" t="s">
        <v>35</v>
      </c>
      <c r="T664" s="34" t="s">
        <v>36</v>
      </c>
      <c r="U664" s="39" t="s">
        <v>1686</v>
      </c>
    </row>
    <row r="665" spans="2:21">
      <c r="B665" s="46" t="s">
        <v>47</v>
      </c>
      <c r="C665" s="46" t="s">
        <v>28</v>
      </c>
      <c r="D665" s="47">
        <v>45667</v>
      </c>
      <c r="F665" s="34"/>
      <c r="G665" s="46"/>
      <c r="H665" s="34"/>
      <c r="I665" s="34"/>
      <c r="K665" s="39">
        <v>2662902</v>
      </c>
      <c r="L665" s="16" t="s">
        <v>1808</v>
      </c>
      <c r="M665" s="34" t="s">
        <v>31</v>
      </c>
      <c r="N665" s="34"/>
      <c r="O665" s="34"/>
      <c r="P665" s="34"/>
      <c r="Q665" s="34" t="s">
        <v>33</v>
      </c>
      <c r="R665" s="34" t="s">
        <v>94</v>
      </c>
      <c r="S665" s="38" t="s">
        <v>35</v>
      </c>
      <c r="T665" s="34" t="s">
        <v>36</v>
      </c>
      <c r="U665" s="39" t="s">
        <v>1686</v>
      </c>
    </row>
    <row r="666" spans="2:21">
      <c r="B666" s="46" t="s">
        <v>47</v>
      </c>
      <c r="C666" s="46" t="s">
        <v>28</v>
      </c>
      <c r="D666" s="47">
        <v>45667</v>
      </c>
      <c r="F666" s="34"/>
      <c r="G666" s="46"/>
      <c r="H666" s="34"/>
      <c r="I666" s="34"/>
      <c r="K666" s="39">
        <v>2662901</v>
      </c>
      <c r="L666" s="16" t="s">
        <v>1809</v>
      </c>
      <c r="M666" s="34" t="s">
        <v>31</v>
      </c>
      <c r="N666" s="34"/>
      <c r="O666" s="34"/>
      <c r="P666" s="34"/>
      <c r="Q666" s="34" t="s">
        <v>33</v>
      </c>
      <c r="R666" s="34" t="s">
        <v>94</v>
      </c>
      <c r="S666" s="38" t="s">
        <v>35</v>
      </c>
      <c r="T666" s="34" t="s">
        <v>36</v>
      </c>
      <c r="U666" s="39" t="s">
        <v>1686</v>
      </c>
    </row>
    <row r="667" spans="2:21">
      <c r="B667" s="46" t="s">
        <v>47</v>
      </c>
      <c r="C667" s="46" t="s">
        <v>28</v>
      </c>
      <c r="D667" s="47">
        <v>45667</v>
      </c>
      <c r="F667" s="34"/>
      <c r="G667" s="46"/>
      <c r="H667" s="34"/>
      <c r="I667" s="34"/>
      <c r="K667" s="39">
        <v>2625605</v>
      </c>
      <c r="L667" s="16" t="s">
        <v>1810</v>
      </c>
      <c r="M667" s="34" t="s">
        <v>31</v>
      </c>
      <c r="N667" s="34"/>
      <c r="O667" s="34"/>
      <c r="P667" s="34"/>
      <c r="Q667" s="34" t="s">
        <v>33</v>
      </c>
      <c r="R667" s="34" t="s">
        <v>94</v>
      </c>
      <c r="S667" s="38" t="s">
        <v>35</v>
      </c>
      <c r="T667" s="34" t="s">
        <v>36</v>
      </c>
      <c r="U667" s="39" t="s">
        <v>1686</v>
      </c>
    </row>
    <row r="668" spans="2:21">
      <c r="B668" s="46" t="s">
        <v>47</v>
      </c>
      <c r="C668" s="46" t="s">
        <v>28</v>
      </c>
      <c r="D668" s="47">
        <v>45667</v>
      </c>
      <c r="F668" s="34"/>
      <c r="G668" s="46"/>
      <c r="H668" s="34"/>
      <c r="I668" s="34"/>
      <c r="K668" s="39">
        <v>2625606</v>
      </c>
      <c r="L668" s="16" t="s">
        <v>1811</v>
      </c>
      <c r="M668" s="34" t="s">
        <v>31</v>
      </c>
      <c r="N668" s="34"/>
      <c r="O668" s="34"/>
      <c r="P668" s="34"/>
      <c r="Q668" s="34" t="s">
        <v>33</v>
      </c>
      <c r="R668" s="34" t="s">
        <v>94</v>
      </c>
      <c r="S668" s="38" t="s">
        <v>35</v>
      </c>
      <c r="T668" s="34" t="s">
        <v>36</v>
      </c>
      <c r="U668" s="39" t="s">
        <v>1686</v>
      </c>
    </row>
    <row r="669" spans="2:21">
      <c r="B669" s="46" t="s">
        <v>47</v>
      </c>
      <c r="C669" s="46" t="s">
        <v>28</v>
      </c>
      <c r="D669" s="47">
        <v>45681</v>
      </c>
      <c r="F669" s="34"/>
      <c r="G669" s="46"/>
      <c r="H669" s="34"/>
      <c r="I669" s="34"/>
      <c r="K669" s="39">
        <v>1874005</v>
      </c>
      <c r="L669" s="16" t="s">
        <v>1812</v>
      </c>
      <c r="M669" s="34" t="s">
        <v>31</v>
      </c>
      <c r="N669" s="34"/>
      <c r="O669" s="34"/>
      <c r="P669" s="34"/>
      <c r="Q669" s="34" t="s">
        <v>33</v>
      </c>
      <c r="R669" s="34" t="s">
        <v>94</v>
      </c>
      <c r="S669" s="38" t="s">
        <v>35</v>
      </c>
      <c r="T669" s="34" t="s">
        <v>36</v>
      </c>
      <c r="U669" s="39" t="s">
        <v>1686</v>
      </c>
    </row>
    <row r="670" spans="2:21">
      <c r="B670" s="46" t="s">
        <v>47</v>
      </c>
      <c r="C670" s="46" t="s">
        <v>28</v>
      </c>
      <c r="D670" s="47">
        <v>45688</v>
      </c>
      <c r="F670" s="34"/>
      <c r="G670" s="46"/>
      <c r="H670" s="34"/>
      <c r="I670" s="34"/>
      <c r="K670" s="39">
        <v>1595223</v>
      </c>
      <c r="L670" s="16" t="s">
        <v>1813</v>
      </c>
      <c r="M670" s="34" t="s">
        <v>31</v>
      </c>
      <c r="N670" s="34"/>
      <c r="O670" s="34"/>
      <c r="P670" s="34"/>
      <c r="Q670" s="34" t="s">
        <v>33</v>
      </c>
      <c r="R670" s="34" t="s">
        <v>94</v>
      </c>
      <c r="S670" s="38" t="s">
        <v>35</v>
      </c>
      <c r="T670" s="34" t="s">
        <v>36</v>
      </c>
      <c r="U670" s="39" t="s">
        <v>1686</v>
      </c>
    </row>
    <row r="671" spans="2:21">
      <c r="B671" s="46" t="s">
        <v>47</v>
      </c>
      <c r="C671" s="46" t="s">
        <v>28</v>
      </c>
      <c r="D671" s="47">
        <v>45688</v>
      </c>
      <c r="F671" s="34"/>
      <c r="G671" s="46"/>
      <c r="H671" s="34"/>
      <c r="I671" s="34"/>
      <c r="K671" s="39">
        <v>2665801</v>
      </c>
      <c r="L671" s="16" t="s">
        <v>1814</v>
      </c>
      <c r="M671" s="34" t="s">
        <v>31</v>
      </c>
      <c r="N671" s="34"/>
      <c r="O671" s="34"/>
      <c r="P671" s="34"/>
      <c r="Q671" s="34" t="s">
        <v>33</v>
      </c>
      <c r="R671" s="34" t="s">
        <v>94</v>
      </c>
      <c r="S671" s="38" t="s">
        <v>35</v>
      </c>
      <c r="T671" s="34" t="s">
        <v>36</v>
      </c>
      <c r="U671" s="39" t="s">
        <v>1686</v>
      </c>
    </row>
    <row r="672" spans="2:21">
      <c r="B672" s="46" t="s">
        <v>47</v>
      </c>
      <c r="C672" s="46" t="s">
        <v>28</v>
      </c>
      <c r="D672" s="47">
        <v>45695</v>
      </c>
      <c r="F672" s="34"/>
      <c r="G672" s="46"/>
      <c r="H672" s="34"/>
      <c r="I672" s="34"/>
      <c r="K672" s="39">
        <v>2150510</v>
      </c>
      <c r="L672" s="16" t="s">
        <v>1815</v>
      </c>
      <c r="M672" s="34" t="s">
        <v>31</v>
      </c>
      <c r="N672" s="34"/>
      <c r="O672" s="34"/>
      <c r="P672" s="34"/>
      <c r="Q672" s="34" t="s">
        <v>33</v>
      </c>
      <c r="R672" s="34" t="s">
        <v>94</v>
      </c>
      <c r="S672" s="34" t="s">
        <v>35</v>
      </c>
      <c r="T672" s="34" t="s">
        <v>36</v>
      </c>
      <c r="U672" s="39" t="s">
        <v>1686</v>
      </c>
    </row>
    <row r="673" spans="2:21">
      <c r="B673" s="46" t="s">
        <v>47</v>
      </c>
      <c r="C673" s="46" t="s">
        <v>28</v>
      </c>
      <c r="D673" s="47">
        <v>45695</v>
      </c>
      <c r="F673" s="34"/>
      <c r="G673" s="46"/>
      <c r="H673" s="34"/>
      <c r="I673" s="34"/>
      <c r="K673" s="39">
        <v>2655902</v>
      </c>
      <c r="L673" s="16" t="s">
        <v>1816</v>
      </c>
      <c r="M673" s="34" t="s">
        <v>31</v>
      </c>
      <c r="N673" s="34"/>
      <c r="O673" s="34"/>
      <c r="P673" s="34"/>
      <c r="Q673" s="34" t="s">
        <v>33</v>
      </c>
      <c r="R673" s="34" t="s">
        <v>94</v>
      </c>
      <c r="S673" s="34" t="s">
        <v>35</v>
      </c>
      <c r="T673" s="34" t="s">
        <v>36</v>
      </c>
      <c r="U673" s="39" t="s">
        <v>1686</v>
      </c>
    </row>
    <row r="674" spans="2:21">
      <c r="B674" s="46" t="s">
        <v>47</v>
      </c>
      <c r="C674" s="46" t="s">
        <v>28</v>
      </c>
      <c r="D674" s="47">
        <v>45695</v>
      </c>
      <c r="F674" s="34"/>
      <c r="G674" s="46"/>
      <c r="H674" s="34"/>
      <c r="I674" s="34"/>
      <c r="K674" s="39">
        <v>2655901</v>
      </c>
      <c r="L674" s="16" t="s">
        <v>1817</v>
      </c>
      <c r="M674" s="34" t="s">
        <v>31</v>
      </c>
      <c r="N674" s="34"/>
      <c r="O674" s="34"/>
      <c r="P674" s="34"/>
      <c r="Q674" s="34" t="s">
        <v>33</v>
      </c>
      <c r="R674" s="34" t="s">
        <v>94</v>
      </c>
      <c r="S674" s="34" t="s">
        <v>35</v>
      </c>
      <c r="T674" s="34" t="s">
        <v>36</v>
      </c>
      <c r="U674" s="39" t="s">
        <v>1686</v>
      </c>
    </row>
    <row r="675" spans="2:21">
      <c r="B675" s="46" t="s">
        <v>47</v>
      </c>
      <c r="C675" s="46" t="s">
        <v>28</v>
      </c>
      <c r="D675" s="47">
        <v>45695</v>
      </c>
      <c r="F675" s="34"/>
      <c r="G675" s="46"/>
      <c r="H675" s="34"/>
      <c r="I675" s="34"/>
      <c r="K675" s="39">
        <v>2667501</v>
      </c>
      <c r="L675" s="16" t="s">
        <v>1818</v>
      </c>
      <c r="M675" s="34" t="s">
        <v>31</v>
      </c>
      <c r="N675" s="34"/>
      <c r="O675" s="34"/>
      <c r="P675" s="34"/>
      <c r="Q675" s="34" t="s">
        <v>33</v>
      </c>
      <c r="R675" s="34" t="s">
        <v>94</v>
      </c>
      <c r="S675" s="34" t="s">
        <v>35</v>
      </c>
      <c r="T675" s="34" t="s">
        <v>36</v>
      </c>
      <c r="U675" s="39" t="s">
        <v>1686</v>
      </c>
    </row>
    <row r="676" spans="2:21">
      <c r="B676" s="46" t="s">
        <v>47</v>
      </c>
      <c r="C676" s="46" t="s">
        <v>28</v>
      </c>
      <c r="D676" s="47">
        <v>45695</v>
      </c>
      <c r="F676" s="34"/>
      <c r="G676" s="46"/>
      <c r="H676" s="34"/>
      <c r="I676" s="34"/>
      <c r="K676" s="39">
        <v>2667402</v>
      </c>
      <c r="L676" s="16" t="s">
        <v>1819</v>
      </c>
      <c r="M676" s="34" t="s">
        <v>31</v>
      </c>
      <c r="N676" s="34"/>
      <c r="O676" s="34"/>
      <c r="P676" s="34"/>
      <c r="Q676" s="34" t="s">
        <v>33</v>
      </c>
      <c r="R676" s="34" t="s">
        <v>94</v>
      </c>
      <c r="S676" s="34" t="s">
        <v>35</v>
      </c>
      <c r="T676" s="34" t="s">
        <v>36</v>
      </c>
      <c r="U676" s="39" t="s">
        <v>1686</v>
      </c>
    </row>
    <row r="677" spans="2:21">
      <c r="B677" s="46" t="s">
        <v>47</v>
      </c>
      <c r="C677" s="46" t="s">
        <v>28</v>
      </c>
      <c r="D677" s="47">
        <v>45695</v>
      </c>
      <c r="F677" s="34"/>
      <c r="G677" s="46"/>
      <c r="H677" s="34"/>
      <c r="I677" s="34"/>
      <c r="K677" s="39">
        <v>2667401</v>
      </c>
      <c r="L677" s="16" t="s">
        <v>1820</v>
      </c>
      <c r="M677" s="34" t="s">
        <v>31</v>
      </c>
      <c r="N677" s="34"/>
      <c r="O677" s="34"/>
      <c r="P677" s="34"/>
      <c r="Q677" s="34" t="s">
        <v>33</v>
      </c>
      <c r="R677" s="34" t="s">
        <v>94</v>
      </c>
      <c r="S677" s="34" t="s">
        <v>35</v>
      </c>
      <c r="T677" s="34" t="s">
        <v>36</v>
      </c>
      <c r="U677" s="39" t="s">
        <v>1686</v>
      </c>
    </row>
    <row r="678" spans="2:21">
      <c r="B678" s="46" t="s">
        <v>47</v>
      </c>
      <c r="C678" s="46" t="s">
        <v>28</v>
      </c>
      <c r="D678" s="47">
        <v>45695</v>
      </c>
      <c r="F678" s="34"/>
      <c r="G678" s="46"/>
      <c r="H678" s="34"/>
      <c r="I678" s="34"/>
      <c r="K678" s="39">
        <v>2109317</v>
      </c>
      <c r="L678" s="16" t="s">
        <v>1821</v>
      </c>
      <c r="M678" s="34" t="s">
        <v>31</v>
      </c>
      <c r="N678" s="34"/>
      <c r="O678" s="34"/>
      <c r="P678" s="34"/>
      <c r="Q678" s="34" t="s">
        <v>33</v>
      </c>
      <c r="R678" s="34" t="s">
        <v>94</v>
      </c>
      <c r="S678" s="34" t="s">
        <v>35</v>
      </c>
      <c r="T678" s="34" t="s">
        <v>36</v>
      </c>
      <c r="U678" s="39" t="s">
        <v>1686</v>
      </c>
    </row>
    <row r="679" spans="2:21">
      <c r="B679" s="46" t="s">
        <v>47</v>
      </c>
      <c r="C679" s="46" t="s">
        <v>28</v>
      </c>
      <c r="D679" s="47">
        <v>45695</v>
      </c>
      <c r="F679" s="34"/>
      <c r="G679" s="46"/>
      <c r="H679" s="34"/>
      <c r="I679" s="34"/>
      <c r="K679" s="39">
        <v>2109318</v>
      </c>
      <c r="L679" s="16" t="s">
        <v>1822</v>
      </c>
      <c r="M679" s="34" t="s">
        <v>31</v>
      </c>
      <c r="N679" s="34"/>
      <c r="O679" s="34"/>
      <c r="P679" s="34"/>
      <c r="Q679" s="34" t="s">
        <v>33</v>
      </c>
      <c r="R679" s="34" t="s">
        <v>94</v>
      </c>
      <c r="S679" s="34" t="s">
        <v>35</v>
      </c>
      <c r="T679" s="34" t="s">
        <v>36</v>
      </c>
      <c r="U679" s="39" t="s">
        <v>1686</v>
      </c>
    </row>
    <row r="680" spans="2:21">
      <c r="B680" s="46" t="s">
        <v>47</v>
      </c>
      <c r="C680" s="46" t="s">
        <v>28</v>
      </c>
      <c r="D680" s="47">
        <v>45702</v>
      </c>
      <c r="F680" s="34"/>
      <c r="G680" s="46"/>
      <c r="H680" s="34"/>
      <c r="I680" s="34"/>
      <c r="K680" s="39">
        <v>2494706</v>
      </c>
      <c r="L680" s="16" t="s">
        <v>1823</v>
      </c>
      <c r="M680" s="34" t="s">
        <v>31</v>
      </c>
      <c r="N680" s="34"/>
      <c r="O680" s="34"/>
      <c r="P680" s="34"/>
      <c r="Q680" s="34" t="s">
        <v>33</v>
      </c>
      <c r="R680" s="34" t="s">
        <v>94</v>
      </c>
      <c r="S680" s="34" t="s">
        <v>35</v>
      </c>
      <c r="T680" s="34" t="s">
        <v>36</v>
      </c>
      <c r="U680" s="39" t="s">
        <v>1686</v>
      </c>
    </row>
    <row r="681" spans="2:21">
      <c r="B681" s="46" t="s">
        <v>47</v>
      </c>
      <c r="C681" s="46" t="s">
        <v>28</v>
      </c>
      <c r="D681" s="47">
        <v>45709</v>
      </c>
      <c r="F681" s="34"/>
      <c r="G681" s="46"/>
      <c r="H681" s="34"/>
      <c r="I681" s="34"/>
      <c r="K681" s="39">
        <v>2669701</v>
      </c>
      <c r="L681" s="16" t="s">
        <v>1824</v>
      </c>
      <c r="M681" s="34" t="s">
        <v>31</v>
      </c>
      <c r="N681" s="34"/>
      <c r="O681" s="34"/>
      <c r="P681" s="34"/>
      <c r="Q681" s="34" t="s">
        <v>33</v>
      </c>
      <c r="R681" s="34" t="s">
        <v>94</v>
      </c>
      <c r="S681" s="34" t="s">
        <v>35</v>
      </c>
      <c r="T681" s="34" t="s">
        <v>36</v>
      </c>
      <c r="U681" s="39" t="s">
        <v>1686</v>
      </c>
    </row>
    <row r="682" spans="2:21">
      <c r="B682" s="46" t="s">
        <v>47</v>
      </c>
      <c r="C682" s="46" t="s">
        <v>28</v>
      </c>
      <c r="D682" s="47">
        <v>45709</v>
      </c>
      <c r="F682" s="34"/>
      <c r="G682" s="46"/>
      <c r="H682" s="34"/>
      <c r="I682" s="34"/>
      <c r="K682" s="39">
        <v>2669702</v>
      </c>
      <c r="L682" s="16" t="s">
        <v>1825</v>
      </c>
      <c r="M682" s="34" t="s">
        <v>31</v>
      </c>
      <c r="N682" s="34"/>
      <c r="O682" s="34"/>
      <c r="P682" s="34"/>
      <c r="Q682" s="34" t="s">
        <v>33</v>
      </c>
      <c r="R682" s="34" t="s">
        <v>94</v>
      </c>
      <c r="S682" s="34" t="s">
        <v>35</v>
      </c>
      <c r="T682" s="34" t="s">
        <v>36</v>
      </c>
      <c r="U682" s="39" t="s">
        <v>1686</v>
      </c>
    </row>
    <row r="683" spans="2:21">
      <c r="B683" s="46" t="s">
        <v>47</v>
      </c>
      <c r="C683" s="46" t="s">
        <v>28</v>
      </c>
      <c r="D683" s="47">
        <v>45709</v>
      </c>
      <c r="F683" s="34"/>
      <c r="G683" s="46"/>
      <c r="H683" s="34"/>
      <c r="I683" s="34"/>
      <c r="K683" s="39">
        <v>2669401</v>
      </c>
      <c r="L683" s="16" t="s">
        <v>1826</v>
      </c>
      <c r="M683" s="34" t="s">
        <v>31</v>
      </c>
      <c r="N683" s="34"/>
      <c r="O683" s="34"/>
      <c r="P683" s="34"/>
      <c r="Q683" s="34" t="s">
        <v>33</v>
      </c>
      <c r="R683" s="34" t="s">
        <v>94</v>
      </c>
      <c r="S683" s="34" t="s">
        <v>35</v>
      </c>
      <c r="T683" s="34" t="s">
        <v>36</v>
      </c>
      <c r="U683" s="39" t="s">
        <v>1686</v>
      </c>
    </row>
    <row r="684" spans="2:21">
      <c r="B684" s="46" t="s">
        <v>47</v>
      </c>
      <c r="C684" s="46" t="s">
        <v>28</v>
      </c>
      <c r="D684" s="47">
        <v>45709</v>
      </c>
      <c r="F684" s="34"/>
      <c r="G684" s="46"/>
      <c r="H684" s="34"/>
      <c r="I684" s="34"/>
      <c r="K684" s="39">
        <v>2669402</v>
      </c>
      <c r="L684" s="16" t="s">
        <v>1827</v>
      </c>
      <c r="M684" s="34" t="s">
        <v>31</v>
      </c>
      <c r="N684" s="34"/>
      <c r="O684" s="34"/>
      <c r="P684" s="34"/>
      <c r="Q684" s="34" t="s">
        <v>33</v>
      </c>
      <c r="R684" s="34" t="s">
        <v>94</v>
      </c>
      <c r="S684" s="34" t="s">
        <v>35</v>
      </c>
      <c r="T684" s="34" t="s">
        <v>36</v>
      </c>
      <c r="U684" s="39" t="s">
        <v>1686</v>
      </c>
    </row>
    <row r="685" spans="2:21">
      <c r="B685" s="46" t="s">
        <v>47</v>
      </c>
      <c r="C685" s="46" t="s">
        <v>28</v>
      </c>
      <c r="D685" s="47">
        <v>45709</v>
      </c>
      <c r="F685" s="34"/>
      <c r="G685" s="46"/>
      <c r="H685" s="34"/>
      <c r="I685" s="34"/>
      <c r="K685" s="39">
        <v>2669502</v>
      </c>
      <c r="L685" s="16" t="s">
        <v>1828</v>
      </c>
      <c r="M685" s="34" t="s">
        <v>31</v>
      </c>
      <c r="N685" s="34"/>
      <c r="O685" s="34"/>
      <c r="P685" s="34"/>
      <c r="Q685" s="34" t="s">
        <v>33</v>
      </c>
      <c r="R685" s="34" t="s">
        <v>94</v>
      </c>
      <c r="S685" s="34" t="s">
        <v>35</v>
      </c>
      <c r="T685" s="34" t="s">
        <v>36</v>
      </c>
      <c r="U685" s="39" t="s">
        <v>1686</v>
      </c>
    </row>
    <row r="686" spans="2:21">
      <c r="B686" s="46" t="s">
        <v>47</v>
      </c>
      <c r="C686" s="46" t="s">
        <v>28</v>
      </c>
      <c r="D686" s="47">
        <v>45709</v>
      </c>
      <c r="F686" s="34"/>
      <c r="G686" s="46"/>
      <c r="H686" s="34"/>
      <c r="I686" s="34"/>
      <c r="K686" s="39">
        <v>2669501</v>
      </c>
      <c r="L686" s="16" t="s">
        <v>1829</v>
      </c>
      <c r="M686" s="34" t="s">
        <v>31</v>
      </c>
      <c r="N686" s="34"/>
      <c r="O686" s="34"/>
      <c r="P686" s="34"/>
      <c r="Q686" s="34" t="s">
        <v>33</v>
      </c>
      <c r="R686" s="34" t="s">
        <v>94</v>
      </c>
      <c r="S686" s="34" t="s">
        <v>35</v>
      </c>
      <c r="T686" s="34" t="s">
        <v>36</v>
      </c>
      <c r="U686" s="39" t="s">
        <v>1686</v>
      </c>
    </row>
    <row r="687" spans="2:21">
      <c r="B687" s="46" t="s">
        <v>47</v>
      </c>
      <c r="C687" s="46" t="s">
        <v>28</v>
      </c>
      <c r="D687" s="47">
        <v>45709</v>
      </c>
      <c r="F687" s="34"/>
      <c r="G687" s="46"/>
      <c r="H687" s="34"/>
      <c r="I687" s="34"/>
      <c r="K687" s="39">
        <v>2669602</v>
      </c>
      <c r="L687" s="16" t="s">
        <v>1830</v>
      </c>
      <c r="M687" s="34" t="s">
        <v>31</v>
      </c>
      <c r="N687" s="34"/>
      <c r="O687" s="34"/>
      <c r="P687" s="34"/>
      <c r="Q687" s="34" t="s">
        <v>33</v>
      </c>
      <c r="R687" s="34" t="s">
        <v>94</v>
      </c>
      <c r="S687" s="34" t="s">
        <v>35</v>
      </c>
      <c r="T687" s="34" t="s">
        <v>36</v>
      </c>
      <c r="U687" s="39" t="s">
        <v>1686</v>
      </c>
    </row>
    <row r="688" spans="2:21">
      <c r="B688" s="46" t="s">
        <v>47</v>
      </c>
      <c r="C688" s="46" t="s">
        <v>28</v>
      </c>
      <c r="D688" s="47">
        <v>45709</v>
      </c>
      <c r="F688" s="34"/>
      <c r="G688" s="46"/>
      <c r="H688" s="34"/>
      <c r="I688" s="34"/>
      <c r="K688" s="39">
        <v>2669601</v>
      </c>
      <c r="L688" s="16" t="s">
        <v>1831</v>
      </c>
      <c r="M688" s="34" t="s">
        <v>31</v>
      </c>
      <c r="N688" s="34"/>
      <c r="O688" s="34"/>
      <c r="P688" s="34"/>
      <c r="Q688" s="34" t="s">
        <v>33</v>
      </c>
      <c r="R688" s="34" t="s">
        <v>94</v>
      </c>
      <c r="S688" s="34" t="s">
        <v>35</v>
      </c>
      <c r="T688" s="34" t="s">
        <v>36</v>
      </c>
      <c r="U688" s="39" t="s">
        <v>1686</v>
      </c>
    </row>
    <row r="689" spans="2:21">
      <c r="B689" s="46" t="s">
        <v>47</v>
      </c>
      <c r="C689" s="46" t="s">
        <v>28</v>
      </c>
      <c r="D689" s="47">
        <v>45709</v>
      </c>
      <c r="F689" s="34"/>
      <c r="G689" s="46"/>
      <c r="H689" s="34"/>
      <c r="I689" s="34"/>
      <c r="K689" s="39">
        <v>2667404</v>
      </c>
      <c r="L689" s="16" t="s">
        <v>1832</v>
      </c>
      <c r="M689" s="34" t="s">
        <v>31</v>
      </c>
      <c r="N689" s="34"/>
      <c r="O689" s="34"/>
      <c r="P689" s="34"/>
      <c r="Q689" s="34" t="s">
        <v>33</v>
      </c>
      <c r="R689" s="34" t="s">
        <v>94</v>
      </c>
      <c r="S689" s="34" t="s">
        <v>35</v>
      </c>
      <c r="T689" s="34" t="s">
        <v>36</v>
      </c>
      <c r="U689" s="39" t="s">
        <v>1686</v>
      </c>
    </row>
    <row r="690" spans="2:21">
      <c r="B690" s="46" t="s">
        <v>47</v>
      </c>
      <c r="C690" s="46" t="s">
        <v>28</v>
      </c>
      <c r="D690" s="47">
        <v>45709</v>
      </c>
      <c r="F690" s="34"/>
      <c r="G690" s="46"/>
      <c r="H690" s="34"/>
      <c r="I690" s="34"/>
      <c r="K690" s="39">
        <v>2667403</v>
      </c>
      <c r="L690" s="16" t="s">
        <v>1833</v>
      </c>
      <c r="M690" s="34" t="s">
        <v>31</v>
      </c>
      <c r="N690" s="34"/>
      <c r="O690" s="34"/>
      <c r="P690" s="34"/>
      <c r="Q690" s="34" t="s">
        <v>33</v>
      </c>
      <c r="R690" s="34" t="s">
        <v>94</v>
      </c>
      <c r="S690" s="34" t="s">
        <v>35</v>
      </c>
      <c r="T690" s="34" t="s">
        <v>36</v>
      </c>
      <c r="U690" s="39" t="s">
        <v>1686</v>
      </c>
    </row>
    <row r="691" spans="2:21">
      <c r="B691" s="46" t="s">
        <v>47</v>
      </c>
      <c r="C691" s="46" t="s">
        <v>28</v>
      </c>
      <c r="D691" s="47">
        <v>45709</v>
      </c>
      <c r="F691" s="34"/>
      <c r="G691" s="46"/>
      <c r="H691" s="34"/>
      <c r="I691" s="34"/>
      <c r="K691" s="39">
        <v>2306605</v>
      </c>
      <c r="L691" s="16" t="s">
        <v>1834</v>
      </c>
      <c r="M691" s="34" t="s">
        <v>31</v>
      </c>
      <c r="N691" s="34"/>
      <c r="O691" s="34"/>
      <c r="P691" s="34"/>
      <c r="Q691" s="34" t="s">
        <v>33</v>
      </c>
      <c r="R691" s="34" t="s">
        <v>94</v>
      </c>
      <c r="S691" s="34" t="s">
        <v>35</v>
      </c>
      <c r="T691" s="34" t="s">
        <v>36</v>
      </c>
      <c r="U691" s="39" t="s">
        <v>1686</v>
      </c>
    </row>
    <row r="692" spans="2:21">
      <c r="B692" s="46" t="s">
        <v>47</v>
      </c>
      <c r="C692" s="46" t="s">
        <v>28</v>
      </c>
      <c r="D692" s="47">
        <v>45709</v>
      </c>
      <c r="F692" s="34"/>
      <c r="G692" s="46"/>
      <c r="H692" s="34"/>
      <c r="I692" s="34"/>
      <c r="K692" s="39">
        <v>2600302</v>
      </c>
      <c r="L692" s="16" t="s">
        <v>1835</v>
      </c>
      <c r="M692" s="34" t="s">
        <v>31</v>
      </c>
      <c r="N692" s="34"/>
      <c r="O692" s="34"/>
      <c r="P692" s="34"/>
      <c r="Q692" s="34" t="s">
        <v>33</v>
      </c>
      <c r="R692" s="34" t="s">
        <v>94</v>
      </c>
      <c r="S692" s="34" t="s">
        <v>35</v>
      </c>
      <c r="T692" s="34" t="s">
        <v>36</v>
      </c>
      <c r="U692" s="39" t="s">
        <v>1686</v>
      </c>
    </row>
    <row r="693" spans="2:21">
      <c r="B693" s="46" t="s">
        <v>47</v>
      </c>
      <c r="C693" s="46" t="s">
        <v>28</v>
      </c>
      <c r="D693" s="47">
        <v>45709</v>
      </c>
      <c r="F693" s="34"/>
      <c r="G693" s="46"/>
      <c r="H693" s="34"/>
      <c r="I693" s="34"/>
      <c r="K693" s="39">
        <v>2672001</v>
      </c>
      <c r="L693" s="16" t="s">
        <v>1836</v>
      </c>
      <c r="M693" s="34" t="s">
        <v>31</v>
      </c>
      <c r="N693" s="34"/>
      <c r="O693" s="34"/>
      <c r="P693" s="34"/>
      <c r="Q693" s="34" t="s">
        <v>33</v>
      </c>
      <c r="R693" s="34" t="s">
        <v>94</v>
      </c>
      <c r="S693" s="34" t="s">
        <v>35</v>
      </c>
      <c r="T693" s="34" t="s">
        <v>36</v>
      </c>
      <c r="U693" s="34"/>
    </row>
    <row r="694" spans="2:21">
      <c r="B694" s="46" t="s">
        <v>47</v>
      </c>
      <c r="C694" s="46" t="s">
        <v>28</v>
      </c>
      <c r="D694" s="47">
        <v>45709</v>
      </c>
      <c r="F694" s="34"/>
      <c r="G694" s="46"/>
      <c r="H694" s="34"/>
      <c r="I694" s="34"/>
      <c r="K694" s="39">
        <v>2671901</v>
      </c>
      <c r="L694" s="16" t="s">
        <v>1837</v>
      </c>
      <c r="M694" s="34" t="s">
        <v>31</v>
      </c>
      <c r="N694" s="34"/>
      <c r="O694" s="34"/>
      <c r="P694" s="34"/>
      <c r="Q694" s="34" t="s">
        <v>33</v>
      </c>
      <c r="R694" s="34" t="s">
        <v>94</v>
      </c>
      <c r="S694" s="34" t="s">
        <v>35</v>
      </c>
      <c r="T694" s="34" t="s">
        <v>36</v>
      </c>
      <c r="U694" s="34"/>
    </row>
    <row r="695" spans="2:21">
      <c r="B695" s="46" t="s">
        <v>47</v>
      </c>
      <c r="C695" s="46" t="s">
        <v>28</v>
      </c>
      <c r="D695" s="47">
        <v>45723</v>
      </c>
      <c r="F695" s="34"/>
      <c r="G695" s="46"/>
      <c r="H695" s="34"/>
      <c r="I695" s="34"/>
      <c r="K695" s="39">
        <v>2154808</v>
      </c>
      <c r="L695" s="16" t="s">
        <v>1838</v>
      </c>
      <c r="M695" s="34" t="s">
        <v>31</v>
      </c>
      <c r="N695" s="34"/>
      <c r="O695" s="34"/>
      <c r="P695" s="34"/>
      <c r="Q695" s="34" t="s">
        <v>33</v>
      </c>
      <c r="R695" s="34" t="s">
        <v>94</v>
      </c>
      <c r="S695" s="34" t="s">
        <v>35</v>
      </c>
      <c r="T695" s="34" t="s">
        <v>36</v>
      </c>
      <c r="U695" s="39" t="s">
        <v>1686</v>
      </c>
    </row>
    <row r="696" spans="2:21">
      <c r="B696" s="46" t="s">
        <v>47</v>
      </c>
      <c r="C696" s="46" t="s">
        <v>28</v>
      </c>
      <c r="D696" s="47">
        <v>45723</v>
      </c>
      <c r="F696" s="34"/>
      <c r="G696" s="46"/>
      <c r="H696" s="34"/>
      <c r="I696" s="34"/>
      <c r="K696" s="39">
        <v>2154807</v>
      </c>
      <c r="L696" s="16" t="s">
        <v>1839</v>
      </c>
      <c r="M696" s="34" t="s">
        <v>31</v>
      </c>
      <c r="N696" s="34"/>
      <c r="O696" s="34"/>
      <c r="P696" s="34"/>
      <c r="Q696" s="34" t="s">
        <v>33</v>
      </c>
      <c r="R696" s="34" t="s">
        <v>94</v>
      </c>
      <c r="S696" s="34" t="s">
        <v>35</v>
      </c>
      <c r="T696" s="34" t="s">
        <v>36</v>
      </c>
      <c r="U696" s="39" t="s">
        <v>1686</v>
      </c>
    </row>
    <row r="697" spans="2:21">
      <c r="B697" s="46" t="s">
        <v>47</v>
      </c>
      <c r="C697" s="46" t="s">
        <v>28</v>
      </c>
      <c r="D697" s="47">
        <v>45723</v>
      </c>
      <c r="F697" s="34"/>
      <c r="G697" s="46"/>
      <c r="H697" s="34"/>
      <c r="I697" s="34"/>
      <c r="K697" s="39">
        <v>2114018</v>
      </c>
      <c r="L697" s="16" t="s">
        <v>1840</v>
      </c>
      <c r="M697" s="34" t="s">
        <v>31</v>
      </c>
      <c r="N697" s="34"/>
      <c r="O697" s="34"/>
      <c r="P697" s="34"/>
      <c r="Q697" s="34" t="s">
        <v>33</v>
      </c>
      <c r="R697" s="34" t="s">
        <v>94</v>
      </c>
      <c r="S697" s="34" t="s">
        <v>35</v>
      </c>
      <c r="T697" s="34" t="s">
        <v>36</v>
      </c>
      <c r="U697" s="39" t="s">
        <v>1686</v>
      </c>
    </row>
    <row r="698" spans="2:21">
      <c r="B698" s="46" t="s">
        <v>47</v>
      </c>
      <c r="C698" s="46" t="s">
        <v>28</v>
      </c>
      <c r="D698" s="47">
        <v>45723</v>
      </c>
      <c r="F698" s="34"/>
      <c r="G698" s="46"/>
      <c r="H698" s="34"/>
      <c r="I698" s="34"/>
      <c r="K698" s="39">
        <v>2114017</v>
      </c>
      <c r="L698" s="16" t="s">
        <v>1841</v>
      </c>
      <c r="M698" s="34" t="s">
        <v>31</v>
      </c>
      <c r="N698" s="34"/>
      <c r="O698" s="34"/>
      <c r="P698" s="34"/>
      <c r="Q698" s="34" t="s">
        <v>33</v>
      </c>
      <c r="R698" s="34" t="s">
        <v>94</v>
      </c>
      <c r="S698" s="34" t="s">
        <v>35</v>
      </c>
      <c r="T698" s="34" t="s">
        <v>36</v>
      </c>
      <c r="U698" s="39" t="s">
        <v>1686</v>
      </c>
    </row>
    <row r="699" spans="2:21">
      <c r="B699" s="46" t="s">
        <v>47</v>
      </c>
      <c r="C699" s="46" t="s">
        <v>28</v>
      </c>
      <c r="D699" s="47">
        <v>45730</v>
      </c>
      <c r="F699" s="34"/>
      <c r="G699" s="46"/>
      <c r="H699" s="34"/>
      <c r="I699" s="34"/>
      <c r="K699" s="39">
        <v>1318217</v>
      </c>
      <c r="L699" s="16" t="s">
        <v>1842</v>
      </c>
      <c r="M699" s="34" t="s">
        <v>31</v>
      </c>
      <c r="N699" s="34"/>
      <c r="O699" s="34"/>
      <c r="P699" s="34"/>
      <c r="Q699" s="34" t="s">
        <v>33</v>
      </c>
      <c r="R699" s="34" t="s">
        <v>94</v>
      </c>
      <c r="S699" s="34" t="s">
        <v>35</v>
      </c>
      <c r="T699" s="34" t="s">
        <v>36</v>
      </c>
      <c r="U699" s="39" t="s">
        <v>1686</v>
      </c>
    </row>
    <row r="700" spans="2:21">
      <c r="B700" s="46" t="s">
        <v>47</v>
      </c>
      <c r="C700" s="46" t="s">
        <v>28</v>
      </c>
      <c r="D700" s="47">
        <v>45730</v>
      </c>
      <c r="F700" s="34"/>
      <c r="G700" s="46"/>
      <c r="H700" s="34"/>
      <c r="I700" s="34"/>
      <c r="K700" s="39">
        <v>1318216</v>
      </c>
      <c r="L700" s="16" t="s">
        <v>1843</v>
      </c>
      <c r="M700" s="34" t="s">
        <v>31</v>
      </c>
      <c r="N700" s="34"/>
      <c r="O700" s="34"/>
      <c r="P700" s="34"/>
      <c r="Q700" s="34" t="s">
        <v>33</v>
      </c>
      <c r="R700" s="34" t="s">
        <v>94</v>
      </c>
      <c r="S700" s="34" t="s">
        <v>35</v>
      </c>
      <c r="T700" s="34" t="s">
        <v>36</v>
      </c>
      <c r="U700" s="39" t="s">
        <v>1686</v>
      </c>
    </row>
    <row r="701" spans="2:21">
      <c r="B701" s="46" t="s">
        <v>47</v>
      </c>
      <c r="C701" s="46" t="s">
        <v>28</v>
      </c>
      <c r="D701" s="47">
        <v>45730</v>
      </c>
      <c r="F701" s="34"/>
      <c r="G701" s="46"/>
      <c r="H701" s="34"/>
      <c r="I701" s="34"/>
      <c r="K701" s="39">
        <v>2674001</v>
      </c>
      <c r="L701" s="16" t="s">
        <v>1844</v>
      </c>
      <c r="M701" s="34" t="s">
        <v>31</v>
      </c>
      <c r="N701" s="34"/>
      <c r="O701" s="34"/>
      <c r="P701" s="34"/>
      <c r="Q701" s="34" t="s">
        <v>33</v>
      </c>
      <c r="R701" s="34" t="s">
        <v>94</v>
      </c>
      <c r="S701" s="34" t="s">
        <v>35</v>
      </c>
      <c r="T701" s="34" t="s">
        <v>36</v>
      </c>
      <c r="U701" s="39" t="s">
        <v>1686</v>
      </c>
    </row>
    <row r="702" spans="2:21">
      <c r="B702" s="46" t="s">
        <v>47</v>
      </c>
      <c r="C702" s="46" t="s">
        <v>28</v>
      </c>
      <c r="D702" s="47">
        <v>45730</v>
      </c>
      <c r="F702" s="34"/>
      <c r="G702" s="46"/>
      <c r="H702" s="34"/>
      <c r="I702" s="34"/>
      <c r="K702" s="39">
        <v>2674002</v>
      </c>
      <c r="L702" s="16" t="s">
        <v>1845</v>
      </c>
      <c r="M702" s="34" t="s">
        <v>31</v>
      </c>
      <c r="N702" s="34"/>
      <c r="O702" s="34"/>
      <c r="P702" s="34"/>
      <c r="Q702" s="34" t="s">
        <v>33</v>
      </c>
      <c r="R702" s="34" t="s">
        <v>94</v>
      </c>
      <c r="S702" s="34" t="s">
        <v>35</v>
      </c>
      <c r="T702" s="34" t="s">
        <v>36</v>
      </c>
      <c r="U702" s="39" t="s">
        <v>1686</v>
      </c>
    </row>
    <row r="703" spans="2:21">
      <c r="B703" s="46" t="s">
        <v>47</v>
      </c>
      <c r="C703" s="46" t="s">
        <v>28</v>
      </c>
      <c r="D703" s="47">
        <v>45730</v>
      </c>
      <c r="F703" s="34"/>
      <c r="G703" s="46"/>
      <c r="H703" s="34"/>
      <c r="I703" s="34"/>
      <c r="K703" s="39">
        <v>1637414</v>
      </c>
      <c r="L703" s="16" t="s">
        <v>1846</v>
      </c>
      <c r="M703" s="34" t="s">
        <v>31</v>
      </c>
      <c r="N703" s="34"/>
      <c r="O703" s="34"/>
      <c r="P703" s="34"/>
      <c r="Q703" s="34" t="s">
        <v>33</v>
      </c>
      <c r="R703" s="34" t="s">
        <v>94</v>
      </c>
      <c r="S703" s="34" t="s">
        <v>35</v>
      </c>
      <c r="T703" s="34" t="s">
        <v>36</v>
      </c>
      <c r="U703" s="39" t="s">
        <v>1686</v>
      </c>
    </row>
    <row r="704" spans="2:21">
      <c r="B704" s="46" t="s">
        <v>47</v>
      </c>
      <c r="C704" s="46" t="s">
        <v>28</v>
      </c>
      <c r="D704" s="47">
        <v>45730</v>
      </c>
      <c r="F704" s="34"/>
      <c r="G704" s="46"/>
      <c r="H704" s="34"/>
      <c r="I704" s="34"/>
      <c r="K704" s="39">
        <v>1637413</v>
      </c>
      <c r="L704" s="16" t="s">
        <v>1847</v>
      </c>
      <c r="M704" s="34" t="s">
        <v>31</v>
      </c>
      <c r="N704" s="34"/>
      <c r="O704" s="34"/>
      <c r="P704" s="34"/>
      <c r="Q704" s="34" t="s">
        <v>33</v>
      </c>
      <c r="R704" s="34" t="s">
        <v>94</v>
      </c>
      <c r="S704" s="34" t="s">
        <v>35</v>
      </c>
      <c r="T704" s="34" t="s">
        <v>36</v>
      </c>
      <c r="U704" s="39" t="s">
        <v>1686</v>
      </c>
    </row>
    <row r="705" spans="2:21">
      <c r="B705" s="46" t="s">
        <v>47</v>
      </c>
      <c r="C705" s="46" t="s">
        <v>28</v>
      </c>
      <c r="D705" s="47">
        <v>45730</v>
      </c>
      <c r="F705" s="34"/>
      <c r="G705" s="46"/>
      <c r="H705" s="34"/>
      <c r="I705" s="34"/>
      <c r="K705" s="39">
        <v>2673901</v>
      </c>
      <c r="L705" s="16" t="s">
        <v>1848</v>
      </c>
      <c r="M705" s="34" t="s">
        <v>31</v>
      </c>
      <c r="N705" s="34"/>
      <c r="O705" s="34"/>
      <c r="P705" s="34"/>
      <c r="Q705" s="34" t="s">
        <v>33</v>
      </c>
      <c r="R705" s="34" t="s">
        <v>94</v>
      </c>
      <c r="S705" s="34" t="s">
        <v>35</v>
      </c>
      <c r="T705" s="34" t="s">
        <v>36</v>
      </c>
      <c r="U705" s="39" t="s">
        <v>1686</v>
      </c>
    </row>
    <row r="706" spans="2:21">
      <c r="B706" s="46" t="s">
        <v>47</v>
      </c>
      <c r="C706" s="46" t="s">
        <v>28</v>
      </c>
      <c r="D706" s="47">
        <v>45730</v>
      </c>
      <c r="F706" s="34"/>
      <c r="G706" s="46"/>
      <c r="H706" s="34"/>
      <c r="I706" s="34"/>
      <c r="K706" s="39">
        <v>2673902</v>
      </c>
      <c r="L706" s="16" t="s">
        <v>1849</v>
      </c>
      <c r="M706" s="34" t="s">
        <v>31</v>
      </c>
      <c r="N706" s="34"/>
      <c r="O706" s="34"/>
      <c r="P706" s="34"/>
      <c r="Q706" s="34" t="s">
        <v>33</v>
      </c>
      <c r="R706" s="34" t="s">
        <v>94</v>
      </c>
      <c r="S706" s="34" t="s">
        <v>35</v>
      </c>
      <c r="T706" s="34" t="s">
        <v>36</v>
      </c>
      <c r="U706" s="39" t="s">
        <v>1686</v>
      </c>
    </row>
    <row r="707" spans="2:21">
      <c r="B707" s="46" t="s">
        <v>47</v>
      </c>
      <c r="C707" s="46" t="s">
        <v>28</v>
      </c>
      <c r="D707" s="47">
        <v>45730</v>
      </c>
      <c r="F707" s="34"/>
      <c r="G707" s="46"/>
      <c r="H707" s="34"/>
      <c r="I707" s="34"/>
      <c r="K707" s="39">
        <v>1711103</v>
      </c>
      <c r="L707" s="16" t="s">
        <v>1850</v>
      </c>
      <c r="M707" s="34" t="s">
        <v>31</v>
      </c>
      <c r="N707" s="34"/>
      <c r="O707" s="34"/>
      <c r="P707" s="34"/>
      <c r="Q707" s="34" t="s">
        <v>33</v>
      </c>
      <c r="R707" s="34" t="s">
        <v>94</v>
      </c>
      <c r="S707" s="34" t="s">
        <v>35</v>
      </c>
      <c r="T707" s="34" t="s">
        <v>36</v>
      </c>
      <c r="U707" s="39" t="s">
        <v>1686</v>
      </c>
    </row>
    <row r="708" spans="2:21">
      <c r="B708" s="46" t="s">
        <v>47</v>
      </c>
      <c r="C708" s="46" t="s">
        <v>28</v>
      </c>
      <c r="D708" s="47">
        <v>45730</v>
      </c>
      <c r="F708" s="34"/>
      <c r="G708" s="46"/>
      <c r="H708" s="34"/>
      <c r="I708" s="34"/>
      <c r="K708" s="39">
        <v>1711104</v>
      </c>
      <c r="L708" s="16" t="s">
        <v>1851</v>
      </c>
      <c r="M708" s="34" t="s">
        <v>31</v>
      </c>
      <c r="N708" s="34"/>
      <c r="O708" s="34"/>
      <c r="P708" s="34"/>
      <c r="Q708" s="34" t="s">
        <v>33</v>
      </c>
      <c r="R708" s="34" t="s">
        <v>94</v>
      </c>
      <c r="S708" s="34" t="s">
        <v>35</v>
      </c>
      <c r="T708" s="34" t="s">
        <v>36</v>
      </c>
      <c r="U708" s="39" t="s">
        <v>1686</v>
      </c>
    </row>
    <row r="709" spans="2:21">
      <c r="B709" s="46" t="s">
        <v>47</v>
      </c>
      <c r="C709" s="46" t="s">
        <v>28</v>
      </c>
      <c r="D709" s="47">
        <v>45730</v>
      </c>
      <c r="F709" s="34"/>
      <c r="G709" s="46"/>
      <c r="H709" s="34"/>
      <c r="I709" s="34"/>
      <c r="K709" s="39">
        <v>2674501</v>
      </c>
      <c r="L709" s="16" t="s">
        <v>1642</v>
      </c>
      <c r="M709" s="34" t="s">
        <v>31</v>
      </c>
      <c r="N709" s="34"/>
      <c r="O709" s="34"/>
      <c r="P709" s="34"/>
      <c r="Q709" s="34" t="s">
        <v>33</v>
      </c>
      <c r="R709" s="34" t="s">
        <v>94</v>
      </c>
      <c r="S709" s="34" t="s">
        <v>35</v>
      </c>
      <c r="T709" s="34" t="s">
        <v>36</v>
      </c>
      <c r="U709" s="34"/>
    </row>
    <row r="710" spans="2:21">
      <c r="B710" s="46" t="s">
        <v>47</v>
      </c>
      <c r="C710" s="46" t="s">
        <v>28</v>
      </c>
      <c r="D710" s="47">
        <v>45730</v>
      </c>
      <c r="F710" s="34"/>
      <c r="G710" s="46"/>
      <c r="H710" s="34"/>
      <c r="I710" s="34"/>
      <c r="K710" s="39">
        <v>2674502</v>
      </c>
      <c r="L710" s="16" t="s">
        <v>1643</v>
      </c>
      <c r="M710" s="34" t="s">
        <v>31</v>
      </c>
      <c r="N710" s="34"/>
      <c r="O710" s="34"/>
      <c r="P710" s="34"/>
      <c r="Q710" s="34" t="s">
        <v>33</v>
      </c>
      <c r="R710" s="34" t="s">
        <v>94</v>
      </c>
      <c r="S710" s="34" t="s">
        <v>35</v>
      </c>
      <c r="T710" s="34" t="s">
        <v>36</v>
      </c>
      <c r="U710" s="34"/>
    </row>
    <row r="711" spans="2:21">
      <c r="B711" s="46" t="s">
        <v>47</v>
      </c>
      <c r="C711" s="46" t="s">
        <v>28</v>
      </c>
      <c r="D711" s="47">
        <v>45730</v>
      </c>
      <c r="F711" s="34"/>
      <c r="G711" s="46"/>
      <c r="H711" s="34"/>
      <c r="I711" s="34"/>
      <c r="K711" s="39">
        <v>2674202</v>
      </c>
      <c r="L711" s="16" t="s">
        <v>1644</v>
      </c>
      <c r="M711" s="34" t="s">
        <v>31</v>
      </c>
      <c r="N711" s="34"/>
      <c r="O711" s="34"/>
      <c r="P711" s="34"/>
      <c r="Q711" s="34" t="s">
        <v>33</v>
      </c>
      <c r="R711" s="34" t="s">
        <v>94</v>
      </c>
      <c r="S711" s="34" t="s">
        <v>35</v>
      </c>
      <c r="T711" s="34" t="s">
        <v>36</v>
      </c>
      <c r="U711" s="34"/>
    </row>
    <row r="712" spans="2:21">
      <c r="B712" s="46" t="s">
        <v>47</v>
      </c>
      <c r="C712" s="46" t="s">
        <v>28</v>
      </c>
      <c r="D712" s="47">
        <v>45730</v>
      </c>
      <c r="F712" s="34"/>
      <c r="G712" s="46"/>
      <c r="H712" s="34"/>
      <c r="I712" s="34"/>
      <c r="K712" s="39">
        <v>2674201</v>
      </c>
      <c r="L712" s="16" t="s">
        <v>1645</v>
      </c>
      <c r="M712" s="34" t="s">
        <v>31</v>
      </c>
      <c r="N712" s="34"/>
      <c r="O712" s="34"/>
      <c r="P712" s="34"/>
      <c r="Q712" s="34" t="s">
        <v>33</v>
      </c>
      <c r="R712" s="34" t="s">
        <v>94</v>
      </c>
      <c r="S712" s="34" t="s">
        <v>35</v>
      </c>
      <c r="T712" s="34" t="s">
        <v>36</v>
      </c>
      <c r="U712" s="34"/>
    </row>
    <row r="713" spans="2:21">
      <c r="B713" s="46" t="s">
        <v>47</v>
      </c>
      <c r="C713" s="46" t="s">
        <v>28</v>
      </c>
      <c r="D713" s="47">
        <v>45737</v>
      </c>
      <c r="F713" s="34"/>
      <c r="G713" s="46"/>
      <c r="H713" s="34"/>
      <c r="I713" s="34"/>
      <c r="K713" s="39">
        <v>2674302</v>
      </c>
      <c r="L713" s="16" t="s">
        <v>1852</v>
      </c>
      <c r="M713" s="34" t="s">
        <v>31</v>
      </c>
      <c r="N713" s="34"/>
      <c r="O713" s="34"/>
      <c r="P713" s="34"/>
      <c r="Q713" s="34" t="s">
        <v>33</v>
      </c>
      <c r="R713" s="34" t="s">
        <v>94</v>
      </c>
      <c r="S713" s="34" t="s">
        <v>35</v>
      </c>
      <c r="T713" s="34" t="s">
        <v>36</v>
      </c>
      <c r="U713" s="39" t="s">
        <v>1853</v>
      </c>
    </row>
    <row r="714" spans="2:21">
      <c r="B714" s="46" t="s">
        <v>47</v>
      </c>
      <c r="C714" s="46" t="s">
        <v>28</v>
      </c>
      <c r="D714" s="47">
        <v>45737</v>
      </c>
      <c r="F714" s="34"/>
      <c r="G714" s="46"/>
      <c r="H714" s="34"/>
      <c r="I714" s="34"/>
      <c r="K714" s="39">
        <v>2674301</v>
      </c>
      <c r="L714" s="16" t="s">
        <v>1854</v>
      </c>
      <c r="M714" s="34" t="s">
        <v>31</v>
      </c>
      <c r="N714" s="34"/>
      <c r="O714" s="34"/>
      <c r="P714" s="34"/>
      <c r="Q714" s="34" t="s">
        <v>33</v>
      </c>
      <c r="R714" s="34" t="s">
        <v>94</v>
      </c>
      <c r="S714" s="34" t="s">
        <v>35</v>
      </c>
      <c r="T714" s="34" t="s">
        <v>36</v>
      </c>
      <c r="U714" s="39" t="s">
        <v>1686</v>
      </c>
    </row>
    <row r="715" spans="2:21">
      <c r="B715" s="46" t="s">
        <v>47</v>
      </c>
      <c r="C715" s="46" t="s">
        <v>28</v>
      </c>
      <c r="D715" s="47">
        <v>45737</v>
      </c>
      <c r="F715" s="34"/>
      <c r="G715" s="46"/>
      <c r="H715" s="34"/>
      <c r="I715" s="34"/>
      <c r="K715" s="39">
        <v>2674901</v>
      </c>
      <c r="L715" s="16" t="s">
        <v>1855</v>
      </c>
      <c r="M715" s="34" t="s">
        <v>31</v>
      </c>
      <c r="N715" s="34"/>
      <c r="O715" s="34"/>
      <c r="P715" s="34"/>
      <c r="Q715" s="34" t="s">
        <v>33</v>
      </c>
      <c r="R715" s="34" t="s">
        <v>94</v>
      </c>
      <c r="S715" s="34" t="s">
        <v>35</v>
      </c>
      <c r="T715" s="34" t="s">
        <v>36</v>
      </c>
      <c r="U715" s="39" t="s">
        <v>1686</v>
      </c>
    </row>
    <row r="716" spans="2:21">
      <c r="B716" s="46" t="s">
        <v>47</v>
      </c>
      <c r="C716" s="46" t="s">
        <v>28</v>
      </c>
      <c r="D716" s="47">
        <v>45737</v>
      </c>
      <c r="F716" s="34"/>
      <c r="G716" s="46"/>
      <c r="H716" s="34"/>
      <c r="I716" s="34"/>
      <c r="K716" s="39">
        <v>2674902</v>
      </c>
      <c r="L716" s="16" t="s">
        <v>1856</v>
      </c>
      <c r="M716" s="34" t="s">
        <v>31</v>
      </c>
      <c r="N716" s="34"/>
      <c r="O716" s="34"/>
      <c r="P716" s="34"/>
      <c r="Q716" s="34" t="s">
        <v>33</v>
      </c>
      <c r="R716" s="34" t="s">
        <v>94</v>
      </c>
      <c r="S716" s="34" t="s">
        <v>35</v>
      </c>
      <c r="T716" s="34" t="s">
        <v>36</v>
      </c>
      <c r="U716" s="39" t="s">
        <v>1686</v>
      </c>
    </row>
    <row r="717" spans="2:21">
      <c r="B717" s="46" t="s">
        <v>47</v>
      </c>
      <c r="C717" s="46" t="s">
        <v>28</v>
      </c>
      <c r="D717" s="47">
        <v>45744</v>
      </c>
      <c r="F717" s="34"/>
      <c r="G717" s="46"/>
      <c r="H717" s="34"/>
      <c r="I717" s="34"/>
      <c r="K717" s="39">
        <v>2416403</v>
      </c>
      <c r="L717" s="16" t="s">
        <v>1857</v>
      </c>
      <c r="M717" s="34" t="s">
        <v>31</v>
      </c>
      <c r="N717" s="34"/>
      <c r="O717" s="34"/>
      <c r="P717" s="34"/>
      <c r="Q717" s="34" t="s">
        <v>33</v>
      </c>
      <c r="R717" s="34" t="s">
        <v>94</v>
      </c>
      <c r="S717" s="34" t="s">
        <v>35</v>
      </c>
      <c r="T717" s="34" t="s">
        <v>36</v>
      </c>
      <c r="U717" s="34"/>
    </row>
    <row r="718" spans="2:21">
      <c r="B718" s="46" t="s">
        <v>47</v>
      </c>
      <c r="C718" s="46" t="s">
        <v>28</v>
      </c>
      <c r="D718" s="47">
        <v>45744</v>
      </c>
      <c r="F718" s="34"/>
      <c r="G718" s="46"/>
      <c r="H718" s="34"/>
      <c r="I718" s="34"/>
      <c r="K718" s="39">
        <v>2676001</v>
      </c>
      <c r="L718" s="16" t="s">
        <v>1858</v>
      </c>
      <c r="M718" s="34" t="s">
        <v>31</v>
      </c>
      <c r="N718" s="34"/>
      <c r="O718" s="34"/>
      <c r="P718" s="34"/>
      <c r="Q718" s="34" t="s">
        <v>33</v>
      </c>
      <c r="R718" s="34" t="s">
        <v>94</v>
      </c>
      <c r="S718" s="34" t="s">
        <v>35</v>
      </c>
      <c r="T718" s="34" t="s">
        <v>36</v>
      </c>
      <c r="U718" s="39" t="s">
        <v>1686</v>
      </c>
    </row>
    <row r="719" spans="2:21">
      <c r="B719" s="46" t="s">
        <v>47</v>
      </c>
      <c r="C719" s="46" t="s">
        <v>28</v>
      </c>
      <c r="D719" s="47">
        <v>45744</v>
      </c>
      <c r="F719" s="34"/>
      <c r="G719" s="46"/>
      <c r="H719" s="34"/>
      <c r="I719" s="34"/>
      <c r="K719" s="39">
        <v>2137706</v>
      </c>
      <c r="L719" s="16" t="s">
        <v>1859</v>
      </c>
      <c r="M719" s="34" t="s">
        <v>31</v>
      </c>
      <c r="N719" s="34"/>
      <c r="O719" s="34"/>
      <c r="P719" s="34"/>
      <c r="Q719" s="34" t="s">
        <v>33</v>
      </c>
      <c r="R719" s="34" t="s">
        <v>94</v>
      </c>
      <c r="S719" s="34" t="s">
        <v>35</v>
      </c>
      <c r="T719" s="34" t="s">
        <v>36</v>
      </c>
      <c r="U719" s="39" t="s">
        <v>1686</v>
      </c>
    </row>
    <row r="720" spans="2:21">
      <c r="B720" s="46" t="s">
        <v>47</v>
      </c>
      <c r="C720" s="46" t="s">
        <v>28</v>
      </c>
      <c r="D720" s="47">
        <v>45744</v>
      </c>
      <c r="F720" s="34"/>
      <c r="G720" s="46"/>
      <c r="H720" s="34"/>
      <c r="I720" s="34"/>
      <c r="K720" s="39">
        <v>2675901</v>
      </c>
      <c r="L720" s="16" t="s">
        <v>1860</v>
      </c>
      <c r="M720" s="34" t="s">
        <v>31</v>
      </c>
      <c r="N720" s="34"/>
      <c r="O720" s="34"/>
      <c r="P720" s="34"/>
      <c r="Q720" s="34" t="s">
        <v>33</v>
      </c>
      <c r="R720" s="34" t="s">
        <v>94</v>
      </c>
      <c r="S720" s="34" t="s">
        <v>35</v>
      </c>
      <c r="T720" s="34" t="s">
        <v>36</v>
      </c>
      <c r="U720" s="39" t="s">
        <v>1686</v>
      </c>
    </row>
    <row r="721" spans="2:21">
      <c r="B721" s="46" t="s">
        <v>47</v>
      </c>
      <c r="C721" s="46" t="s">
        <v>28</v>
      </c>
      <c r="D721" s="47">
        <v>45744</v>
      </c>
      <c r="F721" s="34"/>
      <c r="G721" s="46"/>
      <c r="H721" s="34"/>
      <c r="I721" s="34"/>
      <c r="K721" s="39">
        <v>1993203</v>
      </c>
      <c r="L721" s="16" t="s">
        <v>1861</v>
      </c>
      <c r="M721" s="34" t="s">
        <v>31</v>
      </c>
      <c r="N721" s="34"/>
      <c r="O721" s="34"/>
      <c r="P721" s="34"/>
      <c r="Q721" s="34" t="s">
        <v>33</v>
      </c>
      <c r="R721" s="34" t="s">
        <v>94</v>
      </c>
      <c r="S721" s="34" t="s">
        <v>35</v>
      </c>
      <c r="T721" s="34" t="s">
        <v>36</v>
      </c>
      <c r="U721" s="39" t="s">
        <v>1686</v>
      </c>
    </row>
    <row r="722" spans="2:21">
      <c r="B722" s="46" t="s">
        <v>47</v>
      </c>
      <c r="C722" s="46" t="s">
        <v>28</v>
      </c>
      <c r="D722" s="47">
        <v>45744</v>
      </c>
      <c r="F722" s="34"/>
      <c r="G722" s="46"/>
      <c r="H722" s="34"/>
      <c r="I722" s="34"/>
      <c r="K722" s="39">
        <v>1010104</v>
      </c>
      <c r="L722" s="16" t="s">
        <v>1862</v>
      </c>
      <c r="M722" s="34" t="s">
        <v>31</v>
      </c>
      <c r="N722" s="34"/>
      <c r="O722" s="34"/>
      <c r="P722" s="34"/>
      <c r="Q722" s="34" t="s">
        <v>33</v>
      </c>
      <c r="R722" s="34" t="s">
        <v>94</v>
      </c>
      <c r="S722" s="34" t="s">
        <v>35</v>
      </c>
      <c r="T722" s="34" t="s">
        <v>36</v>
      </c>
      <c r="U722" s="39" t="s">
        <v>1686</v>
      </c>
    </row>
    <row r="723" spans="2:21">
      <c r="B723" s="46" t="s">
        <v>47</v>
      </c>
      <c r="C723" s="46" t="s">
        <v>28</v>
      </c>
      <c r="D723" s="47">
        <v>45758</v>
      </c>
      <c r="F723" s="34"/>
      <c r="G723" s="46"/>
      <c r="H723" s="34"/>
      <c r="I723" s="34"/>
      <c r="K723" s="39" t="s">
        <v>1863</v>
      </c>
      <c r="L723" s="16" t="s">
        <v>1864</v>
      </c>
      <c r="M723" s="34" t="s">
        <v>31</v>
      </c>
      <c r="N723" s="34"/>
      <c r="O723" s="34"/>
      <c r="P723" s="34"/>
      <c r="Q723" s="34" t="s">
        <v>33</v>
      </c>
      <c r="R723" s="34" t="s">
        <v>94</v>
      </c>
      <c r="S723" s="34" t="s">
        <v>35</v>
      </c>
      <c r="T723" s="34" t="s">
        <v>36</v>
      </c>
      <c r="U723" s="34"/>
    </row>
    <row r="724" spans="2:21">
      <c r="B724" s="46" t="s">
        <v>47</v>
      </c>
      <c r="C724" s="46" t="s">
        <v>28</v>
      </c>
      <c r="D724" s="47">
        <v>45758</v>
      </c>
      <c r="F724" s="34"/>
      <c r="G724" s="46"/>
      <c r="H724" s="34"/>
      <c r="I724" s="34"/>
      <c r="K724" s="39" t="s">
        <v>1865</v>
      </c>
      <c r="L724" s="16" t="s">
        <v>1866</v>
      </c>
      <c r="M724" s="34" t="s">
        <v>31</v>
      </c>
      <c r="N724" s="34"/>
      <c r="O724" s="34"/>
      <c r="P724" s="34"/>
      <c r="Q724" s="34" t="s">
        <v>33</v>
      </c>
      <c r="R724" s="34" t="s">
        <v>94</v>
      </c>
      <c r="S724" s="34" t="s">
        <v>35</v>
      </c>
      <c r="T724" s="34" t="s">
        <v>36</v>
      </c>
      <c r="U724" s="34"/>
    </row>
    <row r="725" spans="2:21">
      <c r="B725" s="46" t="s">
        <v>47</v>
      </c>
      <c r="C725" s="46" t="s">
        <v>28</v>
      </c>
      <c r="D725" s="47">
        <v>45758</v>
      </c>
      <c r="F725" s="34"/>
      <c r="G725" s="46"/>
      <c r="H725" s="34"/>
      <c r="I725" s="34"/>
      <c r="K725" s="39" t="s">
        <v>1867</v>
      </c>
      <c r="L725" s="16" t="s">
        <v>1868</v>
      </c>
      <c r="M725" s="34" t="s">
        <v>31</v>
      </c>
      <c r="N725" s="34"/>
      <c r="O725" s="34"/>
      <c r="P725" s="34"/>
      <c r="Q725" s="34" t="s">
        <v>33</v>
      </c>
      <c r="R725" s="34" t="s">
        <v>94</v>
      </c>
      <c r="S725" s="34" t="s">
        <v>35</v>
      </c>
      <c r="T725" s="34" t="s">
        <v>36</v>
      </c>
      <c r="U725" s="34"/>
    </row>
    <row r="726" spans="2:21">
      <c r="B726" s="46" t="s">
        <v>47</v>
      </c>
      <c r="C726" s="46" t="s">
        <v>28</v>
      </c>
      <c r="D726" s="47">
        <v>45758</v>
      </c>
      <c r="F726" s="34"/>
      <c r="G726" s="46"/>
      <c r="H726" s="34"/>
      <c r="I726" s="34"/>
      <c r="K726" s="39" t="s">
        <v>1869</v>
      </c>
      <c r="L726" s="16" t="s">
        <v>1870</v>
      </c>
      <c r="M726" s="34" t="s">
        <v>31</v>
      </c>
      <c r="N726" s="34"/>
      <c r="O726" s="34"/>
      <c r="P726" s="34"/>
      <c r="Q726" s="34" t="s">
        <v>33</v>
      </c>
      <c r="R726" s="34" t="s">
        <v>94</v>
      </c>
      <c r="S726" s="34" t="s">
        <v>35</v>
      </c>
      <c r="T726" s="34" t="s">
        <v>36</v>
      </c>
      <c r="U726" s="39" t="s">
        <v>1686</v>
      </c>
    </row>
    <row r="727" spans="2:21">
      <c r="B727" s="46" t="s">
        <v>47</v>
      </c>
      <c r="C727" s="46" t="s">
        <v>28</v>
      </c>
      <c r="D727" s="47">
        <v>45772</v>
      </c>
      <c r="F727" s="34"/>
      <c r="G727" s="46"/>
      <c r="H727" s="34"/>
      <c r="I727" s="34"/>
      <c r="K727" s="39">
        <v>2683101</v>
      </c>
      <c r="L727" s="16" t="s">
        <v>1871</v>
      </c>
      <c r="M727" s="34" t="s">
        <v>31</v>
      </c>
      <c r="N727" s="34"/>
      <c r="O727" s="34"/>
      <c r="P727" s="34"/>
      <c r="Q727" s="34" t="s">
        <v>33</v>
      </c>
      <c r="R727" s="34" t="s">
        <v>94</v>
      </c>
      <c r="S727" s="34" t="s">
        <v>35</v>
      </c>
      <c r="T727" s="34" t="s">
        <v>36</v>
      </c>
      <c r="U727" s="34"/>
    </row>
    <row r="728" spans="2:21">
      <c r="B728" s="46" t="s">
        <v>47</v>
      </c>
      <c r="C728" s="46" t="s">
        <v>28</v>
      </c>
      <c r="D728" s="47">
        <v>45772</v>
      </c>
      <c r="F728" s="34"/>
      <c r="G728" s="46"/>
      <c r="H728" s="34"/>
      <c r="I728" s="34"/>
      <c r="K728" s="39" t="s">
        <v>1872</v>
      </c>
      <c r="L728" s="16" t="s">
        <v>1873</v>
      </c>
      <c r="M728" s="34" t="s">
        <v>31</v>
      </c>
      <c r="N728" s="34"/>
      <c r="O728" s="34"/>
      <c r="P728" s="34"/>
      <c r="Q728" s="34" t="s">
        <v>33</v>
      </c>
      <c r="R728" s="34" t="s">
        <v>94</v>
      </c>
      <c r="S728" s="34" t="s">
        <v>35</v>
      </c>
      <c r="T728" s="34" t="s">
        <v>36</v>
      </c>
      <c r="U728" s="39" t="s">
        <v>1853</v>
      </c>
    </row>
    <row r="729" spans="2:21">
      <c r="B729" s="46" t="s">
        <v>47</v>
      </c>
      <c r="C729" s="46" t="s">
        <v>28</v>
      </c>
      <c r="D729" s="47">
        <v>45772</v>
      </c>
      <c r="F729" s="34"/>
      <c r="G729" s="46"/>
      <c r="H729" s="34"/>
      <c r="I729" s="34"/>
      <c r="K729" s="39" t="s">
        <v>1874</v>
      </c>
      <c r="L729" s="16" t="s">
        <v>1875</v>
      </c>
      <c r="M729" s="34" t="s">
        <v>31</v>
      </c>
      <c r="N729" s="34"/>
      <c r="O729" s="34"/>
      <c r="P729" s="34"/>
      <c r="Q729" s="34" t="s">
        <v>33</v>
      </c>
      <c r="R729" s="34" t="s">
        <v>94</v>
      </c>
      <c r="S729" s="34" t="s">
        <v>35</v>
      </c>
      <c r="T729" s="34" t="s">
        <v>36</v>
      </c>
      <c r="U729" s="39" t="s">
        <v>1853</v>
      </c>
    </row>
    <row r="730" spans="2:21">
      <c r="B730" s="46" t="s">
        <v>47</v>
      </c>
      <c r="C730" s="46" t="s">
        <v>28</v>
      </c>
      <c r="D730" s="47">
        <v>45772</v>
      </c>
      <c r="F730" s="34"/>
      <c r="G730" s="46"/>
      <c r="H730" s="34"/>
      <c r="I730" s="34"/>
      <c r="K730" s="39" t="s">
        <v>1876</v>
      </c>
      <c r="L730" s="16" t="s">
        <v>1877</v>
      </c>
      <c r="M730" s="34" t="s">
        <v>31</v>
      </c>
      <c r="N730" s="34"/>
      <c r="O730" s="34"/>
      <c r="P730" s="34"/>
      <c r="Q730" s="34" t="s">
        <v>33</v>
      </c>
      <c r="R730" s="34" t="s">
        <v>94</v>
      </c>
      <c r="S730" s="34" t="s">
        <v>35</v>
      </c>
      <c r="T730" s="34" t="s">
        <v>36</v>
      </c>
      <c r="U730" s="39" t="s">
        <v>1853</v>
      </c>
    </row>
    <row r="731" spans="2:21">
      <c r="B731" s="46" t="s">
        <v>47</v>
      </c>
      <c r="C731" s="46" t="s">
        <v>28</v>
      </c>
      <c r="D731" s="47">
        <v>45772</v>
      </c>
      <c r="F731" s="34"/>
      <c r="G731" s="46"/>
      <c r="H731" s="34"/>
      <c r="I731" s="34"/>
      <c r="K731" s="39" t="s">
        <v>1878</v>
      </c>
      <c r="L731" s="16" t="s">
        <v>1879</v>
      </c>
      <c r="M731" s="34" t="s">
        <v>31</v>
      </c>
      <c r="N731" s="34"/>
      <c r="O731" s="34"/>
      <c r="P731" s="34"/>
      <c r="Q731" s="34" t="s">
        <v>33</v>
      </c>
      <c r="R731" s="34" t="s">
        <v>94</v>
      </c>
      <c r="S731" s="34" t="s">
        <v>35</v>
      </c>
      <c r="T731" s="34" t="s">
        <v>36</v>
      </c>
      <c r="U731" s="39" t="s">
        <v>1853</v>
      </c>
    </row>
    <row r="732" spans="2:21">
      <c r="B732" s="46" t="s">
        <v>47</v>
      </c>
      <c r="C732" s="46" t="s">
        <v>28</v>
      </c>
      <c r="D732" s="47">
        <v>45772</v>
      </c>
      <c r="F732" s="34"/>
      <c r="G732" s="46"/>
      <c r="H732" s="34"/>
      <c r="I732" s="34"/>
      <c r="K732" s="39" t="s">
        <v>1880</v>
      </c>
      <c r="L732" s="16" t="s">
        <v>1881</v>
      </c>
      <c r="M732" s="34" t="s">
        <v>31</v>
      </c>
      <c r="N732" s="34"/>
      <c r="O732" s="34"/>
      <c r="P732" s="34"/>
      <c r="Q732" s="34" t="s">
        <v>33</v>
      </c>
      <c r="R732" s="34" t="s">
        <v>94</v>
      </c>
      <c r="S732" s="34" t="s">
        <v>35</v>
      </c>
      <c r="T732" s="34" t="s">
        <v>36</v>
      </c>
      <c r="U732" s="39" t="s">
        <v>1853</v>
      </c>
    </row>
    <row r="733" spans="2:21">
      <c r="B733" s="46" t="s">
        <v>47</v>
      </c>
      <c r="C733" s="46" t="s">
        <v>28</v>
      </c>
      <c r="D733" s="47">
        <v>45772</v>
      </c>
      <c r="F733" s="34"/>
      <c r="G733" s="46"/>
      <c r="H733" s="34"/>
      <c r="I733" s="34"/>
      <c r="K733" s="39" t="s">
        <v>1882</v>
      </c>
      <c r="L733" s="16" t="s">
        <v>1883</v>
      </c>
      <c r="M733" s="34" t="s">
        <v>31</v>
      </c>
      <c r="N733" s="34"/>
      <c r="O733" s="34"/>
      <c r="P733" s="34"/>
      <c r="Q733" s="34" t="s">
        <v>33</v>
      </c>
      <c r="R733" s="34" t="s">
        <v>94</v>
      </c>
      <c r="S733" s="34" t="s">
        <v>35</v>
      </c>
      <c r="T733" s="34" t="s">
        <v>36</v>
      </c>
      <c r="U733" s="39" t="s">
        <v>1853</v>
      </c>
    </row>
    <row r="734" spans="2:21">
      <c r="B734" s="46" t="s">
        <v>47</v>
      </c>
      <c r="C734" s="46" t="s">
        <v>28</v>
      </c>
      <c r="D734" s="47">
        <v>45772</v>
      </c>
      <c r="F734" s="34"/>
      <c r="G734" s="46"/>
      <c r="H734" s="34"/>
      <c r="I734" s="34"/>
      <c r="K734" s="39" t="s">
        <v>1884</v>
      </c>
      <c r="L734" s="16" t="s">
        <v>1885</v>
      </c>
      <c r="M734" s="34" t="s">
        <v>31</v>
      </c>
      <c r="N734" s="34"/>
      <c r="O734" s="34"/>
      <c r="P734" s="34"/>
      <c r="Q734" s="34" t="s">
        <v>33</v>
      </c>
      <c r="R734" s="34" t="s">
        <v>94</v>
      </c>
      <c r="S734" s="34" t="s">
        <v>35</v>
      </c>
      <c r="T734" s="34" t="s">
        <v>36</v>
      </c>
      <c r="U734" s="39" t="s">
        <v>1853</v>
      </c>
    </row>
    <row r="735" spans="2:21">
      <c r="B735" s="46" t="s">
        <v>47</v>
      </c>
      <c r="C735" s="46" t="s">
        <v>28</v>
      </c>
      <c r="D735" s="47">
        <v>45779</v>
      </c>
      <c r="F735" s="34"/>
      <c r="G735" s="46"/>
      <c r="H735" s="34"/>
      <c r="I735" s="34"/>
      <c r="K735" s="39" t="s">
        <v>1886</v>
      </c>
      <c r="L735" s="16" t="s">
        <v>1887</v>
      </c>
      <c r="M735" s="34" t="s">
        <v>31</v>
      </c>
      <c r="N735" s="34"/>
      <c r="O735" s="34"/>
      <c r="P735" s="34"/>
      <c r="Q735" s="34" t="s">
        <v>33</v>
      </c>
      <c r="R735" s="34" t="s">
        <v>94</v>
      </c>
      <c r="S735" s="34" t="s">
        <v>35</v>
      </c>
      <c r="T735" s="34" t="s">
        <v>36</v>
      </c>
      <c r="U735" s="34"/>
    </row>
    <row r="736" spans="2:21">
      <c r="B736" s="46" t="s">
        <v>47</v>
      </c>
      <c r="C736" s="46" t="s">
        <v>28</v>
      </c>
      <c r="D736" s="47">
        <v>45779</v>
      </c>
      <c r="F736" s="34"/>
      <c r="G736" s="46"/>
      <c r="H736" s="34"/>
      <c r="I736" s="34"/>
      <c r="K736" s="39" t="s">
        <v>1888</v>
      </c>
      <c r="L736" s="16" t="s">
        <v>1889</v>
      </c>
      <c r="M736" s="34" t="s">
        <v>31</v>
      </c>
      <c r="N736" s="34"/>
      <c r="O736" s="34"/>
      <c r="P736" s="34"/>
      <c r="Q736" s="34" t="s">
        <v>33</v>
      </c>
      <c r="R736" s="34" t="s">
        <v>94</v>
      </c>
      <c r="S736" s="34" t="s">
        <v>35</v>
      </c>
      <c r="T736" s="34" t="s">
        <v>36</v>
      </c>
      <c r="U736" s="34"/>
    </row>
    <row r="737" spans="2:21">
      <c r="B737" s="46" t="s">
        <v>47</v>
      </c>
      <c r="C737" s="46" t="s">
        <v>28</v>
      </c>
      <c r="D737" s="47">
        <v>45779</v>
      </c>
      <c r="F737" s="34"/>
      <c r="G737" s="46"/>
      <c r="H737" s="34"/>
      <c r="I737" s="34"/>
      <c r="K737" s="39" t="s">
        <v>1890</v>
      </c>
      <c r="L737" s="16" t="s">
        <v>1891</v>
      </c>
      <c r="M737" s="34" t="s">
        <v>31</v>
      </c>
      <c r="N737" s="34"/>
      <c r="O737" s="34"/>
      <c r="P737" s="34"/>
      <c r="Q737" s="34" t="s">
        <v>33</v>
      </c>
      <c r="R737" s="34" t="s">
        <v>94</v>
      </c>
      <c r="S737" s="34" t="s">
        <v>35</v>
      </c>
      <c r="T737" s="34" t="s">
        <v>36</v>
      </c>
      <c r="U737" s="34"/>
    </row>
    <row r="738" spans="2:21">
      <c r="B738" s="46" t="s">
        <v>47</v>
      </c>
      <c r="C738" s="46" t="s">
        <v>28</v>
      </c>
      <c r="D738" s="47">
        <v>45779</v>
      </c>
      <c r="F738" s="34"/>
      <c r="G738" s="46"/>
      <c r="H738" s="34"/>
      <c r="I738" s="34"/>
      <c r="K738" s="39" t="s">
        <v>1892</v>
      </c>
      <c r="L738" s="16" t="s">
        <v>1893</v>
      </c>
      <c r="M738" s="34" t="s">
        <v>31</v>
      </c>
      <c r="N738" s="34"/>
      <c r="O738" s="34"/>
      <c r="P738" s="34"/>
      <c r="Q738" s="34" t="s">
        <v>33</v>
      </c>
      <c r="R738" s="34" t="s">
        <v>94</v>
      </c>
      <c r="S738" s="34" t="s">
        <v>35</v>
      </c>
      <c r="T738" s="34" t="s">
        <v>36</v>
      </c>
      <c r="U738" s="34"/>
    </row>
    <row r="739" spans="2:21">
      <c r="B739" s="46" t="s">
        <v>47</v>
      </c>
      <c r="C739" s="46" t="s">
        <v>28</v>
      </c>
      <c r="D739" s="47">
        <v>45786</v>
      </c>
      <c r="F739" s="34"/>
      <c r="G739" s="46"/>
      <c r="H739" s="34"/>
      <c r="I739" s="34"/>
      <c r="K739" s="39" t="s">
        <v>1894</v>
      </c>
      <c r="L739" s="16" t="s">
        <v>1895</v>
      </c>
      <c r="M739" s="34" t="s">
        <v>31</v>
      </c>
      <c r="N739" s="34"/>
      <c r="O739" s="34"/>
      <c r="P739" s="34"/>
      <c r="Q739" s="34" t="s">
        <v>33</v>
      </c>
      <c r="R739" s="34" t="s">
        <v>94</v>
      </c>
      <c r="S739" s="34" t="s">
        <v>35</v>
      </c>
      <c r="T739" s="34" t="s">
        <v>36</v>
      </c>
      <c r="U739" s="34"/>
    </row>
    <row r="740" spans="2:21">
      <c r="B740" s="46" t="s">
        <v>47</v>
      </c>
      <c r="C740" s="46" t="s">
        <v>28</v>
      </c>
      <c r="D740" s="47">
        <v>45786</v>
      </c>
      <c r="F740" s="34"/>
      <c r="G740" s="46"/>
      <c r="H740" s="34"/>
      <c r="I740" s="34"/>
      <c r="K740" s="39" t="s">
        <v>1896</v>
      </c>
      <c r="L740" s="16" t="s">
        <v>1897</v>
      </c>
      <c r="M740" s="34" t="s">
        <v>31</v>
      </c>
      <c r="N740" s="34"/>
      <c r="O740" s="34"/>
      <c r="P740" s="34"/>
      <c r="Q740" s="34" t="s">
        <v>33</v>
      </c>
      <c r="R740" s="34" t="s">
        <v>94</v>
      </c>
      <c r="S740" s="34" t="s">
        <v>35</v>
      </c>
      <c r="T740" s="34" t="s">
        <v>36</v>
      </c>
      <c r="U740" s="34"/>
    </row>
    <row r="741" spans="2:21">
      <c r="B741" s="46" t="s">
        <v>47</v>
      </c>
      <c r="C741" s="46" t="s">
        <v>28</v>
      </c>
      <c r="D741" s="47">
        <v>45786</v>
      </c>
      <c r="F741" s="34"/>
      <c r="G741" s="46"/>
      <c r="H741" s="34"/>
      <c r="I741" s="34"/>
      <c r="K741" s="39" t="s">
        <v>1898</v>
      </c>
      <c r="L741" s="16" t="s">
        <v>1899</v>
      </c>
      <c r="M741" s="34" t="s">
        <v>31</v>
      </c>
      <c r="N741" s="34"/>
      <c r="O741" s="34"/>
      <c r="P741" s="34"/>
      <c r="Q741" s="34" t="s">
        <v>33</v>
      </c>
      <c r="R741" s="34" t="s">
        <v>94</v>
      </c>
      <c r="S741" s="34" t="s">
        <v>35</v>
      </c>
      <c r="T741" s="34" t="s">
        <v>36</v>
      </c>
      <c r="U741" s="34"/>
    </row>
    <row r="742" spans="2:21">
      <c r="B742" s="46" t="s">
        <v>47</v>
      </c>
      <c r="C742" s="46" t="s">
        <v>28</v>
      </c>
      <c r="D742" s="47">
        <v>45786</v>
      </c>
      <c r="F742" s="34"/>
      <c r="G742" s="46"/>
      <c r="H742" s="34"/>
      <c r="I742" s="34"/>
      <c r="K742" s="39" t="s">
        <v>1900</v>
      </c>
      <c r="L742" s="16" t="s">
        <v>1901</v>
      </c>
      <c r="M742" s="34" t="s">
        <v>31</v>
      </c>
      <c r="N742" s="34"/>
      <c r="O742" s="34"/>
      <c r="P742" s="34"/>
      <c r="Q742" s="34" t="s">
        <v>33</v>
      </c>
      <c r="R742" s="34" t="s">
        <v>94</v>
      </c>
      <c r="S742" s="34" t="s">
        <v>35</v>
      </c>
      <c r="T742" s="34" t="s">
        <v>36</v>
      </c>
      <c r="U742" s="34"/>
    </row>
    <row r="743" spans="2:21">
      <c r="B743" s="46" t="s">
        <v>47</v>
      </c>
      <c r="C743" s="46" t="s">
        <v>28</v>
      </c>
      <c r="D743" s="47">
        <v>45786</v>
      </c>
      <c r="F743" s="34"/>
      <c r="G743" s="46"/>
      <c r="H743" s="34"/>
      <c r="I743" s="34"/>
      <c r="K743" s="39" t="s">
        <v>1902</v>
      </c>
      <c r="L743" s="16" t="s">
        <v>1903</v>
      </c>
      <c r="M743" s="34" t="s">
        <v>31</v>
      </c>
      <c r="N743" s="34"/>
      <c r="O743" s="34"/>
      <c r="P743" s="34"/>
      <c r="Q743" s="34" t="s">
        <v>33</v>
      </c>
      <c r="R743" s="34" t="s">
        <v>94</v>
      </c>
      <c r="S743" s="34" t="s">
        <v>35</v>
      </c>
      <c r="T743" s="34" t="s">
        <v>36</v>
      </c>
      <c r="U743" s="34"/>
    </row>
    <row r="744" spans="2:21">
      <c r="B744" s="46" t="s">
        <v>47</v>
      </c>
      <c r="C744" s="46" t="s">
        <v>28</v>
      </c>
      <c r="D744" s="47">
        <v>45786</v>
      </c>
      <c r="F744" s="34"/>
      <c r="G744" s="46"/>
      <c r="H744" s="34"/>
      <c r="I744" s="34"/>
      <c r="K744" s="39" t="s">
        <v>1904</v>
      </c>
      <c r="L744" s="16" t="s">
        <v>1905</v>
      </c>
      <c r="M744" s="34" t="s">
        <v>31</v>
      </c>
      <c r="N744" s="34"/>
      <c r="O744" s="34"/>
      <c r="P744" s="34"/>
      <c r="Q744" s="34" t="s">
        <v>33</v>
      </c>
      <c r="R744" s="34" t="s">
        <v>94</v>
      </c>
      <c r="S744" s="34" t="s">
        <v>35</v>
      </c>
      <c r="T744" s="34" t="s">
        <v>36</v>
      </c>
      <c r="U744" s="34"/>
    </row>
    <row r="745" spans="2:21">
      <c r="B745" s="46" t="s">
        <v>47</v>
      </c>
      <c r="C745" s="46" t="s">
        <v>28</v>
      </c>
      <c r="D745" s="47">
        <v>45800</v>
      </c>
      <c r="F745" s="34"/>
      <c r="G745" s="46"/>
      <c r="H745" s="34"/>
      <c r="I745" s="34"/>
      <c r="K745" s="336">
        <v>1637415</v>
      </c>
      <c r="L745" s="16" t="s">
        <v>1906</v>
      </c>
      <c r="M745" s="34" t="s">
        <v>31</v>
      </c>
      <c r="N745" s="39"/>
      <c r="O745" s="39"/>
      <c r="P745" s="39"/>
      <c r="Q745" s="34" t="s">
        <v>33</v>
      </c>
      <c r="R745" s="34" t="s">
        <v>94</v>
      </c>
      <c r="S745" s="34" t="s">
        <v>35</v>
      </c>
      <c r="T745" s="34" t="s">
        <v>36</v>
      </c>
      <c r="U745" s="39" t="s">
        <v>1853</v>
      </c>
    </row>
    <row r="746" spans="2:21">
      <c r="B746" s="46" t="s">
        <v>47</v>
      </c>
      <c r="C746" s="46" t="s">
        <v>28</v>
      </c>
      <c r="D746" s="47">
        <v>45800</v>
      </c>
      <c r="F746" s="34"/>
      <c r="G746" s="46"/>
      <c r="H746" s="34"/>
      <c r="I746" s="34"/>
      <c r="K746" s="337">
        <v>1637416</v>
      </c>
      <c r="L746" s="16" t="s">
        <v>1907</v>
      </c>
      <c r="M746" s="34" t="s">
        <v>31</v>
      </c>
      <c r="N746" s="39"/>
      <c r="O746" s="39"/>
      <c r="P746" s="39"/>
      <c r="Q746" s="34" t="s">
        <v>33</v>
      </c>
      <c r="R746" s="34" t="s">
        <v>94</v>
      </c>
      <c r="S746" s="34" t="s">
        <v>35</v>
      </c>
      <c r="T746" s="34" t="s">
        <v>36</v>
      </c>
      <c r="U746" s="39" t="s">
        <v>1853</v>
      </c>
    </row>
    <row r="747" spans="2:21">
      <c r="B747" s="46" t="s">
        <v>47</v>
      </c>
      <c r="C747" s="46" t="s">
        <v>28</v>
      </c>
      <c r="D747" s="47">
        <v>45807</v>
      </c>
      <c r="F747" s="34"/>
      <c r="G747" s="46"/>
      <c r="H747" s="34"/>
      <c r="I747" s="34"/>
      <c r="K747" s="337">
        <v>2690101</v>
      </c>
      <c r="L747" s="16" t="s">
        <v>1908</v>
      </c>
      <c r="M747" s="34" t="s">
        <v>31</v>
      </c>
      <c r="N747" s="39"/>
      <c r="O747" s="39"/>
      <c r="P747" s="39"/>
      <c r="Q747" s="34" t="s">
        <v>33</v>
      </c>
      <c r="R747" s="34" t="s">
        <v>94</v>
      </c>
      <c r="S747" s="34" t="s">
        <v>35</v>
      </c>
      <c r="T747" s="34" t="s">
        <v>36</v>
      </c>
      <c r="U747" s="39" t="s">
        <v>1853</v>
      </c>
    </row>
    <row r="748" spans="2:21">
      <c r="B748" s="46" t="s">
        <v>47</v>
      </c>
      <c r="C748" s="46" t="s">
        <v>28</v>
      </c>
      <c r="D748" s="47">
        <v>45807</v>
      </c>
      <c r="F748" s="34"/>
      <c r="G748" s="46"/>
      <c r="H748" s="34"/>
      <c r="I748" s="34"/>
      <c r="K748" s="337">
        <v>2690104</v>
      </c>
      <c r="L748" s="16" t="s">
        <v>1909</v>
      </c>
      <c r="M748" s="34" t="s">
        <v>31</v>
      </c>
      <c r="N748" s="39"/>
      <c r="O748" s="39"/>
      <c r="P748" s="39"/>
      <c r="Q748" s="34" t="s">
        <v>33</v>
      </c>
      <c r="R748" s="34" t="s">
        <v>94</v>
      </c>
      <c r="S748" s="34" t="s">
        <v>35</v>
      </c>
      <c r="T748" s="34" t="s">
        <v>36</v>
      </c>
      <c r="U748" s="39" t="s">
        <v>1853</v>
      </c>
    </row>
    <row r="749" spans="2:21">
      <c r="B749" s="46" t="s">
        <v>47</v>
      </c>
      <c r="C749" s="46" t="s">
        <v>28</v>
      </c>
      <c r="D749" s="47">
        <v>45807</v>
      </c>
      <c r="F749" s="34"/>
      <c r="G749" s="46"/>
      <c r="H749" s="34"/>
      <c r="I749" s="34"/>
      <c r="K749" s="337">
        <v>2563803</v>
      </c>
      <c r="L749" s="16" t="s">
        <v>1910</v>
      </c>
      <c r="M749" s="34" t="s">
        <v>31</v>
      </c>
      <c r="N749" s="39"/>
      <c r="O749" s="39"/>
      <c r="P749" s="39"/>
      <c r="Q749" s="34" t="s">
        <v>33</v>
      </c>
      <c r="R749" s="34" t="s">
        <v>94</v>
      </c>
      <c r="S749" s="34" t="s">
        <v>35</v>
      </c>
      <c r="T749" s="34" t="s">
        <v>36</v>
      </c>
      <c r="U749" s="39" t="s">
        <v>1853</v>
      </c>
    </row>
    <row r="750" spans="2:21">
      <c r="B750" s="46" t="s">
        <v>47</v>
      </c>
      <c r="C750" s="46" t="s">
        <v>28</v>
      </c>
      <c r="D750" s="47">
        <v>45807</v>
      </c>
      <c r="F750" s="34"/>
      <c r="G750" s="46"/>
      <c r="H750" s="34"/>
      <c r="I750" s="34"/>
      <c r="K750" s="337">
        <v>2563804</v>
      </c>
      <c r="L750" s="16" t="s">
        <v>1911</v>
      </c>
      <c r="M750" s="34" t="s">
        <v>31</v>
      </c>
      <c r="N750" s="39"/>
      <c r="O750" s="39"/>
      <c r="P750" s="39"/>
      <c r="Q750" s="34" t="s">
        <v>33</v>
      </c>
      <c r="R750" s="34" t="s">
        <v>94</v>
      </c>
      <c r="S750" s="34" t="s">
        <v>35</v>
      </c>
      <c r="T750" s="34" t="s">
        <v>36</v>
      </c>
      <c r="U750" s="39" t="s">
        <v>1853</v>
      </c>
    </row>
    <row r="751" spans="2:21">
      <c r="B751" s="46" t="s">
        <v>47</v>
      </c>
      <c r="C751" s="46" t="s">
        <v>28</v>
      </c>
      <c r="D751" s="47">
        <v>45807</v>
      </c>
      <c r="F751" s="34"/>
      <c r="G751" s="46"/>
      <c r="H751" s="34"/>
      <c r="I751" s="34"/>
      <c r="K751" s="337">
        <v>2690105</v>
      </c>
      <c r="L751" s="16" t="s">
        <v>1912</v>
      </c>
      <c r="M751" s="34" t="s">
        <v>31</v>
      </c>
      <c r="N751" s="39"/>
      <c r="O751" s="39"/>
      <c r="P751" s="39"/>
      <c r="Q751" s="34" t="s">
        <v>33</v>
      </c>
      <c r="R751" s="34" t="s">
        <v>94</v>
      </c>
      <c r="S751" s="34" t="s">
        <v>35</v>
      </c>
      <c r="T751" s="34" t="s">
        <v>36</v>
      </c>
      <c r="U751" s="39" t="s">
        <v>1853</v>
      </c>
    </row>
    <row r="752" spans="2:21">
      <c r="B752" s="46" t="s">
        <v>47</v>
      </c>
      <c r="C752" s="46" t="s">
        <v>28</v>
      </c>
      <c r="D752" s="47">
        <v>45807</v>
      </c>
      <c r="F752" s="34"/>
      <c r="G752" s="46"/>
      <c r="H752" s="34"/>
      <c r="I752" s="34"/>
      <c r="K752" s="337">
        <v>2690106</v>
      </c>
      <c r="L752" s="16" t="s">
        <v>1913</v>
      </c>
      <c r="M752" s="34" t="s">
        <v>31</v>
      </c>
      <c r="N752" s="39"/>
      <c r="O752" s="39"/>
      <c r="P752" s="39"/>
      <c r="Q752" s="34" t="s">
        <v>33</v>
      </c>
      <c r="R752" s="34" t="s">
        <v>94</v>
      </c>
      <c r="S752" s="34" t="s">
        <v>35</v>
      </c>
      <c r="T752" s="34" t="s">
        <v>36</v>
      </c>
      <c r="U752" s="39" t="s">
        <v>1853</v>
      </c>
    </row>
    <row r="753" spans="2:21">
      <c r="B753" s="46" t="s">
        <v>47</v>
      </c>
      <c r="C753" s="46" t="s">
        <v>28</v>
      </c>
      <c r="D753" s="47">
        <v>45807</v>
      </c>
      <c r="F753" s="34"/>
      <c r="G753" s="46"/>
      <c r="H753" s="34"/>
      <c r="I753" s="34"/>
      <c r="K753" s="337">
        <v>2690102</v>
      </c>
      <c r="L753" s="16" t="s">
        <v>1914</v>
      </c>
      <c r="M753" s="34" t="s">
        <v>31</v>
      </c>
      <c r="N753" s="39"/>
      <c r="O753" s="39"/>
      <c r="P753" s="39"/>
      <c r="Q753" s="34" t="s">
        <v>33</v>
      </c>
      <c r="R753" s="34" t="s">
        <v>94</v>
      </c>
      <c r="S753" s="34" t="s">
        <v>35</v>
      </c>
      <c r="T753" s="34" t="s">
        <v>36</v>
      </c>
      <c r="U753" s="39" t="s">
        <v>1853</v>
      </c>
    </row>
    <row r="754" spans="2:21">
      <c r="B754" s="46" t="s">
        <v>47</v>
      </c>
      <c r="C754" s="46" t="s">
        <v>28</v>
      </c>
      <c r="D754" s="47">
        <v>45807</v>
      </c>
      <c r="F754" s="34"/>
      <c r="G754" s="46"/>
      <c r="H754" s="34"/>
      <c r="I754" s="34"/>
      <c r="K754" s="337">
        <v>2690103</v>
      </c>
      <c r="L754" s="16" t="s">
        <v>1915</v>
      </c>
      <c r="M754" s="34" t="s">
        <v>31</v>
      </c>
      <c r="N754" s="39"/>
      <c r="O754" s="39"/>
      <c r="P754" s="39"/>
      <c r="Q754" s="34" t="s">
        <v>33</v>
      </c>
      <c r="R754" s="34" t="s">
        <v>94</v>
      </c>
      <c r="S754" s="34" t="s">
        <v>35</v>
      </c>
      <c r="T754" s="34" t="s">
        <v>36</v>
      </c>
      <c r="U754" s="39" t="s">
        <v>1853</v>
      </c>
    </row>
    <row r="755" spans="2:21">
      <c r="B755" s="46" t="s">
        <v>47</v>
      </c>
      <c r="C755" s="46" t="s">
        <v>28</v>
      </c>
      <c r="D755" s="47">
        <v>45807</v>
      </c>
      <c r="F755" s="34"/>
      <c r="G755" s="46"/>
      <c r="H755" s="34"/>
      <c r="I755" s="34"/>
      <c r="K755" s="337">
        <v>2690002</v>
      </c>
      <c r="L755" s="16" t="s">
        <v>1916</v>
      </c>
      <c r="M755" s="34" t="s">
        <v>31</v>
      </c>
      <c r="N755" s="39"/>
      <c r="O755" s="39"/>
      <c r="P755" s="39"/>
      <c r="Q755" s="34" t="s">
        <v>33</v>
      </c>
      <c r="R755" s="34" t="s">
        <v>94</v>
      </c>
      <c r="S755" s="34" t="s">
        <v>35</v>
      </c>
      <c r="T755" s="34" t="s">
        <v>36</v>
      </c>
      <c r="U755" s="39" t="s">
        <v>1853</v>
      </c>
    </row>
    <row r="756" spans="2:21">
      <c r="B756" s="46" t="s">
        <v>47</v>
      </c>
      <c r="C756" s="46" t="s">
        <v>28</v>
      </c>
      <c r="D756" s="47">
        <v>45807</v>
      </c>
      <c r="F756" s="34"/>
      <c r="G756" s="46"/>
      <c r="H756" s="34"/>
      <c r="I756" s="34"/>
      <c r="K756" s="337">
        <v>2690001</v>
      </c>
      <c r="L756" s="16" t="s">
        <v>1917</v>
      </c>
      <c r="M756" s="34" t="s">
        <v>31</v>
      </c>
      <c r="N756" s="39"/>
      <c r="O756" s="39"/>
      <c r="P756" s="39"/>
      <c r="Q756" s="34" t="s">
        <v>33</v>
      </c>
      <c r="R756" s="34" t="s">
        <v>94</v>
      </c>
      <c r="S756" s="34" t="s">
        <v>35</v>
      </c>
      <c r="T756" s="34" t="s">
        <v>36</v>
      </c>
      <c r="U756" s="39" t="s">
        <v>1853</v>
      </c>
    </row>
    <row r="757" spans="2:21">
      <c r="B757" s="46" t="s">
        <v>47</v>
      </c>
      <c r="C757" s="46" t="s">
        <v>28</v>
      </c>
      <c r="D757" s="47">
        <v>45807</v>
      </c>
      <c r="F757" s="34"/>
      <c r="G757" s="46"/>
      <c r="H757" s="34"/>
      <c r="I757" s="34"/>
      <c r="K757" s="337">
        <v>2690201</v>
      </c>
      <c r="L757" s="16" t="s">
        <v>1918</v>
      </c>
      <c r="M757" s="34" t="s">
        <v>31</v>
      </c>
      <c r="N757" s="39"/>
      <c r="O757" s="39"/>
      <c r="P757" s="39"/>
      <c r="Q757" s="34" t="s">
        <v>33</v>
      </c>
      <c r="R757" s="34" t="s">
        <v>94</v>
      </c>
      <c r="S757" s="34" t="s">
        <v>35</v>
      </c>
      <c r="T757" s="34" t="s">
        <v>36</v>
      </c>
      <c r="U757" s="39" t="s">
        <v>1853</v>
      </c>
    </row>
    <row r="758" spans="2:21">
      <c r="B758" s="46" t="s">
        <v>47</v>
      </c>
      <c r="C758" s="46" t="s">
        <v>28</v>
      </c>
      <c r="D758" s="47">
        <v>45807</v>
      </c>
      <c r="F758" s="34"/>
      <c r="G758" s="46"/>
      <c r="H758" s="34"/>
      <c r="I758" s="34"/>
      <c r="K758" s="337">
        <v>2690301</v>
      </c>
      <c r="L758" s="16" t="s">
        <v>1919</v>
      </c>
      <c r="M758" s="34" t="s">
        <v>31</v>
      </c>
      <c r="N758" s="39"/>
      <c r="O758" s="39"/>
      <c r="P758" s="39"/>
      <c r="Q758" s="34" t="s">
        <v>33</v>
      </c>
      <c r="R758" s="34" t="s">
        <v>94</v>
      </c>
      <c r="S758" s="34" t="s">
        <v>35</v>
      </c>
      <c r="T758" s="34" t="s">
        <v>36</v>
      </c>
      <c r="U758" s="39" t="s">
        <v>1853</v>
      </c>
    </row>
    <row r="759" spans="2:21">
      <c r="B759" s="46" t="s">
        <v>47</v>
      </c>
      <c r="C759" s="46" t="s">
        <v>28</v>
      </c>
      <c r="D759" s="47">
        <v>45807</v>
      </c>
      <c r="F759" s="34"/>
      <c r="G759" s="46"/>
      <c r="H759" s="34"/>
      <c r="I759" s="34"/>
      <c r="K759" s="337">
        <v>2130605</v>
      </c>
      <c r="L759" s="16" t="s">
        <v>1920</v>
      </c>
      <c r="M759" s="34" t="s">
        <v>31</v>
      </c>
      <c r="N759" s="39"/>
      <c r="O759" s="39"/>
      <c r="P759" s="39"/>
      <c r="Q759" s="34" t="s">
        <v>33</v>
      </c>
      <c r="R759" s="34" t="s">
        <v>94</v>
      </c>
      <c r="S759" s="34" t="s">
        <v>35</v>
      </c>
      <c r="T759" s="34" t="s">
        <v>36</v>
      </c>
      <c r="U759" s="39" t="s">
        <v>1853</v>
      </c>
    </row>
    <row r="760" spans="2:21">
      <c r="B760" s="46" t="s">
        <v>47</v>
      </c>
      <c r="C760" s="46" t="s">
        <v>28</v>
      </c>
      <c r="D760" s="47">
        <v>45807</v>
      </c>
      <c r="F760" s="34"/>
      <c r="G760" s="46"/>
      <c r="H760" s="34"/>
      <c r="I760" s="34"/>
      <c r="K760" s="337">
        <v>910209</v>
      </c>
      <c r="L760" s="16" t="s">
        <v>1921</v>
      </c>
      <c r="M760" s="34" t="s">
        <v>31</v>
      </c>
      <c r="N760" s="39"/>
      <c r="O760" s="39"/>
      <c r="P760" s="39"/>
      <c r="Q760" s="34" t="s">
        <v>33</v>
      </c>
      <c r="R760" s="34" t="s">
        <v>94</v>
      </c>
      <c r="S760" s="34" t="s">
        <v>35</v>
      </c>
      <c r="T760" s="34" t="s">
        <v>36</v>
      </c>
      <c r="U760" s="39" t="s">
        <v>1853</v>
      </c>
    </row>
    <row r="761" spans="2:21">
      <c r="B761" s="46" t="s">
        <v>47</v>
      </c>
      <c r="C761" s="46" t="s">
        <v>28</v>
      </c>
      <c r="D761" s="47">
        <v>45814</v>
      </c>
      <c r="F761" s="34"/>
      <c r="G761" s="46"/>
      <c r="H761" s="34"/>
      <c r="I761" s="34"/>
      <c r="K761" s="337">
        <v>2693402</v>
      </c>
      <c r="L761" s="16" t="s">
        <v>1922</v>
      </c>
      <c r="M761" s="34" t="s">
        <v>31</v>
      </c>
      <c r="N761" s="34"/>
      <c r="O761" s="34"/>
      <c r="P761" s="34"/>
      <c r="Q761" s="34" t="s">
        <v>33</v>
      </c>
      <c r="R761" s="34" t="s">
        <v>94</v>
      </c>
      <c r="S761" s="34" t="s">
        <v>35</v>
      </c>
      <c r="T761" s="34" t="s">
        <v>36</v>
      </c>
      <c r="U761" s="39" t="s">
        <v>1923</v>
      </c>
    </row>
    <row r="762" spans="2:21">
      <c r="B762" s="46" t="s">
        <v>47</v>
      </c>
      <c r="C762" s="46" t="s">
        <v>28</v>
      </c>
      <c r="D762" s="47">
        <v>45814</v>
      </c>
      <c r="F762" s="34"/>
      <c r="G762" s="46"/>
      <c r="H762" s="34"/>
      <c r="I762" s="34"/>
      <c r="K762" s="337">
        <v>2693401</v>
      </c>
      <c r="L762" s="16" t="s">
        <v>1924</v>
      </c>
      <c r="M762" s="34" t="s">
        <v>31</v>
      </c>
      <c r="N762" s="34"/>
      <c r="O762" s="34"/>
      <c r="P762" s="34"/>
      <c r="Q762" s="34" t="s">
        <v>33</v>
      </c>
      <c r="R762" s="34" t="s">
        <v>94</v>
      </c>
      <c r="S762" s="34" t="s">
        <v>35</v>
      </c>
      <c r="T762" s="34" t="s">
        <v>36</v>
      </c>
      <c r="U762" s="39" t="s">
        <v>1923</v>
      </c>
    </row>
    <row r="763" spans="2:21">
      <c r="B763" s="46" t="s">
        <v>47</v>
      </c>
      <c r="C763" s="46" t="s">
        <v>28</v>
      </c>
      <c r="D763" s="47">
        <v>45814</v>
      </c>
      <c r="F763" s="34"/>
      <c r="G763" s="46"/>
      <c r="H763" s="34"/>
      <c r="I763" s="34"/>
      <c r="K763" s="337">
        <v>2604705</v>
      </c>
      <c r="L763" s="16" t="s">
        <v>1925</v>
      </c>
      <c r="M763" s="34" t="s">
        <v>31</v>
      </c>
      <c r="N763" s="34"/>
      <c r="O763" s="34"/>
      <c r="P763" s="34"/>
      <c r="Q763" s="34" t="s">
        <v>33</v>
      </c>
      <c r="R763" s="34" t="s">
        <v>94</v>
      </c>
      <c r="S763" s="34" t="s">
        <v>35</v>
      </c>
      <c r="T763" s="34" t="s">
        <v>36</v>
      </c>
      <c r="U763" s="39" t="s">
        <v>1923</v>
      </c>
    </row>
    <row r="764" spans="2:21">
      <c r="B764" s="46" t="s">
        <v>47</v>
      </c>
      <c r="C764" s="46" t="s">
        <v>28</v>
      </c>
      <c r="D764" s="47">
        <v>45814</v>
      </c>
      <c r="F764" s="34"/>
      <c r="G764" s="46"/>
      <c r="H764" s="34"/>
      <c r="I764" s="34"/>
      <c r="K764" s="337">
        <v>2604704</v>
      </c>
      <c r="L764" s="16" t="s">
        <v>1926</v>
      </c>
      <c r="M764" s="34" t="s">
        <v>31</v>
      </c>
      <c r="N764" s="34"/>
      <c r="O764" s="34"/>
      <c r="P764" s="34"/>
      <c r="Q764" s="34" t="s">
        <v>33</v>
      </c>
      <c r="R764" s="34" t="s">
        <v>94</v>
      </c>
      <c r="S764" s="34" t="s">
        <v>35</v>
      </c>
      <c r="T764" s="34" t="s">
        <v>36</v>
      </c>
      <c r="U764" s="39" t="s">
        <v>1923</v>
      </c>
    </row>
    <row r="765" spans="2:21">
      <c r="B765" s="46" t="s">
        <v>47</v>
      </c>
      <c r="C765" s="46" t="s">
        <v>28</v>
      </c>
      <c r="D765" s="47">
        <v>45814</v>
      </c>
      <c r="F765" s="34"/>
      <c r="G765" s="46"/>
      <c r="H765" s="34"/>
      <c r="I765" s="34"/>
      <c r="K765" s="337">
        <v>2604703</v>
      </c>
      <c r="L765" s="16" t="s">
        <v>1927</v>
      </c>
      <c r="M765" s="34" t="s">
        <v>31</v>
      </c>
      <c r="N765" s="34"/>
      <c r="O765" s="34"/>
      <c r="P765" s="34"/>
      <c r="Q765" s="34" t="s">
        <v>33</v>
      </c>
      <c r="R765" s="34" t="s">
        <v>94</v>
      </c>
      <c r="S765" s="34" t="s">
        <v>35</v>
      </c>
      <c r="T765" s="34" t="s">
        <v>36</v>
      </c>
      <c r="U765" s="39" t="s">
        <v>1923</v>
      </c>
    </row>
    <row r="766" spans="2:21">
      <c r="B766" s="46" t="s">
        <v>47</v>
      </c>
      <c r="C766" s="46" t="s">
        <v>28</v>
      </c>
      <c r="D766" s="47">
        <v>45814</v>
      </c>
      <c r="F766" s="34"/>
      <c r="G766" s="46"/>
      <c r="H766" s="34"/>
      <c r="I766" s="34"/>
      <c r="K766" s="337">
        <v>2604706</v>
      </c>
      <c r="L766" s="16" t="s">
        <v>1928</v>
      </c>
      <c r="M766" s="34" t="s">
        <v>31</v>
      </c>
      <c r="N766" s="34"/>
      <c r="O766" s="34"/>
      <c r="P766" s="34"/>
      <c r="Q766" s="34" t="s">
        <v>33</v>
      </c>
      <c r="R766" s="34" t="s">
        <v>94</v>
      </c>
      <c r="S766" s="34" t="s">
        <v>35</v>
      </c>
      <c r="T766" s="34" t="s">
        <v>36</v>
      </c>
      <c r="U766" s="39" t="s">
        <v>1923</v>
      </c>
    </row>
    <row r="767" spans="2:21">
      <c r="B767" s="46" t="s">
        <v>47</v>
      </c>
      <c r="C767" s="46" t="s">
        <v>28</v>
      </c>
      <c r="D767" s="47">
        <v>45821</v>
      </c>
      <c r="F767" s="34"/>
      <c r="G767" s="46"/>
      <c r="H767" s="34"/>
      <c r="I767" s="34"/>
      <c r="K767" s="337">
        <v>2694501</v>
      </c>
      <c r="L767" s="16" t="s">
        <v>1929</v>
      </c>
      <c r="M767" s="34" t="s">
        <v>31</v>
      </c>
      <c r="N767" s="34"/>
      <c r="O767" s="34"/>
      <c r="P767" s="34"/>
      <c r="Q767" s="34" t="s">
        <v>33</v>
      </c>
      <c r="R767" s="34" t="s">
        <v>94</v>
      </c>
      <c r="S767" s="34" t="s">
        <v>35</v>
      </c>
      <c r="T767" s="34" t="s">
        <v>36</v>
      </c>
      <c r="U767" s="39" t="s">
        <v>1853</v>
      </c>
    </row>
    <row r="768" spans="2:21">
      <c r="B768" s="46" t="s">
        <v>47</v>
      </c>
      <c r="C768" s="46" t="s">
        <v>28</v>
      </c>
      <c r="D768" s="47">
        <v>45821</v>
      </c>
      <c r="F768" s="34"/>
      <c r="G768" s="46"/>
      <c r="H768" s="34"/>
      <c r="I768" s="34"/>
      <c r="K768" s="337">
        <v>2694502</v>
      </c>
      <c r="L768" s="16" t="s">
        <v>1930</v>
      </c>
      <c r="M768" s="34" t="s">
        <v>31</v>
      </c>
      <c r="N768" s="34"/>
      <c r="O768" s="34"/>
      <c r="P768" s="34"/>
      <c r="Q768" s="34" t="s">
        <v>33</v>
      </c>
      <c r="R768" s="34" t="s">
        <v>94</v>
      </c>
      <c r="S768" s="34" t="s">
        <v>35</v>
      </c>
      <c r="T768" s="34" t="s">
        <v>36</v>
      </c>
      <c r="U768" s="39" t="s">
        <v>1853</v>
      </c>
    </row>
    <row r="769" spans="2:21">
      <c r="B769" s="46" t="s">
        <v>47</v>
      </c>
      <c r="C769" s="46" t="s">
        <v>28</v>
      </c>
      <c r="D769" s="47">
        <v>45835</v>
      </c>
      <c r="F769" s="34"/>
      <c r="G769" s="46"/>
      <c r="H769" s="34"/>
      <c r="I769" s="34"/>
      <c r="K769" s="337">
        <v>2522317</v>
      </c>
      <c r="L769" s="16" t="s">
        <v>1931</v>
      </c>
      <c r="M769" s="34" t="s">
        <v>31</v>
      </c>
      <c r="N769" s="34"/>
      <c r="O769" s="34"/>
      <c r="P769" s="34"/>
      <c r="Q769" s="34" t="s">
        <v>33</v>
      </c>
      <c r="R769" s="34" t="s">
        <v>94</v>
      </c>
      <c r="S769" s="34" t="s">
        <v>35</v>
      </c>
      <c r="T769" s="34" t="s">
        <v>36</v>
      </c>
      <c r="U769" s="39" t="s">
        <v>1853</v>
      </c>
    </row>
    <row r="770" spans="2:21">
      <c r="B770" s="46" t="s">
        <v>47</v>
      </c>
      <c r="C770" s="46" t="s">
        <v>28</v>
      </c>
      <c r="D770" s="47">
        <v>45835</v>
      </c>
      <c r="F770" s="34"/>
      <c r="G770" s="46"/>
      <c r="H770" s="34"/>
      <c r="I770" s="34"/>
      <c r="K770" s="337">
        <v>2137707</v>
      </c>
      <c r="L770" s="16" t="s">
        <v>1932</v>
      </c>
      <c r="M770" s="34" t="s">
        <v>31</v>
      </c>
      <c r="N770" s="34"/>
      <c r="O770" s="34"/>
      <c r="P770" s="34"/>
      <c r="Q770" s="34" t="s">
        <v>33</v>
      </c>
      <c r="R770" s="34" t="s">
        <v>94</v>
      </c>
      <c r="S770" s="34" t="s">
        <v>35</v>
      </c>
      <c r="T770" s="34" t="s">
        <v>36</v>
      </c>
      <c r="U770" s="39" t="s">
        <v>1853</v>
      </c>
    </row>
    <row r="771" spans="2:21">
      <c r="B771" s="46" t="s">
        <v>47</v>
      </c>
      <c r="C771" s="46" t="s">
        <v>28</v>
      </c>
      <c r="D771" s="47">
        <v>45835</v>
      </c>
      <c r="F771" s="34"/>
      <c r="G771" s="46"/>
      <c r="H771" s="34"/>
      <c r="I771" s="34"/>
      <c r="K771" s="337">
        <v>2696201</v>
      </c>
      <c r="L771" s="16" t="s">
        <v>1933</v>
      </c>
      <c r="M771" s="34" t="s">
        <v>31</v>
      </c>
      <c r="N771" s="34"/>
      <c r="O771" s="34"/>
      <c r="P771" s="34"/>
      <c r="Q771" s="34" t="s">
        <v>33</v>
      </c>
      <c r="R771" s="34" t="s">
        <v>94</v>
      </c>
      <c r="S771" s="34" t="s">
        <v>35</v>
      </c>
      <c r="T771" s="34" t="s">
        <v>36</v>
      </c>
      <c r="U771" s="39" t="s">
        <v>1853</v>
      </c>
    </row>
    <row r="772" spans="2:21">
      <c r="B772" s="46" t="s">
        <v>47</v>
      </c>
      <c r="C772" s="46" t="s">
        <v>28</v>
      </c>
      <c r="D772" s="47">
        <v>45842</v>
      </c>
      <c r="F772" s="34"/>
      <c r="G772" s="46"/>
      <c r="H772" s="34"/>
      <c r="I772" s="34"/>
      <c r="K772" s="337">
        <v>2698701</v>
      </c>
      <c r="L772" s="16" t="s">
        <v>1934</v>
      </c>
      <c r="M772" s="34" t="s">
        <v>31</v>
      </c>
      <c r="N772" s="34"/>
      <c r="O772" s="34"/>
      <c r="P772" s="34"/>
      <c r="Q772" s="34" t="s">
        <v>33</v>
      </c>
      <c r="R772" s="34" t="s">
        <v>94</v>
      </c>
      <c r="S772" s="34" t="s">
        <v>35</v>
      </c>
      <c r="T772" s="34" t="s">
        <v>36</v>
      </c>
      <c r="U772" s="39" t="s">
        <v>1853</v>
      </c>
    </row>
    <row r="773" spans="2:21">
      <c r="B773" s="46" t="s">
        <v>47</v>
      </c>
      <c r="C773" s="46" t="s">
        <v>28</v>
      </c>
      <c r="D773" s="47">
        <v>45842</v>
      </c>
      <c r="F773" s="34"/>
      <c r="G773" s="46"/>
      <c r="H773" s="34"/>
      <c r="I773" s="34"/>
      <c r="K773" s="337">
        <v>2698702</v>
      </c>
      <c r="L773" s="16" t="s">
        <v>1935</v>
      </c>
      <c r="M773" s="34" t="s">
        <v>31</v>
      </c>
      <c r="N773" s="34"/>
      <c r="O773" s="34"/>
      <c r="P773" s="34"/>
      <c r="Q773" s="34" t="s">
        <v>33</v>
      </c>
      <c r="R773" s="34" t="s">
        <v>94</v>
      </c>
      <c r="S773" s="34" t="s">
        <v>35</v>
      </c>
      <c r="T773" s="34" t="s">
        <v>36</v>
      </c>
      <c r="U773" s="39" t="s">
        <v>1853</v>
      </c>
    </row>
    <row r="774" spans="2:21">
      <c r="B774" s="46" t="s">
        <v>47</v>
      </c>
      <c r="C774" s="46" t="s">
        <v>28</v>
      </c>
      <c r="D774" s="47">
        <v>45842</v>
      </c>
      <c r="F774" s="34"/>
      <c r="G774" s="46"/>
      <c r="H774" s="34"/>
      <c r="I774" s="34"/>
      <c r="K774" s="337">
        <v>1932008</v>
      </c>
      <c r="L774" s="16" t="s">
        <v>1936</v>
      </c>
      <c r="M774" s="34" t="s">
        <v>31</v>
      </c>
      <c r="N774" s="34"/>
      <c r="O774" s="34"/>
      <c r="P774" s="34"/>
      <c r="Q774" s="34" t="s">
        <v>33</v>
      </c>
      <c r="R774" s="34" t="s">
        <v>94</v>
      </c>
      <c r="S774" s="34" t="s">
        <v>35</v>
      </c>
      <c r="T774" s="34" t="s">
        <v>36</v>
      </c>
      <c r="U774" s="39" t="s">
        <v>1853</v>
      </c>
    </row>
    <row r="775" spans="2:21">
      <c r="B775" s="46" t="s">
        <v>47</v>
      </c>
      <c r="C775" s="46" t="s">
        <v>28</v>
      </c>
      <c r="D775" s="47">
        <v>45842</v>
      </c>
      <c r="F775" s="34"/>
      <c r="G775" s="46"/>
      <c r="H775" s="34"/>
      <c r="I775" s="34"/>
      <c r="K775" s="337">
        <v>1932007</v>
      </c>
      <c r="L775" s="16" t="s">
        <v>1937</v>
      </c>
      <c r="M775" s="34" t="s">
        <v>31</v>
      </c>
      <c r="N775" s="34"/>
      <c r="O775" s="34"/>
      <c r="P775" s="34"/>
      <c r="Q775" s="34" t="s">
        <v>33</v>
      </c>
      <c r="R775" s="34" t="s">
        <v>94</v>
      </c>
      <c r="S775" s="34" t="s">
        <v>35</v>
      </c>
      <c r="T775" s="34" t="s">
        <v>36</v>
      </c>
      <c r="U775" s="39" t="s">
        <v>1853</v>
      </c>
    </row>
    <row r="776" spans="2:21">
      <c r="B776" s="46" t="s">
        <v>47</v>
      </c>
      <c r="C776" s="46" t="s">
        <v>28</v>
      </c>
      <c r="D776" s="47">
        <v>45842</v>
      </c>
      <c r="F776" s="34"/>
      <c r="G776" s="46"/>
      <c r="H776" s="34"/>
      <c r="I776" s="34"/>
      <c r="K776" s="337">
        <v>2676003</v>
      </c>
      <c r="L776" s="16" t="s">
        <v>1858</v>
      </c>
      <c r="M776" s="34" t="s">
        <v>31</v>
      </c>
      <c r="N776" s="34"/>
      <c r="O776" s="34"/>
      <c r="P776" s="34"/>
      <c r="Q776" s="34" t="s">
        <v>33</v>
      </c>
      <c r="R776" s="34" t="s">
        <v>94</v>
      </c>
      <c r="S776" s="34" t="s">
        <v>35</v>
      </c>
      <c r="T776" s="34" t="s">
        <v>36</v>
      </c>
      <c r="U776" s="39" t="s">
        <v>1853</v>
      </c>
    </row>
    <row r="777" spans="2:21">
      <c r="B777" s="46" t="s">
        <v>47</v>
      </c>
      <c r="C777" s="46" t="s">
        <v>28</v>
      </c>
      <c r="D777" s="47">
        <v>45856</v>
      </c>
      <c r="F777" s="34"/>
      <c r="G777" s="46"/>
      <c r="H777" s="34"/>
      <c r="I777" s="34"/>
      <c r="K777" s="337">
        <v>2522003</v>
      </c>
      <c r="L777" s="16" t="s">
        <v>1938</v>
      </c>
      <c r="M777" s="34" t="s">
        <v>31</v>
      </c>
      <c r="N777" s="34"/>
      <c r="O777" s="34"/>
      <c r="P777" s="34"/>
      <c r="Q777" s="34" t="s">
        <v>33</v>
      </c>
      <c r="R777" s="34" t="s">
        <v>94</v>
      </c>
      <c r="S777" s="34" t="s">
        <v>35</v>
      </c>
      <c r="T777" s="34" t="s">
        <v>36</v>
      </c>
      <c r="U777" s="39" t="s">
        <v>1853</v>
      </c>
    </row>
    <row r="778" spans="2:21">
      <c r="B778" s="46" t="s">
        <v>47</v>
      </c>
      <c r="C778" s="46" t="s">
        <v>28</v>
      </c>
      <c r="D778" s="47">
        <v>45863</v>
      </c>
      <c r="F778" s="34"/>
      <c r="G778" s="46"/>
      <c r="H778" s="34"/>
      <c r="I778" s="34"/>
      <c r="K778" s="337">
        <v>2641803</v>
      </c>
      <c r="L778" s="16" t="s">
        <v>1939</v>
      </c>
      <c r="M778" s="34" t="s">
        <v>31</v>
      </c>
      <c r="N778" s="34"/>
      <c r="O778" s="34"/>
      <c r="P778" s="34"/>
      <c r="Q778" s="34" t="s">
        <v>33</v>
      </c>
      <c r="R778" s="34" t="s">
        <v>94</v>
      </c>
      <c r="S778" s="34" t="s">
        <v>35</v>
      </c>
      <c r="T778" s="34" t="s">
        <v>36</v>
      </c>
      <c r="U778" s="39" t="s">
        <v>1853</v>
      </c>
    </row>
    <row r="779" spans="2:21">
      <c r="B779" s="46" t="s">
        <v>47</v>
      </c>
      <c r="C779" s="46" t="s">
        <v>28</v>
      </c>
      <c r="D779" s="47">
        <v>45863</v>
      </c>
      <c r="F779" s="34"/>
      <c r="G779" s="46"/>
      <c r="H779" s="34"/>
      <c r="I779" s="34"/>
      <c r="K779" s="337">
        <v>2641804</v>
      </c>
      <c r="L779" s="16" t="s">
        <v>1940</v>
      </c>
      <c r="M779" s="34" t="s">
        <v>31</v>
      </c>
      <c r="N779" s="34"/>
      <c r="O779" s="34"/>
      <c r="P779" s="34"/>
      <c r="Q779" s="34" t="s">
        <v>33</v>
      </c>
      <c r="R779" s="34" t="s">
        <v>94</v>
      </c>
      <c r="S779" s="34" t="s">
        <v>35</v>
      </c>
      <c r="T779" s="34" t="s">
        <v>36</v>
      </c>
      <c r="U779" s="39" t="s">
        <v>1853</v>
      </c>
    </row>
    <row r="780" spans="2:21">
      <c r="B780" s="46" t="s">
        <v>47</v>
      </c>
      <c r="C780" s="46" t="s">
        <v>28</v>
      </c>
      <c r="D780" s="47">
        <v>45896</v>
      </c>
      <c r="F780" s="34"/>
      <c r="G780" s="46"/>
      <c r="H780" s="34"/>
      <c r="I780" s="34"/>
      <c r="K780" s="337">
        <v>2729801</v>
      </c>
      <c r="L780" s="16" t="s">
        <v>1941</v>
      </c>
      <c r="M780" s="34" t="s">
        <v>31</v>
      </c>
      <c r="N780" s="34"/>
      <c r="O780" s="34"/>
      <c r="P780" s="34"/>
      <c r="Q780" s="34" t="s">
        <v>33</v>
      </c>
      <c r="R780" s="34" t="s">
        <v>94</v>
      </c>
      <c r="S780" s="34" t="s">
        <v>35</v>
      </c>
      <c r="T780" s="34" t="s">
        <v>36</v>
      </c>
      <c r="U780" s="46"/>
    </row>
    <row r="781" spans="2:21">
      <c r="B781" s="46" t="s">
        <v>47</v>
      </c>
      <c r="C781" s="46" t="s">
        <v>28</v>
      </c>
      <c r="D781" s="47">
        <v>45896</v>
      </c>
      <c r="F781" s="34"/>
      <c r="G781" s="46"/>
      <c r="H781" s="34"/>
      <c r="I781" s="34"/>
      <c r="K781" s="337">
        <v>2411809</v>
      </c>
      <c r="L781" s="16" t="s">
        <v>1942</v>
      </c>
      <c r="M781" s="34" t="s">
        <v>31</v>
      </c>
      <c r="N781" s="34"/>
      <c r="O781" s="34"/>
      <c r="P781" s="34"/>
      <c r="Q781" s="34" t="s">
        <v>33</v>
      </c>
      <c r="R781" s="34" t="s">
        <v>94</v>
      </c>
      <c r="S781" s="34" t="s">
        <v>35</v>
      </c>
      <c r="T781" s="34" t="s">
        <v>36</v>
      </c>
      <c r="U781" s="39" t="s">
        <v>1853</v>
      </c>
    </row>
    <row r="782" spans="2:21">
      <c r="B782" s="46" t="s">
        <v>47</v>
      </c>
      <c r="C782" s="46" t="s">
        <v>28</v>
      </c>
      <c r="D782" s="47">
        <v>45896</v>
      </c>
      <c r="F782" s="34"/>
      <c r="G782" s="46"/>
      <c r="H782" s="34"/>
      <c r="I782" s="34"/>
      <c r="K782" s="337">
        <v>2729401</v>
      </c>
      <c r="L782" s="16" t="s">
        <v>1943</v>
      </c>
      <c r="M782" s="34" t="s">
        <v>31</v>
      </c>
      <c r="N782" s="34"/>
      <c r="O782" s="34"/>
      <c r="P782" s="34"/>
      <c r="Q782" s="34" t="s">
        <v>33</v>
      </c>
      <c r="R782" s="34" t="s">
        <v>94</v>
      </c>
      <c r="S782" s="34" t="s">
        <v>35</v>
      </c>
      <c r="T782" s="34" t="s">
        <v>36</v>
      </c>
      <c r="U782" s="39" t="s">
        <v>1853</v>
      </c>
    </row>
    <row r="783" spans="2:21">
      <c r="B783" s="46" t="s">
        <v>47</v>
      </c>
      <c r="C783" s="46" t="s">
        <v>28</v>
      </c>
      <c r="D783" s="47">
        <v>45896</v>
      </c>
      <c r="F783" s="34"/>
      <c r="G783" s="46"/>
      <c r="H783" s="34"/>
      <c r="I783" s="34"/>
      <c r="K783" s="337">
        <v>2729402</v>
      </c>
      <c r="L783" s="16" t="s">
        <v>1944</v>
      </c>
      <c r="M783" s="34" t="s">
        <v>31</v>
      </c>
      <c r="N783" s="34"/>
      <c r="O783" s="34"/>
      <c r="P783" s="34"/>
      <c r="Q783" s="34" t="s">
        <v>33</v>
      </c>
      <c r="R783" s="34" t="s">
        <v>94</v>
      </c>
      <c r="S783" s="34" t="s">
        <v>35</v>
      </c>
      <c r="T783" s="34" t="s">
        <v>36</v>
      </c>
      <c r="U783" s="39" t="s">
        <v>1853</v>
      </c>
    </row>
    <row r="784" spans="2:21">
      <c r="B784" s="46" t="s">
        <v>47</v>
      </c>
      <c r="C784" s="46" t="s">
        <v>28</v>
      </c>
      <c r="D784" s="47">
        <v>45896</v>
      </c>
      <c r="F784" s="34"/>
      <c r="G784" s="46"/>
      <c r="H784" s="34"/>
      <c r="I784" s="34"/>
      <c r="K784" s="337">
        <v>1010105</v>
      </c>
      <c r="L784" s="16" t="s">
        <v>1945</v>
      </c>
      <c r="M784" s="34" t="s">
        <v>31</v>
      </c>
      <c r="N784" s="34"/>
      <c r="O784" s="34"/>
      <c r="P784" s="34"/>
      <c r="Q784" s="34" t="s">
        <v>33</v>
      </c>
      <c r="R784" s="34" t="s">
        <v>94</v>
      </c>
      <c r="S784" s="34" t="s">
        <v>35</v>
      </c>
      <c r="T784" s="34" t="s">
        <v>36</v>
      </c>
      <c r="U784" s="39" t="s">
        <v>1853</v>
      </c>
    </row>
    <row r="785" spans="2:21">
      <c r="B785" s="46" t="s">
        <v>47</v>
      </c>
      <c r="C785" s="46" t="s">
        <v>28</v>
      </c>
      <c r="D785" s="47">
        <v>45896</v>
      </c>
      <c r="F785" s="34"/>
      <c r="G785" s="46"/>
      <c r="H785" s="34"/>
      <c r="I785" s="34"/>
      <c r="K785" s="337">
        <v>1874006</v>
      </c>
      <c r="L785" s="16" t="s">
        <v>1946</v>
      </c>
      <c r="M785" s="34" t="s">
        <v>31</v>
      </c>
      <c r="N785" s="34"/>
      <c r="O785" s="34"/>
      <c r="P785" s="34"/>
      <c r="Q785" s="34" t="s">
        <v>33</v>
      </c>
      <c r="R785" s="34" t="s">
        <v>94</v>
      </c>
      <c r="S785" s="34" t="s">
        <v>35</v>
      </c>
      <c r="T785" s="34" t="s">
        <v>36</v>
      </c>
      <c r="U785" s="39" t="s">
        <v>1853</v>
      </c>
    </row>
    <row r="786" spans="2:21">
      <c r="B786" s="46" t="s">
        <v>47</v>
      </c>
      <c r="C786" s="46" t="s">
        <v>28</v>
      </c>
      <c r="D786" s="47">
        <v>45919</v>
      </c>
      <c r="F786" s="34"/>
      <c r="G786" s="46"/>
      <c r="H786" s="34"/>
      <c r="I786" s="34"/>
      <c r="K786" s="337">
        <v>369307</v>
      </c>
      <c r="L786" s="16" t="s">
        <v>1947</v>
      </c>
      <c r="M786" s="34" t="s">
        <v>31</v>
      </c>
      <c r="N786" s="34"/>
      <c r="O786" s="34"/>
      <c r="P786" s="34"/>
      <c r="Q786" s="34" t="s">
        <v>33</v>
      </c>
      <c r="R786" s="34" t="s">
        <v>94</v>
      </c>
      <c r="S786" s="34" t="s">
        <v>35</v>
      </c>
      <c r="T786" s="34" t="s">
        <v>36</v>
      </c>
      <c r="U786" s="39" t="s">
        <v>1853</v>
      </c>
    </row>
    <row r="787" spans="2:21">
      <c r="B787" s="46" t="s">
        <v>47</v>
      </c>
      <c r="C787" s="46" t="s">
        <v>28</v>
      </c>
      <c r="D787" s="47">
        <v>45919</v>
      </c>
      <c r="F787" s="34"/>
      <c r="G787" s="46"/>
      <c r="H787" s="34"/>
      <c r="I787" s="34"/>
      <c r="K787" s="337">
        <v>1704311</v>
      </c>
      <c r="L787" s="16" t="s">
        <v>1948</v>
      </c>
      <c r="M787" s="34" t="s">
        <v>31</v>
      </c>
      <c r="N787" s="34"/>
      <c r="O787" s="34"/>
      <c r="P787" s="34"/>
      <c r="Q787" s="34" t="s">
        <v>33</v>
      </c>
      <c r="R787" s="34" t="s">
        <v>94</v>
      </c>
      <c r="S787" s="34" t="s">
        <v>35</v>
      </c>
      <c r="T787" s="34" t="s">
        <v>36</v>
      </c>
      <c r="U787" s="39" t="s">
        <v>1853</v>
      </c>
    </row>
    <row r="788" spans="2:21">
      <c r="B788" s="46" t="s">
        <v>47</v>
      </c>
      <c r="C788" s="46" t="s">
        <v>28</v>
      </c>
      <c r="D788" s="47">
        <v>45919</v>
      </c>
      <c r="F788" s="34"/>
      <c r="G788" s="46"/>
      <c r="H788" s="34"/>
      <c r="I788" s="34"/>
      <c r="K788" s="337">
        <v>2625607</v>
      </c>
      <c r="L788" s="16" t="s">
        <v>1949</v>
      </c>
      <c r="M788" s="34" t="s">
        <v>31</v>
      </c>
      <c r="N788" s="34"/>
      <c r="O788" s="34"/>
      <c r="P788" s="34"/>
      <c r="Q788" s="111" t="s">
        <v>33</v>
      </c>
      <c r="R788" s="34" t="s">
        <v>94</v>
      </c>
      <c r="S788" s="34" t="s">
        <v>35</v>
      </c>
      <c r="T788" s="34" t="s">
        <v>36</v>
      </c>
      <c r="U788" s="39" t="s">
        <v>1853</v>
      </c>
    </row>
    <row r="789" spans="2:21">
      <c r="B789" s="46" t="s">
        <v>47</v>
      </c>
      <c r="C789" s="46" t="s">
        <v>28</v>
      </c>
      <c r="D789" s="47">
        <v>45919</v>
      </c>
      <c r="F789" s="34"/>
      <c r="G789" s="46"/>
      <c r="H789" s="34"/>
      <c r="I789" s="34"/>
      <c r="K789" s="337">
        <v>2625608</v>
      </c>
      <c r="L789" s="16" t="s">
        <v>1950</v>
      </c>
      <c r="M789" s="34" t="s">
        <v>31</v>
      </c>
      <c r="N789" s="34"/>
      <c r="O789" s="34"/>
      <c r="P789" s="34"/>
      <c r="Q789" s="34" t="s">
        <v>33</v>
      </c>
      <c r="R789" s="34" t="s">
        <v>94</v>
      </c>
      <c r="S789" s="34" t="s">
        <v>35</v>
      </c>
      <c r="T789" s="34" t="s">
        <v>36</v>
      </c>
      <c r="U789" s="39" t="s">
        <v>1853</v>
      </c>
    </row>
    <row r="790" spans="2:21">
      <c r="B790" s="46" t="s">
        <v>47</v>
      </c>
      <c r="C790" s="46" t="s">
        <v>28</v>
      </c>
      <c r="D790" s="47">
        <v>45919</v>
      </c>
      <c r="F790" s="34"/>
      <c r="G790" s="46"/>
      <c r="H790" s="34"/>
      <c r="I790" s="34"/>
      <c r="K790" s="337">
        <v>2695602</v>
      </c>
      <c r="L790" s="16" t="s">
        <v>1951</v>
      </c>
      <c r="M790" s="34" t="s">
        <v>31</v>
      </c>
      <c r="N790" s="34"/>
      <c r="O790" s="34"/>
      <c r="P790" s="34"/>
      <c r="Q790" s="34" t="s">
        <v>33</v>
      </c>
      <c r="R790" s="34" t="s">
        <v>94</v>
      </c>
      <c r="S790" s="34" t="s">
        <v>35</v>
      </c>
      <c r="T790" s="34" t="s">
        <v>36</v>
      </c>
      <c r="U790" s="39" t="s">
        <v>1853</v>
      </c>
    </row>
    <row r="791" spans="2:21">
      <c r="B791" s="46" t="s">
        <v>47</v>
      </c>
      <c r="C791" s="46" t="s">
        <v>28</v>
      </c>
      <c r="D791" s="47">
        <v>45933</v>
      </c>
      <c r="F791" s="34"/>
      <c r="G791" s="46"/>
      <c r="H791" s="34"/>
      <c r="I791" s="34"/>
      <c r="K791" s="39">
        <v>2625609</v>
      </c>
      <c r="L791" s="16" t="s">
        <v>1952</v>
      </c>
      <c r="M791" s="34" t="s">
        <v>31</v>
      </c>
      <c r="N791" s="39"/>
      <c r="O791" s="39"/>
      <c r="P791" s="39"/>
      <c r="Q791" s="34" t="s">
        <v>33</v>
      </c>
      <c r="R791" s="34" t="s">
        <v>94</v>
      </c>
      <c r="S791" s="34" t="s">
        <v>35</v>
      </c>
      <c r="T791" s="34" t="s">
        <v>36</v>
      </c>
      <c r="U791" s="39" t="s">
        <v>1853</v>
      </c>
    </row>
    <row r="792" spans="2:21">
      <c r="B792" s="46" t="s">
        <v>47</v>
      </c>
      <c r="C792" s="46" t="s">
        <v>28</v>
      </c>
      <c r="D792" s="47">
        <v>45933</v>
      </c>
      <c r="F792" s="34"/>
      <c r="G792" s="46"/>
      <c r="H792" s="34"/>
      <c r="I792" s="34"/>
      <c r="K792" s="39">
        <v>2625610</v>
      </c>
      <c r="L792" s="16" t="s">
        <v>1953</v>
      </c>
      <c r="M792" s="34" t="s">
        <v>31</v>
      </c>
      <c r="N792" s="39"/>
      <c r="O792" s="39"/>
      <c r="P792" s="39"/>
      <c r="Q792" s="34" t="s">
        <v>33</v>
      </c>
      <c r="R792" s="34" t="s">
        <v>94</v>
      </c>
      <c r="S792" s="34" t="s">
        <v>35</v>
      </c>
      <c r="T792" s="34" t="s">
        <v>36</v>
      </c>
      <c r="U792" s="39" t="s">
        <v>1853</v>
      </c>
    </row>
    <row r="793" spans="2:21">
      <c r="B793" s="46" t="s">
        <v>47</v>
      </c>
      <c r="C793" s="46" t="s">
        <v>28</v>
      </c>
      <c r="D793" s="47">
        <v>45940</v>
      </c>
      <c r="F793" s="34"/>
      <c r="G793" s="46"/>
      <c r="H793" s="34"/>
      <c r="I793" s="34"/>
      <c r="K793" s="337">
        <v>2750101</v>
      </c>
      <c r="L793" s="16" t="s">
        <v>1954</v>
      </c>
      <c r="M793" s="34" t="s">
        <v>31</v>
      </c>
      <c r="N793" s="34"/>
      <c r="O793" s="34"/>
      <c r="P793" s="34"/>
      <c r="Q793" s="111" t="s">
        <v>33</v>
      </c>
      <c r="R793" s="34" t="s">
        <v>94</v>
      </c>
      <c r="S793" s="34" t="s">
        <v>35</v>
      </c>
      <c r="T793" s="34" t="s">
        <v>36</v>
      </c>
      <c r="U793" s="39" t="s">
        <v>1686</v>
      </c>
    </row>
    <row r="794" spans="2:21">
      <c r="B794" s="46" t="s">
        <v>47</v>
      </c>
      <c r="C794" s="46" t="s">
        <v>28</v>
      </c>
      <c r="D794" s="47">
        <v>45947</v>
      </c>
      <c r="F794" s="34"/>
      <c r="G794" s="46"/>
      <c r="H794" s="34"/>
      <c r="I794" s="34"/>
      <c r="K794" s="337">
        <v>2750801</v>
      </c>
      <c r="L794" s="16" t="s">
        <v>1955</v>
      </c>
      <c r="M794" s="34" t="s">
        <v>31</v>
      </c>
      <c r="N794" s="34"/>
      <c r="O794" s="34"/>
      <c r="P794" s="34"/>
      <c r="Q794" s="111" t="s">
        <v>33</v>
      </c>
      <c r="R794" s="34" t="s">
        <v>94</v>
      </c>
      <c r="S794" s="34" t="s">
        <v>35</v>
      </c>
      <c r="T794" s="34" t="s">
        <v>36</v>
      </c>
      <c r="U794" s="39" t="s">
        <v>1686</v>
      </c>
    </row>
    <row r="795" spans="2:21">
      <c r="B795" s="46" t="s">
        <v>47</v>
      </c>
      <c r="C795" s="46" t="s">
        <v>28</v>
      </c>
      <c r="D795" s="47">
        <v>45947</v>
      </c>
      <c r="F795" s="34"/>
      <c r="G795" s="46"/>
      <c r="H795" s="34"/>
      <c r="I795" s="34"/>
      <c r="K795" s="337">
        <v>1932202</v>
      </c>
      <c r="L795" s="16" t="s">
        <v>1956</v>
      </c>
      <c r="M795" s="34" t="s">
        <v>31</v>
      </c>
      <c r="N795" s="34"/>
      <c r="O795" s="34"/>
      <c r="P795" s="34"/>
      <c r="Q795" s="111" t="s">
        <v>33</v>
      </c>
      <c r="R795" s="34" t="s">
        <v>94</v>
      </c>
      <c r="S795" s="34" t="s">
        <v>35</v>
      </c>
      <c r="T795" s="34" t="s">
        <v>36</v>
      </c>
      <c r="U795" s="39" t="s">
        <v>1686</v>
      </c>
    </row>
    <row r="796" spans="2:21">
      <c r="B796" s="46" t="s">
        <v>47</v>
      </c>
      <c r="C796" s="46" t="s">
        <v>28</v>
      </c>
      <c r="D796" s="47">
        <v>45947</v>
      </c>
      <c r="F796" s="34"/>
      <c r="G796" s="46"/>
      <c r="H796" s="34"/>
      <c r="I796" s="34"/>
      <c r="K796" s="337">
        <v>1977003</v>
      </c>
      <c r="L796" s="16" t="s">
        <v>1957</v>
      </c>
      <c r="M796" s="34" t="s">
        <v>31</v>
      </c>
      <c r="N796" s="34"/>
      <c r="O796" s="34"/>
      <c r="P796" s="34"/>
      <c r="Q796" s="111" t="s">
        <v>33</v>
      </c>
      <c r="R796" s="34" t="s">
        <v>94</v>
      </c>
      <c r="S796" s="34" t="s">
        <v>35</v>
      </c>
      <c r="T796" s="34" t="s">
        <v>36</v>
      </c>
      <c r="U796" s="39" t="s">
        <v>1686</v>
      </c>
    </row>
    <row r="797" spans="2:21">
      <c r="B797" s="46" t="s">
        <v>47</v>
      </c>
      <c r="C797" s="46" t="s">
        <v>28</v>
      </c>
      <c r="D797" s="47">
        <v>45954</v>
      </c>
      <c r="F797" s="34"/>
      <c r="G797" s="46"/>
      <c r="H797" s="34"/>
      <c r="I797" s="34"/>
      <c r="K797" s="337">
        <v>1932202</v>
      </c>
      <c r="L797" s="16" t="s">
        <v>1958</v>
      </c>
      <c r="M797" s="34" t="s">
        <v>31</v>
      </c>
      <c r="N797" s="34"/>
      <c r="O797" s="34"/>
      <c r="P797" s="34"/>
      <c r="Q797" s="111" t="s">
        <v>33</v>
      </c>
      <c r="R797" s="34" t="s">
        <v>94</v>
      </c>
      <c r="S797" s="34" t="s">
        <v>35</v>
      </c>
      <c r="T797" s="34" t="s">
        <v>36</v>
      </c>
      <c r="U797" s="39" t="s">
        <v>1686</v>
      </c>
    </row>
    <row r="798" spans="2:21">
      <c r="B798" s="46" t="s">
        <v>47</v>
      </c>
      <c r="C798" s="46" t="s">
        <v>28</v>
      </c>
      <c r="D798" s="47">
        <v>45954</v>
      </c>
      <c r="F798" s="34"/>
      <c r="G798" s="46"/>
      <c r="H798" s="34"/>
      <c r="I798" s="34"/>
      <c r="K798" s="337">
        <v>1977003</v>
      </c>
      <c r="L798" s="16" t="s">
        <v>1959</v>
      </c>
      <c r="M798" s="34" t="s">
        <v>31</v>
      </c>
      <c r="N798" s="34"/>
      <c r="O798" s="34"/>
      <c r="P798" s="34"/>
      <c r="Q798" s="111" t="s">
        <v>33</v>
      </c>
      <c r="R798" s="34" t="s">
        <v>94</v>
      </c>
      <c r="S798" s="34" t="s">
        <v>35</v>
      </c>
      <c r="T798" s="34" t="s">
        <v>36</v>
      </c>
      <c r="U798" s="39" t="s">
        <v>1686</v>
      </c>
    </row>
    <row r="799" spans="2:21">
      <c r="B799" s="46" t="s">
        <v>47</v>
      </c>
      <c r="C799" s="46" t="s">
        <v>28</v>
      </c>
      <c r="D799" s="47">
        <v>45961</v>
      </c>
      <c r="F799" s="34"/>
      <c r="G799" s="46"/>
      <c r="H799" s="34"/>
      <c r="I799" s="34"/>
      <c r="K799" s="337">
        <v>2604708</v>
      </c>
      <c r="L799" s="16" t="s">
        <v>1960</v>
      </c>
      <c r="M799" s="34" t="s">
        <v>31</v>
      </c>
      <c r="N799" s="34"/>
      <c r="O799" s="34"/>
      <c r="P799" s="34"/>
      <c r="Q799" s="111" t="s">
        <v>33</v>
      </c>
      <c r="R799" s="34" t="s">
        <v>94</v>
      </c>
      <c r="S799" s="34" t="s">
        <v>35</v>
      </c>
      <c r="T799" s="34" t="s">
        <v>36</v>
      </c>
      <c r="U799" s="39" t="s">
        <v>1686</v>
      </c>
    </row>
    <row r="800" spans="2:21">
      <c r="B800" s="46" t="s">
        <v>47</v>
      </c>
      <c r="C800" s="46" t="s">
        <v>28</v>
      </c>
      <c r="D800" s="47">
        <v>45961</v>
      </c>
      <c r="F800" s="34"/>
      <c r="G800" s="46"/>
      <c r="H800" s="34"/>
      <c r="I800" s="34"/>
      <c r="K800" s="337">
        <v>2604707</v>
      </c>
      <c r="L800" s="16" t="s">
        <v>1961</v>
      </c>
      <c r="M800" s="34" t="s">
        <v>31</v>
      </c>
      <c r="N800" s="34"/>
      <c r="O800" s="34"/>
      <c r="P800" s="34"/>
      <c r="Q800" s="111" t="s">
        <v>33</v>
      </c>
      <c r="R800" s="34" t="s">
        <v>94</v>
      </c>
      <c r="S800" s="34" t="s">
        <v>35</v>
      </c>
      <c r="T800" s="34" t="s">
        <v>36</v>
      </c>
      <c r="U800" s="39" t="s">
        <v>1686</v>
      </c>
    </row>
    <row r="801" spans="2:21">
      <c r="B801" s="46" t="s">
        <v>47</v>
      </c>
      <c r="C801" s="46" t="s">
        <v>28</v>
      </c>
      <c r="D801" s="47">
        <v>45968</v>
      </c>
      <c r="F801" s="34"/>
      <c r="G801" s="46"/>
      <c r="H801" s="34"/>
      <c r="I801" s="34"/>
      <c r="K801" s="337">
        <v>2755402</v>
      </c>
      <c r="L801" s="16" t="s">
        <v>1962</v>
      </c>
      <c r="M801" s="34" t="s">
        <v>31</v>
      </c>
      <c r="N801" s="34"/>
      <c r="O801" s="34"/>
      <c r="P801" s="34"/>
      <c r="Q801" s="111" t="s">
        <v>33</v>
      </c>
      <c r="R801" s="34" t="s">
        <v>94</v>
      </c>
      <c r="S801" s="34" t="s">
        <v>35</v>
      </c>
      <c r="T801" s="34" t="s">
        <v>36</v>
      </c>
      <c r="U801" s="39" t="s">
        <v>1686</v>
      </c>
    </row>
    <row r="802" spans="2:21">
      <c r="B802" s="46" t="s">
        <v>47</v>
      </c>
      <c r="C802" s="46" t="s">
        <v>28</v>
      </c>
      <c r="D802" s="47">
        <v>45968</v>
      </c>
      <c r="F802" s="34"/>
      <c r="G802" s="46"/>
      <c r="H802" s="34"/>
      <c r="I802" s="34"/>
      <c r="K802" s="337">
        <v>2755401</v>
      </c>
      <c r="L802" s="16" t="s">
        <v>1963</v>
      </c>
      <c r="M802" s="34" t="s">
        <v>31</v>
      </c>
      <c r="N802" s="34"/>
      <c r="O802" s="34"/>
      <c r="P802" s="34"/>
      <c r="Q802" s="111" t="s">
        <v>33</v>
      </c>
      <c r="R802" s="34" t="s">
        <v>94</v>
      </c>
      <c r="S802" s="34" t="s">
        <v>35</v>
      </c>
      <c r="T802" s="34" t="s">
        <v>36</v>
      </c>
      <c r="U802" s="39" t="s">
        <v>1686</v>
      </c>
    </row>
    <row r="803" spans="2:21">
      <c r="B803" s="46" t="s">
        <v>47</v>
      </c>
      <c r="C803" s="46" t="s">
        <v>28</v>
      </c>
      <c r="D803" s="47">
        <v>45968</v>
      </c>
      <c r="F803" s="34"/>
      <c r="G803" s="46"/>
      <c r="H803" s="34"/>
      <c r="I803" s="34"/>
      <c r="K803" s="337">
        <v>2524809</v>
      </c>
      <c r="L803" s="16" t="s">
        <v>1964</v>
      </c>
      <c r="M803" s="34" t="s">
        <v>31</v>
      </c>
      <c r="N803" s="34"/>
      <c r="O803" s="34"/>
      <c r="P803" s="34"/>
      <c r="Q803" s="111" t="s">
        <v>33</v>
      </c>
      <c r="R803" s="34" t="s">
        <v>94</v>
      </c>
      <c r="S803" s="34" t="s">
        <v>35</v>
      </c>
      <c r="T803" s="34" t="s">
        <v>36</v>
      </c>
      <c r="U803" s="39" t="s">
        <v>1686</v>
      </c>
    </row>
    <row r="804" spans="2:21">
      <c r="B804" s="46" t="s">
        <v>47</v>
      </c>
      <c r="C804" s="46" t="s">
        <v>28</v>
      </c>
      <c r="D804" s="47">
        <v>45968</v>
      </c>
      <c r="F804" s="34"/>
      <c r="G804" s="46"/>
      <c r="H804" s="34"/>
      <c r="I804" s="34"/>
      <c r="K804" s="337">
        <v>2524810</v>
      </c>
      <c r="L804" s="16" t="s">
        <v>1965</v>
      </c>
      <c r="M804" s="34" t="s">
        <v>31</v>
      </c>
      <c r="N804" s="34"/>
      <c r="O804" s="34"/>
      <c r="P804" s="34"/>
      <c r="Q804" s="111" t="s">
        <v>33</v>
      </c>
      <c r="R804" s="34" t="s">
        <v>94</v>
      </c>
      <c r="S804" s="34" t="s">
        <v>35</v>
      </c>
      <c r="T804" s="34" t="s">
        <v>36</v>
      </c>
      <c r="U804" s="39" t="s">
        <v>1686</v>
      </c>
    </row>
    <row r="805" spans="2:21">
      <c r="B805" s="46" t="s">
        <v>47</v>
      </c>
      <c r="C805" s="46" t="s">
        <v>28</v>
      </c>
      <c r="D805" s="47">
        <v>45975</v>
      </c>
      <c r="F805" s="34"/>
      <c r="G805" s="46"/>
      <c r="H805" s="34"/>
      <c r="I805" s="34"/>
      <c r="K805" s="337">
        <v>2137708</v>
      </c>
      <c r="L805" s="16" t="s">
        <v>1966</v>
      </c>
      <c r="M805" s="34" t="s">
        <v>31</v>
      </c>
      <c r="N805" s="34"/>
      <c r="O805" s="34"/>
      <c r="P805" s="34"/>
      <c r="Q805" s="111" t="s">
        <v>33</v>
      </c>
      <c r="R805" s="34" t="s">
        <v>94</v>
      </c>
      <c r="S805" s="34" t="s">
        <v>35</v>
      </c>
      <c r="T805" s="34" t="s">
        <v>36</v>
      </c>
      <c r="U805" s="39" t="s">
        <v>1686</v>
      </c>
    </row>
    <row r="806" spans="2:21">
      <c r="B806" s="46" t="s">
        <v>47</v>
      </c>
      <c r="C806" s="46" t="s">
        <v>28</v>
      </c>
      <c r="D806" s="47">
        <v>45975</v>
      </c>
      <c r="F806" s="34"/>
      <c r="G806" s="46"/>
      <c r="H806" s="34"/>
      <c r="I806" s="34"/>
      <c r="K806" s="337">
        <v>2637903</v>
      </c>
      <c r="L806" s="16" t="s">
        <v>1967</v>
      </c>
      <c r="M806" s="34" t="s">
        <v>31</v>
      </c>
      <c r="N806" s="34"/>
      <c r="O806" s="34"/>
      <c r="P806" s="34"/>
      <c r="Q806" s="111" t="s">
        <v>33</v>
      </c>
      <c r="R806" s="34" t="s">
        <v>94</v>
      </c>
      <c r="S806" s="34" t="s">
        <v>35</v>
      </c>
      <c r="T806" s="34" t="s">
        <v>36</v>
      </c>
      <c r="U806" s="34"/>
    </row>
    <row r="807" spans="2:21">
      <c r="B807" s="46" t="s">
        <v>47</v>
      </c>
      <c r="C807" s="46" t="s">
        <v>28</v>
      </c>
      <c r="D807" s="47">
        <v>45982</v>
      </c>
      <c r="F807" s="34"/>
      <c r="G807" s="46"/>
      <c r="H807" s="34"/>
      <c r="I807" s="34"/>
      <c r="K807" s="337">
        <v>2604709</v>
      </c>
      <c r="L807" s="16" t="s">
        <v>1968</v>
      </c>
      <c r="M807" s="34" t="s">
        <v>31</v>
      </c>
      <c r="N807" s="34"/>
      <c r="O807" s="34"/>
      <c r="P807" s="34"/>
      <c r="Q807" s="111" t="s">
        <v>33</v>
      </c>
      <c r="R807" s="34" t="s">
        <v>94</v>
      </c>
      <c r="S807" s="34" t="s">
        <v>35</v>
      </c>
      <c r="T807" s="34" t="s">
        <v>36</v>
      </c>
      <c r="U807" s="39" t="s">
        <v>1686</v>
      </c>
    </row>
    <row r="808" spans="2:21">
      <c r="B808" s="46" t="s">
        <v>47</v>
      </c>
      <c r="C808" s="46" t="s">
        <v>28</v>
      </c>
      <c r="D808" s="47">
        <v>45982</v>
      </c>
      <c r="F808" s="34"/>
      <c r="G808" s="46"/>
      <c r="H808" s="34"/>
      <c r="I808" s="34"/>
      <c r="K808" s="337">
        <v>2604710</v>
      </c>
      <c r="L808" s="16" t="s">
        <v>1969</v>
      </c>
      <c r="M808" s="34" t="s">
        <v>31</v>
      </c>
      <c r="N808" s="34"/>
      <c r="O808" s="34"/>
      <c r="P808" s="34"/>
      <c r="Q808" s="111" t="s">
        <v>33</v>
      </c>
      <c r="R808" s="34" t="s">
        <v>94</v>
      </c>
      <c r="S808" s="34" t="s">
        <v>35</v>
      </c>
      <c r="T808" s="34" t="s">
        <v>36</v>
      </c>
      <c r="U808" s="39" t="s">
        <v>1686</v>
      </c>
    </row>
    <row r="809" spans="2:21">
      <c r="B809" s="46" t="s">
        <v>47</v>
      </c>
      <c r="C809" s="46" t="s">
        <v>28</v>
      </c>
      <c r="D809" s="47">
        <v>45989</v>
      </c>
      <c r="F809" s="34"/>
      <c r="G809" s="46"/>
      <c r="H809" s="34"/>
      <c r="I809" s="34"/>
      <c r="K809" s="337">
        <v>2197914</v>
      </c>
      <c r="L809" s="16" t="s">
        <v>1970</v>
      </c>
      <c r="M809" s="34" t="s">
        <v>31</v>
      </c>
      <c r="N809" s="34"/>
      <c r="O809" s="34"/>
      <c r="P809" s="34"/>
      <c r="Q809" s="111" t="s">
        <v>33</v>
      </c>
      <c r="R809" s="34" t="s">
        <v>94</v>
      </c>
      <c r="S809" s="34" t="s">
        <v>35</v>
      </c>
      <c r="T809" s="34" t="s">
        <v>36</v>
      </c>
      <c r="U809" s="39" t="s">
        <v>1686</v>
      </c>
    </row>
    <row r="810" spans="2:21">
      <c r="B810" s="46" t="s">
        <v>47</v>
      </c>
      <c r="C810" s="46" t="s">
        <v>28</v>
      </c>
      <c r="D810" s="47">
        <v>45989</v>
      </c>
      <c r="F810" s="34"/>
      <c r="G810" s="46"/>
      <c r="H810" s="34"/>
      <c r="I810" s="34"/>
      <c r="K810" s="337">
        <v>2197915</v>
      </c>
      <c r="L810" s="16" t="s">
        <v>1971</v>
      </c>
      <c r="M810" s="34" t="s">
        <v>31</v>
      </c>
      <c r="N810" s="34"/>
      <c r="O810" s="34"/>
      <c r="P810" s="34"/>
      <c r="Q810" s="111" t="s">
        <v>33</v>
      </c>
      <c r="R810" s="34" t="s">
        <v>94</v>
      </c>
      <c r="S810" s="34" t="s">
        <v>35</v>
      </c>
      <c r="T810" s="34" t="s">
        <v>36</v>
      </c>
      <c r="U810" s="39" t="s">
        <v>1686</v>
      </c>
    </row>
    <row r="811" spans="2:21">
      <c r="B811" s="46" t="s">
        <v>47</v>
      </c>
      <c r="C811" s="46" t="s">
        <v>28</v>
      </c>
      <c r="D811" s="47">
        <v>45989</v>
      </c>
      <c r="F811" s="34"/>
      <c r="G811" s="46"/>
      <c r="H811" s="34"/>
      <c r="I811" s="34"/>
      <c r="K811" s="337">
        <v>1467710</v>
      </c>
      <c r="L811" s="16" t="s">
        <v>1972</v>
      </c>
      <c r="M811" s="34" t="s">
        <v>31</v>
      </c>
      <c r="N811" s="34"/>
      <c r="O811" s="34"/>
      <c r="P811" s="34"/>
      <c r="Q811" s="111" t="s">
        <v>33</v>
      </c>
      <c r="R811" s="34" t="s">
        <v>94</v>
      </c>
      <c r="S811" s="34" t="s">
        <v>35</v>
      </c>
      <c r="T811" s="34" t="s">
        <v>36</v>
      </c>
      <c r="U811" s="39" t="s">
        <v>1686</v>
      </c>
    </row>
    <row r="812" spans="2:21">
      <c r="B812" s="46" t="s">
        <v>47</v>
      </c>
      <c r="C812" s="46" t="s">
        <v>28</v>
      </c>
      <c r="D812" s="47">
        <v>46008</v>
      </c>
      <c r="F812" s="34"/>
      <c r="G812" s="46"/>
      <c r="H812" s="34"/>
      <c r="I812" s="34"/>
      <c r="K812" s="337">
        <v>2086317</v>
      </c>
      <c r="L812" s="16" t="s">
        <v>1973</v>
      </c>
      <c r="M812" s="34" t="s">
        <v>31</v>
      </c>
      <c r="N812" s="34"/>
      <c r="O812" s="34"/>
      <c r="P812" s="34"/>
      <c r="Q812" s="111" t="s">
        <v>33</v>
      </c>
      <c r="R812" s="34" t="s">
        <v>94</v>
      </c>
      <c r="S812" s="34" t="s">
        <v>35</v>
      </c>
      <c r="T812" s="34" t="s">
        <v>36</v>
      </c>
      <c r="U812" s="39" t="s">
        <v>1686</v>
      </c>
    </row>
    <row r="813" spans="2:21">
      <c r="B813" s="46" t="s">
        <v>47</v>
      </c>
      <c r="C813" s="46" t="s">
        <v>28</v>
      </c>
      <c r="D813" s="47">
        <v>46008</v>
      </c>
      <c r="F813" s="34"/>
      <c r="G813" s="46"/>
      <c r="H813" s="34"/>
      <c r="I813" s="34"/>
      <c r="K813" s="337">
        <v>2675202</v>
      </c>
      <c r="L813" s="16" t="s">
        <v>1974</v>
      </c>
      <c r="M813" s="34" t="s">
        <v>31</v>
      </c>
      <c r="N813" s="34"/>
      <c r="O813" s="34"/>
      <c r="P813" s="34"/>
      <c r="Q813" s="111" t="s">
        <v>33</v>
      </c>
      <c r="R813" s="34" t="s">
        <v>94</v>
      </c>
      <c r="S813" s="34" t="s">
        <v>35</v>
      </c>
      <c r="T813" s="34" t="s">
        <v>36</v>
      </c>
      <c r="U813" s="39" t="s">
        <v>1686</v>
      </c>
    </row>
    <row r="814" spans="2:21">
      <c r="B814" s="46" t="s">
        <v>47</v>
      </c>
      <c r="C814" s="46" t="s">
        <v>28</v>
      </c>
      <c r="D814" s="47">
        <v>46031</v>
      </c>
      <c r="F814" s="34"/>
      <c r="G814" s="46"/>
      <c r="H814" s="34"/>
      <c r="I814" s="34"/>
      <c r="K814" s="337">
        <v>2604711</v>
      </c>
      <c r="L814" s="16" t="s">
        <v>1975</v>
      </c>
      <c r="M814" s="34" t="s">
        <v>31</v>
      </c>
      <c r="N814" s="34"/>
      <c r="O814" s="34"/>
      <c r="P814" s="34"/>
      <c r="Q814" s="111" t="s">
        <v>33</v>
      </c>
      <c r="R814" s="34" t="s">
        <v>94</v>
      </c>
      <c r="S814" s="34" t="s">
        <v>35</v>
      </c>
      <c r="T814" s="34" t="s">
        <v>36</v>
      </c>
      <c r="U814" s="39" t="s">
        <v>1686</v>
      </c>
    </row>
    <row r="815" spans="2:21">
      <c r="B815" s="46" t="s">
        <v>47</v>
      </c>
      <c r="C815" s="46" t="s">
        <v>28</v>
      </c>
      <c r="D815" s="47">
        <v>46031</v>
      </c>
      <c r="F815" s="34"/>
      <c r="G815" s="46"/>
      <c r="H815" s="34"/>
      <c r="I815" s="34"/>
      <c r="K815" s="337">
        <v>2606503</v>
      </c>
      <c r="L815" s="16" t="s">
        <v>1976</v>
      </c>
      <c r="M815" s="34" t="s">
        <v>31</v>
      </c>
      <c r="N815" s="34"/>
      <c r="O815" s="34"/>
      <c r="P815" s="34"/>
      <c r="Q815" s="111" t="s">
        <v>33</v>
      </c>
      <c r="R815" s="34" t="s">
        <v>94</v>
      </c>
      <c r="S815" s="34" t="s">
        <v>35</v>
      </c>
      <c r="T815" s="34" t="s">
        <v>36</v>
      </c>
      <c r="U815" s="39" t="s">
        <v>1686</v>
      </c>
    </row>
    <row r="816" spans="2:21">
      <c r="B816" s="46" t="s">
        <v>47</v>
      </c>
      <c r="C816" s="46" t="s">
        <v>28</v>
      </c>
      <c r="D816" s="47">
        <v>46031</v>
      </c>
      <c r="F816" s="34"/>
      <c r="G816" s="46"/>
      <c r="H816" s="34"/>
      <c r="I816" s="34"/>
      <c r="K816" s="337">
        <v>2606504</v>
      </c>
      <c r="L816" s="16" t="s">
        <v>1977</v>
      </c>
      <c r="M816" s="34" t="s">
        <v>31</v>
      </c>
      <c r="N816" s="34"/>
      <c r="O816" s="34"/>
      <c r="P816" s="34"/>
      <c r="Q816" s="111" t="s">
        <v>33</v>
      </c>
      <c r="R816" s="34" t="s">
        <v>94</v>
      </c>
      <c r="S816" s="34" t="s">
        <v>35</v>
      </c>
      <c r="T816" s="34" t="s">
        <v>36</v>
      </c>
      <c r="U816" s="39" t="s">
        <v>1686</v>
      </c>
    </row>
    <row r="817" spans="2:21">
      <c r="B817" s="46" t="s">
        <v>47</v>
      </c>
      <c r="C817" s="46" t="s">
        <v>28</v>
      </c>
      <c r="D817" s="47">
        <v>46031</v>
      </c>
      <c r="F817" s="34"/>
      <c r="G817" s="46"/>
      <c r="H817" s="34"/>
      <c r="I817" s="34"/>
      <c r="K817" s="337">
        <v>1575603</v>
      </c>
      <c r="L817" s="16" t="s">
        <v>1978</v>
      </c>
      <c r="M817" s="34" t="s">
        <v>31</v>
      </c>
      <c r="N817" s="34"/>
      <c r="O817" s="34"/>
      <c r="P817" s="34"/>
      <c r="Q817" s="111" t="s">
        <v>33</v>
      </c>
      <c r="R817" s="34" t="s">
        <v>94</v>
      </c>
      <c r="S817" s="34" t="s">
        <v>35</v>
      </c>
      <c r="T817" s="34" t="s">
        <v>36</v>
      </c>
      <c r="U817" s="39" t="s">
        <v>1686</v>
      </c>
    </row>
    <row r="818" spans="2:21">
      <c r="B818" s="46" t="s">
        <v>47</v>
      </c>
      <c r="C818" s="46" t="s">
        <v>28</v>
      </c>
      <c r="D818" s="47">
        <v>46031</v>
      </c>
      <c r="F818" s="34"/>
      <c r="G818" s="46"/>
      <c r="H818" s="34"/>
      <c r="I818" s="34"/>
      <c r="K818" s="337">
        <v>1575604</v>
      </c>
      <c r="L818" s="16" t="s">
        <v>1979</v>
      </c>
      <c r="M818" s="34" t="s">
        <v>31</v>
      </c>
      <c r="N818" s="34"/>
      <c r="O818" s="34"/>
      <c r="P818" s="34"/>
      <c r="Q818" s="111" t="s">
        <v>33</v>
      </c>
      <c r="R818" s="34" t="s">
        <v>94</v>
      </c>
      <c r="S818" s="34" t="s">
        <v>35</v>
      </c>
      <c r="T818" s="34" t="s">
        <v>36</v>
      </c>
      <c r="U818" s="39" t="s">
        <v>1686</v>
      </c>
    </row>
    <row r="819" spans="2:21">
      <c r="B819" s="46" t="s">
        <v>47</v>
      </c>
      <c r="C819" s="46" t="s">
        <v>28</v>
      </c>
      <c r="D819" s="47">
        <v>46031</v>
      </c>
      <c r="F819" s="34"/>
      <c r="G819" s="46"/>
      <c r="H819" s="34"/>
      <c r="I819" s="34"/>
      <c r="K819" s="337">
        <v>1575605</v>
      </c>
      <c r="L819" s="16" t="s">
        <v>1980</v>
      </c>
      <c r="M819" s="34" t="s">
        <v>31</v>
      </c>
      <c r="N819" s="34"/>
      <c r="O819" s="34"/>
      <c r="P819" s="34"/>
      <c r="Q819" s="111" t="s">
        <v>33</v>
      </c>
      <c r="R819" s="34" t="s">
        <v>94</v>
      </c>
      <c r="S819" s="34" t="s">
        <v>35</v>
      </c>
      <c r="T819" s="34" t="s">
        <v>36</v>
      </c>
      <c r="U819" s="39" t="s">
        <v>1686</v>
      </c>
    </row>
    <row r="820" spans="2:21">
      <c r="B820" s="46" t="s">
        <v>47</v>
      </c>
      <c r="C820" s="46" t="s">
        <v>28</v>
      </c>
      <c r="D820" s="47">
        <v>46031</v>
      </c>
      <c r="F820" s="34"/>
      <c r="G820" s="46"/>
      <c r="H820" s="34"/>
      <c r="I820" s="34"/>
      <c r="K820" s="337">
        <v>1575606</v>
      </c>
      <c r="L820" s="16" t="s">
        <v>1981</v>
      </c>
      <c r="M820" s="34" t="s">
        <v>31</v>
      </c>
      <c r="N820" s="34"/>
      <c r="O820" s="34"/>
      <c r="P820" s="34"/>
      <c r="Q820" s="111" t="s">
        <v>33</v>
      </c>
      <c r="R820" s="34" t="s">
        <v>94</v>
      </c>
      <c r="S820" s="34" t="s">
        <v>35</v>
      </c>
      <c r="T820" s="34" t="s">
        <v>36</v>
      </c>
      <c r="U820" s="39" t="s">
        <v>1686</v>
      </c>
    </row>
    <row r="821" spans="2:21">
      <c r="B821" s="46" t="s">
        <v>47</v>
      </c>
      <c r="C821" s="46" t="s">
        <v>28</v>
      </c>
      <c r="D821" s="47">
        <v>46031</v>
      </c>
      <c r="F821" s="34"/>
      <c r="G821" s="46"/>
      <c r="H821" s="34"/>
      <c r="I821" s="34"/>
      <c r="K821" s="337">
        <v>2563806</v>
      </c>
      <c r="L821" s="16" t="s">
        <v>1982</v>
      </c>
      <c r="M821" s="34" t="s">
        <v>31</v>
      </c>
      <c r="N821" s="34"/>
      <c r="O821" s="34"/>
      <c r="P821" s="34"/>
      <c r="Q821" s="111" t="s">
        <v>33</v>
      </c>
      <c r="R821" s="34" t="s">
        <v>94</v>
      </c>
      <c r="S821" s="34" t="s">
        <v>35</v>
      </c>
      <c r="T821" s="34" t="s">
        <v>36</v>
      </c>
      <c r="U821" s="39" t="s">
        <v>1686</v>
      </c>
    </row>
    <row r="822" spans="2:21">
      <c r="B822" s="46" t="s">
        <v>47</v>
      </c>
      <c r="C822" s="46" t="s">
        <v>28</v>
      </c>
      <c r="D822" s="47">
        <v>46031</v>
      </c>
      <c r="F822" s="34"/>
      <c r="G822" s="46"/>
      <c r="H822" s="34"/>
      <c r="I822" s="34"/>
      <c r="K822" s="337">
        <v>2306606</v>
      </c>
      <c r="L822" s="16" t="s">
        <v>1983</v>
      </c>
      <c r="M822" s="34" t="s">
        <v>31</v>
      </c>
      <c r="N822" s="34"/>
      <c r="O822" s="34"/>
      <c r="P822" s="34"/>
      <c r="Q822" s="111" t="s">
        <v>33</v>
      </c>
      <c r="R822" s="34" t="s">
        <v>94</v>
      </c>
      <c r="S822" s="34" t="s">
        <v>35</v>
      </c>
      <c r="T822" s="34" t="s">
        <v>36</v>
      </c>
      <c r="U822" s="39" t="s">
        <v>1686</v>
      </c>
    </row>
    <row r="823" spans="2:21">
      <c r="B823" s="46" t="s">
        <v>47</v>
      </c>
      <c r="C823" s="46" t="s">
        <v>28</v>
      </c>
      <c r="D823" s="47">
        <v>46031</v>
      </c>
      <c r="F823" s="34"/>
      <c r="G823" s="46"/>
      <c r="H823" s="34"/>
      <c r="I823" s="34"/>
      <c r="K823" s="337">
        <v>2563807</v>
      </c>
      <c r="L823" s="16" t="s">
        <v>1984</v>
      </c>
      <c r="M823" s="34" t="s">
        <v>31</v>
      </c>
      <c r="N823" s="34"/>
      <c r="O823" s="34"/>
      <c r="P823" s="34"/>
      <c r="Q823" s="111" t="s">
        <v>33</v>
      </c>
      <c r="R823" s="34" t="s">
        <v>94</v>
      </c>
      <c r="S823" s="34" t="s">
        <v>35</v>
      </c>
      <c r="T823" s="34" t="s">
        <v>36</v>
      </c>
      <c r="U823" s="39" t="s">
        <v>1686</v>
      </c>
    </row>
    <row r="824" spans="2:21">
      <c r="B824" s="46" t="s">
        <v>47</v>
      </c>
      <c r="C824" s="46" t="s">
        <v>28</v>
      </c>
      <c r="D824" s="47">
        <v>46031</v>
      </c>
      <c r="F824" s="34"/>
      <c r="G824" s="46"/>
      <c r="H824" s="34"/>
      <c r="I824" s="34"/>
      <c r="K824" s="337">
        <v>2563805</v>
      </c>
      <c r="L824" s="16" t="s">
        <v>1985</v>
      </c>
      <c r="M824" s="34" t="s">
        <v>31</v>
      </c>
      <c r="N824" s="34"/>
      <c r="O824" s="34"/>
      <c r="P824" s="34"/>
      <c r="Q824" s="111" t="s">
        <v>33</v>
      </c>
      <c r="R824" s="34" t="s">
        <v>94</v>
      </c>
      <c r="S824" s="34" t="s">
        <v>35</v>
      </c>
      <c r="T824" s="34" t="s">
        <v>36</v>
      </c>
      <c r="U824" s="39" t="s">
        <v>1686</v>
      </c>
    </row>
    <row r="825" spans="2:21">
      <c r="B825" s="46" t="s">
        <v>47</v>
      </c>
      <c r="C825" s="46" t="s">
        <v>28</v>
      </c>
      <c r="D825" s="47">
        <v>46031</v>
      </c>
      <c r="F825" s="34"/>
      <c r="G825" s="46"/>
      <c r="H825" s="34"/>
      <c r="I825" s="34"/>
      <c r="K825" s="337">
        <v>2564302</v>
      </c>
      <c r="L825" s="16" t="s">
        <v>1986</v>
      </c>
      <c r="M825" s="34" t="s">
        <v>31</v>
      </c>
      <c r="N825" s="34"/>
      <c r="O825" s="34"/>
      <c r="P825" s="34"/>
      <c r="Q825" s="111" t="s">
        <v>33</v>
      </c>
      <c r="R825" s="34" t="s">
        <v>94</v>
      </c>
      <c r="S825" s="34" t="s">
        <v>35</v>
      </c>
      <c r="T825" s="34" t="s">
        <v>36</v>
      </c>
      <c r="U825" s="39" t="s">
        <v>1686</v>
      </c>
    </row>
    <row r="826" spans="2:21">
      <c r="B826" s="46" t="s">
        <v>47</v>
      </c>
      <c r="C826" s="46" t="s">
        <v>28</v>
      </c>
      <c r="D826" s="47">
        <v>46031</v>
      </c>
      <c r="F826" s="34"/>
      <c r="G826" s="46"/>
      <c r="H826" s="34"/>
      <c r="I826" s="34"/>
      <c r="K826" s="337">
        <v>2600303</v>
      </c>
      <c r="L826" s="16" t="s">
        <v>1987</v>
      </c>
      <c r="M826" s="34" t="s">
        <v>31</v>
      </c>
      <c r="N826" s="34"/>
      <c r="O826" s="34"/>
      <c r="P826" s="34"/>
      <c r="Q826" s="111" t="s">
        <v>33</v>
      </c>
      <c r="R826" s="34" t="s">
        <v>94</v>
      </c>
      <c r="S826" s="34" t="s">
        <v>35</v>
      </c>
      <c r="T826" s="34" t="s">
        <v>36</v>
      </c>
      <c r="U826" s="39" t="s">
        <v>1686</v>
      </c>
    </row>
    <row r="827" spans="2:21">
      <c r="B827" s="46" t="s">
        <v>47</v>
      </c>
      <c r="C827" s="46" t="s">
        <v>28</v>
      </c>
      <c r="D827" s="47">
        <v>46031</v>
      </c>
      <c r="F827" s="34"/>
      <c r="G827" s="46"/>
      <c r="H827" s="34"/>
      <c r="I827" s="34"/>
      <c r="K827" s="337">
        <v>2769201</v>
      </c>
      <c r="L827" s="16" t="s">
        <v>1988</v>
      </c>
      <c r="M827" s="34" t="s">
        <v>31</v>
      </c>
      <c r="N827" s="34"/>
      <c r="O827" s="34"/>
      <c r="P827" s="34"/>
      <c r="Q827" s="111" t="s">
        <v>33</v>
      </c>
      <c r="R827" s="34" t="s">
        <v>94</v>
      </c>
      <c r="S827" s="34" t="s">
        <v>35</v>
      </c>
      <c r="T827" s="34" t="s">
        <v>36</v>
      </c>
      <c r="U827" s="39" t="s">
        <v>1686</v>
      </c>
    </row>
    <row r="828" spans="2:21">
      <c r="B828" s="46" t="s">
        <v>47</v>
      </c>
      <c r="C828" s="46" t="s">
        <v>28</v>
      </c>
      <c r="D828" s="47">
        <v>46031</v>
      </c>
      <c r="F828" s="34"/>
      <c r="G828" s="46"/>
      <c r="H828" s="34"/>
      <c r="I828" s="34"/>
      <c r="K828" s="337">
        <v>2769202</v>
      </c>
      <c r="L828" s="16" t="s">
        <v>1989</v>
      </c>
      <c r="M828" s="34" t="s">
        <v>31</v>
      </c>
      <c r="N828" s="34"/>
      <c r="O828" s="34"/>
      <c r="P828" s="34"/>
      <c r="Q828" s="111" t="s">
        <v>33</v>
      </c>
      <c r="R828" s="34" t="s">
        <v>94</v>
      </c>
      <c r="S828" s="34" t="s">
        <v>35</v>
      </c>
      <c r="T828" s="34" t="s">
        <v>36</v>
      </c>
      <c r="U828" s="39" t="s">
        <v>1686</v>
      </c>
    </row>
    <row r="829" spans="2:21">
      <c r="B829" s="46" t="s">
        <v>47</v>
      </c>
      <c r="C829" s="46" t="s">
        <v>28</v>
      </c>
      <c r="D829" s="47">
        <v>46031</v>
      </c>
      <c r="F829" s="34"/>
      <c r="G829" s="46"/>
      <c r="H829" s="34"/>
      <c r="I829" s="34"/>
      <c r="K829" s="337">
        <v>2564402</v>
      </c>
      <c r="L829" s="16" t="s">
        <v>1990</v>
      </c>
      <c r="M829" s="34" t="s">
        <v>31</v>
      </c>
      <c r="N829" s="34"/>
      <c r="O829" s="34"/>
      <c r="P829" s="34"/>
      <c r="Q829" s="111" t="s">
        <v>33</v>
      </c>
      <c r="R829" s="34" t="s">
        <v>94</v>
      </c>
      <c r="S829" s="34" t="s">
        <v>35</v>
      </c>
      <c r="T829" s="34" t="s">
        <v>36</v>
      </c>
      <c r="U829" s="39" t="s">
        <v>1686</v>
      </c>
    </row>
    <row r="830" spans="2:21">
      <c r="B830" s="46" t="s">
        <v>47</v>
      </c>
      <c r="C830" s="80" t="s">
        <v>28</v>
      </c>
      <c r="D830" s="47">
        <v>46038</v>
      </c>
      <c r="F830" s="34"/>
      <c r="G830" s="46"/>
      <c r="H830" s="34"/>
      <c r="I830" s="34"/>
      <c r="K830" s="337">
        <v>910210</v>
      </c>
      <c r="L830" s="16" t="s">
        <v>1991</v>
      </c>
      <c r="M830" s="34" t="s">
        <v>31</v>
      </c>
      <c r="N830" s="34"/>
      <c r="O830" s="34"/>
      <c r="P830" s="34"/>
      <c r="Q830" s="111" t="s">
        <v>33</v>
      </c>
      <c r="R830" s="38" t="s">
        <v>94</v>
      </c>
      <c r="S830" s="38" t="s">
        <v>35</v>
      </c>
      <c r="T830" s="38" t="s">
        <v>36</v>
      </c>
      <c r="U830" s="39" t="s">
        <v>1686</v>
      </c>
    </row>
    <row r="831" spans="2:21">
      <c r="B831" s="46" t="s">
        <v>47</v>
      </c>
      <c r="C831" s="80" t="s">
        <v>28</v>
      </c>
      <c r="D831" s="47">
        <v>46045</v>
      </c>
      <c r="F831" s="34"/>
      <c r="G831" s="46"/>
      <c r="H831" s="34"/>
      <c r="I831" s="34"/>
      <c r="K831" s="337">
        <v>1575607</v>
      </c>
      <c r="L831" s="16" t="s">
        <v>1992</v>
      </c>
      <c r="M831" s="34" t="s">
        <v>31</v>
      </c>
      <c r="N831" s="34"/>
      <c r="O831" s="34"/>
      <c r="P831" s="34"/>
      <c r="Q831" s="111" t="s">
        <v>33</v>
      </c>
      <c r="R831" s="38" t="s">
        <v>94</v>
      </c>
      <c r="S831" s="38" t="s">
        <v>35</v>
      </c>
      <c r="T831" s="38" t="s">
        <v>36</v>
      </c>
      <c r="U831" s="39" t="s">
        <v>1686</v>
      </c>
    </row>
    <row r="832" spans="2:21">
      <c r="B832" s="46" t="s">
        <v>47</v>
      </c>
      <c r="C832" s="80" t="s">
        <v>28</v>
      </c>
      <c r="D832" s="47">
        <v>46045</v>
      </c>
      <c r="F832" s="34"/>
      <c r="G832" s="46"/>
      <c r="H832" s="34"/>
      <c r="I832" s="34"/>
      <c r="K832" s="337">
        <v>1575608</v>
      </c>
      <c r="L832" s="16" t="s">
        <v>1993</v>
      </c>
      <c r="M832" s="34" t="s">
        <v>31</v>
      </c>
      <c r="N832" s="34"/>
      <c r="O832" s="34"/>
      <c r="P832" s="34"/>
      <c r="Q832" s="111" t="s">
        <v>33</v>
      </c>
      <c r="R832" s="38" t="s">
        <v>94</v>
      </c>
      <c r="S832" s="38" t="s">
        <v>35</v>
      </c>
      <c r="T832" s="38" t="s">
        <v>36</v>
      </c>
      <c r="U832" s="39" t="s">
        <v>1686</v>
      </c>
    </row>
    <row r="833" spans="2:21">
      <c r="B833" s="46" t="s">
        <v>47</v>
      </c>
      <c r="C833" s="80" t="s">
        <v>28</v>
      </c>
      <c r="D833" s="47">
        <v>46045</v>
      </c>
      <c r="F833" s="34"/>
      <c r="G833" s="46"/>
      <c r="H833" s="34"/>
      <c r="I833" s="34"/>
      <c r="K833" s="363">
        <v>2150512</v>
      </c>
      <c r="L833" s="16" t="s">
        <v>1994</v>
      </c>
      <c r="M833" s="34" t="s">
        <v>31</v>
      </c>
      <c r="N833" s="34"/>
      <c r="O833" s="34"/>
      <c r="P833" s="34"/>
      <c r="Q833" s="111" t="s">
        <v>33</v>
      </c>
      <c r="R833" s="38" t="s">
        <v>94</v>
      </c>
      <c r="S833" s="38" t="s">
        <v>35</v>
      </c>
      <c r="T833" s="38" t="s">
        <v>36</v>
      </c>
      <c r="U833" s="39" t="s">
        <v>1686</v>
      </c>
    </row>
    <row r="834" spans="2:21">
      <c r="B834" s="46" t="s">
        <v>47</v>
      </c>
      <c r="C834" s="80" t="s">
        <v>28</v>
      </c>
      <c r="D834" s="47">
        <v>46045</v>
      </c>
      <c r="F834" s="34"/>
      <c r="G834" s="46"/>
      <c r="H834" s="34"/>
      <c r="I834" s="34"/>
      <c r="K834" s="364">
        <v>1010106</v>
      </c>
      <c r="L834" s="16" t="s">
        <v>1995</v>
      </c>
      <c r="M834" s="34" t="s">
        <v>31</v>
      </c>
      <c r="N834" s="34"/>
      <c r="O834" s="34"/>
      <c r="P834" s="34"/>
      <c r="Q834" s="111" t="s">
        <v>33</v>
      </c>
      <c r="R834" s="38" t="s">
        <v>94</v>
      </c>
      <c r="S834" s="38" t="s">
        <v>35</v>
      </c>
      <c r="T834" s="38" t="s">
        <v>36</v>
      </c>
      <c r="U834" s="39" t="s">
        <v>1686</v>
      </c>
    </row>
    <row r="835" spans="2:21">
      <c r="B835" s="46" t="s">
        <v>47</v>
      </c>
      <c r="C835" s="80" t="s">
        <v>28</v>
      </c>
      <c r="D835" s="47">
        <v>46045</v>
      </c>
      <c r="F835" s="34"/>
      <c r="G835" s="46"/>
      <c r="H835" s="34"/>
      <c r="I835" s="34"/>
      <c r="K835" s="363">
        <v>1007910</v>
      </c>
      <c r="L835" s="16" t="s">
        <v>1996</v>
      </c>
      <c r="M835" s="34" t="s">
        <v>31</v>
      </c>
      <c r="N835" s="34"/>
      <c r="O835" s="34"/>
      <c r="P835" s="34"/>
      <c r="Q835" s="111" t="s">
        <v>33</v>
      </c>
      <c r="R835" s="38" t="s">
        <v>94</v>
      </c>
      <c r="S835" s="38" t="s">
        <v>35</v>
      </c>
      <c r="T835" s="38" t="s">
        <v>36</v>
      </c>
      <c r="U835" s="39" t="s">
        <v>1686</v>
      </c>
    </row>
    <row r="836" spans="2:21">
      <c r="B836" s="46" t="s">
        <v>47</v>
      </c>
      <c r="C836" s="80" t="s">
        <v>28</v>
      </c>
      <c r="D836" s="47">
        <v>46045</v>
      </c>
      <c r="F836" s="34"/>
      <c r="G836" s="46"/>
      <c r="H836" s="34"/>
      <c r="I836" s="34"/>
      <c r="K836" s="363">
        <v>1010107</v>
      </c>
      <c r="L836" s="16" t="s">
        <v>1997</v>
      </c>
      <c r="M836" s="34" t="s">
        <v>31</v>
      </c>
      <c r="N836" s="34"/>
      <c r="O836" s="34"/>
      <c r="P836" s="34"/>
      <c r="Q836" s="111" t="s">
        <v>33</v>
      </c>
      <c r="R836" s="38" t="s">
        <v>94</v>
      </c>
      <c r="S836" s="38" t="s">
        <v>35</v>
      </c>
      <c r="T836" s="38" t="s">
        <v>36</v>
      </c>
      <c r="U836" s="39" t="s">
        <v>1686</v>
      </c>
    </row>
    <row r="837" spans="2:21">
      <c r="B837" s="46" t="s">
        <v>47</v>
      </c>
      <c r="C837" s="80" t="s">
        <v>28</v>
      </c>
      <c r="D837" s="47">
        <v>46045</v>
      </c>
      <c r="F837" s="34"/>
      <c r="G837" s="46"/>
      <c r="H837" s="34"/>
      <c r="I837" s="34"/>
      <c r="K837" s="363">
        <v>1010108</v>
      </c>
      <c r="L837" s="16" t="s">
        <v>1998</v>
      </c>
      <c r="M837" s="34" t="s">
        <v>31</v>
      </c>
      <c r="N837" s="34"/>
      <c r="O837" s="34"/>
      <c r="P837" s="34"/>
      <c r="Q837" s="111" t="s">
        <v>33</v>
      </c>
      <c r="R837" s="38" t="s">
        <v>94</v>
      </c>
      <c r="S837" s="38" t="s">
        <v>35</v>
      </c>
      <c r="T837" s="38" t="s">
        <v>36</v>
      </c>
      <c r="U837" s="39" t="s">
        <v>1686</v>
      </c>
    </row>
    <row r="838" spans="2:21">
      <c r="B838" s="46" t="s">
        <v>47</v>
      </c>
      <c r="C838" s="46" t="s">
        <v>28</v>
      </c>
      <c r="D838" s="47">
        <v>46045</v>
      </c>
      <c r="F838" s="34"/>
      <c r="G838" s="46"/>
      <c r="H838" s="34"/>
      <c r="I838" s="34"/>
      <c r="K838" s="337">
        <v>2150511</v>
      </c>
      <c r="L838" s="16" t="s">
        <v>1999</v>
      </c>
      <c r="M838" s="34" t="s">
        <v>31</v>
      </c>
      <c r="N838" s="34"/>
      <c r="O838" s="34"/>
      <c r="P838" s="34"/>
      <c r="Q838" s="111" t="s">
        <v>33</v>
      </c>
      <c r="R838" s="34" t="s">
        <v>94</v>
      </c>
      <c r="S838" s="34" t="s">
        <v>35</v>
      </c>
      <c r="T838" s="34" t="s">
        <v>36</v>
      </c>
      <c r="U838" s="39" t="s">
        <v>1686</v>
      </c>
    </row>
    <row r="839" spans="2:21">
      <c r="B839" s="46" t="s">
        <v>47</v>
      </c>
      <c r="C839" s="46" t="s">
        <v>28</v>
      </c>
      <c r="D839" s="47">
        <v>46059</v>
      </c>
      <c r="F839" s="34"/>
      <c r="G839" s="46"/>
      <c r="H839" s="34"/>
      <c r="I839" s="34"/>
      <c r="K839" s="337">
        <v>2775301</v>
      </c>
      <c r="L839" s="78" t="s">
        <v>2000</v>
      </c>
      <c r="M839" s="34" t="s">
        <v>31</v>
      </c>
      <c r="N839" s="34"/>
      <c r="O839" s="34"/>
      <c r="P839" s="34"/>
      <c r="Q839" s="111" t="s">
        <v>33</v>
      </c>
      <c r="R839" s="34" t="s">
        <v>94</v>
      </c>
      <c r="S839" s="34" t="s">
        <v>35</v>
      </c>
      <c r="T839" s="34" t="s">
        <v>36</v>
      </c>
      <c r="U839" s="39" t="s">
        <v>1686</v>
      </c>
    </row>
    <row r="840" spans="2:21">
      <c r="B840" s="46" t="s">
        <v>47</v>
      </c>
      <c r="C840" s="46" t="s">
        <v>28</v>
      </c>
      <c r="D840" s="47">
        <v>46059</v>
      </c>
      <c r="F840" s="34"/>
      <c r="G840" s="46"/>
      <c r="H840" s="34"/>
      <c r="I840" s="34"/>
      <c r="K840" s="337">
        <v>2775302</v>
      </c>
      <c r="L840" s="78" t="s">
        <v>2001</v>
      </c>
      <c r="M840" s="34" t="s">
        <v>31</v>
      </c>
      <c r="N840" s="34"/>
      <c r="O840" s="34"/>
      <c r="P840" s="34"/>
      <c r="Q840" s="111" t="s">
        <v>33</v>
      </c>
      <c r="R840" s="34" t="s">
        <v>94</v>
      </c>
      <c r="S840" s="34" t="s">
        <v>35</v>
      </c>
      <c r="T840" s="34" t="s">
        <v>36</v>
      </c>
      <c r="U840" s="39" t="s">
        <v>1686</v>
      </c>
    </row>
    <row r="841" spans="2:21">
      <c r="B841" s="46" t="s">
        <v>47</v>
      </c>
      <c r="C841" s="46" t="s">
        <v>28</v>
      </c>
      <c r="D841" s="47">
        <v>46059</v>
      </c>
      <c r="F841" s="34"/>
      <c r="G841" s="46"/>
      <c r="H841" s="34"/>
      <c r="I841" s="34"/>
      <c r="K841" s="337">
        <v>2600604</v>
      </c>
      <c r="L841" s="78" t="s">
        <v>2002</v>
      </c>
      <c r="M841" s="34" t="s">
        <v>31</v>
      </c>
      <c r="N841" s="34"/>
      <c r="O841" s="34"/>
      <c r="P841" s="34"/>
      <c r="Q841" s="111" t="s">
        <v>33</v>
      </c>
      <c r="R841" s="34" t="s">
        <v>94</v>
      </c>
      <c r="S841" s="34" t="s">
        <v>35</v>
      </c>
      <c r="T841" s="34" t="s">
        <v>36</v>
      </c>
      <c r="U841" s="39" t="s">
        <v>1686</v>
      </c>
    </row>
    <row r="842" spans="2:21">
      <c r="B842" s="46" t="s">
        <v>47</v>
      </c>
      <c r="C842" s="46" t="s">
        <v>28</v>
      </c>
      <c r="D842" s="47">
        <v>46059</v>
      </c>
      <c r="F842" s="34"/>
      <c r="G842" s="46"/>
      <c r="H842" s="34"/>
      <c r="I842" s="34"/>
      <c r="K842" s="337">
        <v>2775401</v>
      </c>
      <c r="L842" s="78" t="s">
        <v>2003</v>
      </c>
      <c r="M842" s="34" t="s">
        <v>31</v>
      </c>
      <c r="N842" s="34"/>
      <c r="O842" s="34"/>
      <c r="P842" s="34"/>
      <c r="Q842" s="111" t="s">
        <v>33</v>
      </c>
      <c r="R842" s="34" t="s">
        <v>94</v>
      </c>
      <c r="S842" s="34" t="s">
        <v>35</v>
      </c>
      <c r="T842" s="34" t="s">
        <v>36</v>
      </c>
      <c r="U842" s="39" t="s">
        <v>1686</v>
      </c>
    </row>
    <row r="843" spans="2:21">
      <c r="B843" s="46" t="s">
        <v>47</v>
      </c>
      <c r="C843" s="46" t="s">
        <v>28</v>
      </c>
      <c r="D843" s="47">
        <v>46059</v>
      </c>
      <c r="F843" s="34"/>
      <c r="G843" s="46"/>
      <c r="H843" s="34"/>
      <c r="I843" s="34"/>
      <c r="K843" s="337">
        <v>2775402</v>
      </c>
      <c r="L843" s="78" t="s">
        <v>2004</v>
      </c>
      <c r="M843" s="34" t="s">
        <v>31</v>
      </c>
      <c r="N843" s="34"/>
      <c r="O843" s="34"/>
      <c r="P843" s="34"/>
      <c r="Q843" s="111" t="s">
        <v>33</v>
      </c>
      <c r="R843" s="34" t="s">
        <v>94</v>
      </c>
      <c r="S843" s="34" t="s">
        <v>35</v>
      </c>
      <c r="T843" s="34" t="s">
        <v>36</v>
      </c>
      <c r="U843" s="39" t="s">
        <v>1686</v>
      </c>
    </row>
    <row r="844" spans="2:21">
      <c r="B844" s="46" t="s">
        <v>47</v>
      </c>
      <c r="C844" s="46" t="s">
        <v>28</v>
      </c>
      <c r="D844" s="47">
        <v>46059</v>
      </c>
      <c r="F844" s="34"/>
      <c r="G844" s="46"/>
      <c r="H844" s="34"/>
      <c r="I844" s="34"/>
      <c r="K844" s="337">
        <v>1839523</v>
      </c>
      <c r="L844" s="78" t="s">
        <v>2005</v>
      </c>
      <c r="M844" s="34" t="s">
        <v>31</v>
      </c>
      <c r="N844" s="34"/>
      <c r="O844" s="34"/>
      <c r="P844" s="34"/>
      <c r="Q844" s="111" t="s">
        <v>33</v>
      </c>
      <c r="R844" s="34" t="s">
        <v>94</v>
      </c>
      <c r="S844" s="34" t="s">
        <v>35</v>
      </c>
      <c r="T844" s="34" t="s">
        <v>36</v>
      </c>
      <c r="U844" s="39" t="s">
        <v>1686</v>
      </c>
    </row>
    <row r="845" spans="2:21">
      <c r="B845" s="46" t="s">
        <v>47</v>
      </c>
      <c r="C845" s="46" t="s">
        <v>28</v>
      </c>
      <c r="D845" s="47">
        <v>46059</v>
      </c>
      <c r="F845" s="34"/>
      <c r="G845" s="46"/>
      <c r="H845" s="34"/>
      <c r="I845" s="34"/>
      <c r="K845" s="337">
        <v>1839524</v>
      </c>
      <c r="L845" s="78" t="s">
        <v>2006</v>
      </c>
      <c r="M845" s="34" t="s">
        <v>31</v>
      </c>
      <c r="N845" s="34"/>
      <c r="O845" s="34"/>
      <c r="P845" s="34"/>
      <c r="Q845" s="111" t="s">
        <v>33</v>
      </c>
      <c r="R845" s="34" t="s">
        <v>94</v>
      </c>
      <c r="S845" s="34" t="s">
        <v>35</v>
      </c>
      <c r="T845" s="34" t="s">
        <v>36</v>
      </c>
      <c r="U845" s="39" t="s">
        <v>1686</v>
      </c>
    </row>
    <row r="846" spans="2:21">
      <c r="B846" s="46" t="s">
        <v>47</v>
      </c>
      <c r="C846" s="46" t="s">
        <v>28</v>
      </c>
      <c r="D846" s="47">
        <v>46059</v>
      </c>
      <c r="F846" s="34"/>
      <c r="G846" s="46"/>
      <c r="H846" s="34"/>
      <c r="I846" s="34"/>
      <c r="K846" s="337">
        <v>2524811</v>
      </c>
      <c r="L846" s="78" t="s">
        <v>2007</v>
      </c>
      <c r="M846" s="34" t="s">
        <v>31</v>
      </c>
      <c r="N846" s="34"/>
      <c r="O846" s="34"/>
      <c r="P846" s="34"/>
      <c r="Q846" s="111" t="s">
        <v>33</v>
      </c>
      <c r="R846" s="34" t="s">
        <v>94</v>
      </c>
      <c r="S846" s="34" t="s">
        <v>35</v>
      </c>
      <c r="T846" s="34" t="s">
        <v>36</v>
      </c>
      <c r="U846" s="39" t="s">
        <v>1686</v>
      </c>
    </row>
    <row r="847" spans="2:21">
      <c r="B847" s="46" t="s">
        <v>47</v>
      </c>
      <c r="C847" s="46" t="s">
        <v>28</v>
      </c>
      <c r="D847" s="47">
        <v>46059</v>
      </c>
      <c r="F847" s="34"/>
      <c r="G847" s="46"/>
      <c r="H847" s="34"/>
      <c r="I847" s="34"/>
      <c r="K847" s="337">
        <v>2524812</v>
      </c>
      <c r="L847" s="78" t="s">
        <v>2008</v>
      </c>
      <c r="M847" s="34" t="s">
        <v>31</v>
      </c>
      <c r="N847" s="34"/>
      <c r="O847" s="34"/>
      <c r="P847" s="34"/>
      <c r="Q847" s="111" t="s">
        <v>33</v>
      </c>
      <c r="R847" s="34" t="s">
        <v>94</v>
      </c>
      <c r="S847" s="34" t="s">
        <v>35</v>
      </c>
      <c r="T847" s="34" t="s">
        <v>36</v>
      </c>
      <c r="U847" s="39" t="s">
        <v>1686</v>
      </c>
    </row>
    <row r="848" spans="2:21">
      <c r="B848" s="46" t="s">
        <v>47</v>
      </c>
      <c r="C848" s="46" t="s">
        <v>28</v>
      </c>
      <c r="D848" s="47">
        <v>46059</v>
      </c>
      <c r="F848" s="34"/>
      <c r="G848" s="46"/>
      <c r="H848" s="34"/>
      <c r="I848" s="34"/>
      <c r="K848" s="337">
        <v>2524813</v>
      </c>
      <c r="L848" s="78" t="s">
        <v>2009</v>
      </c>
      <c r="M848" s="34" t="s">
        <v>31</v>
      </c>
      <c r="N848" s="34"/>
      <c r="O848" s="34"/>
      <c r="P848" s="34"/>
      <c r="Q848" s="111" t="s">
        <v>33</v>
      </c>
      <c r="R848" s="34" t="s">
        <v>94</v>
      </c>
      <c r="S848" s="34" t="s">
        <v>35</v>
      </c>
      <c r="T848" s="111" t="s">
        <v>36</v>
      </c>
      <c r="U848" s="39" t="s">
        <v>1686</v>
      </c>
    </row>
    <row r="849" spans="2:21">
      <c r="B849" s="46" t="s">
        <v>47</v>
      </c>
      <c r="C849" s="46" t="s">
        <v>28</v>
      </c>
      <c r="D849" s="47">
        <v>46059</v>
      </c>
      <c r="F849" s="34"/>
      <c r="G849" s="46"/>
      <c r="H849" s="34"/>
      <c r="I849" s="34"/>
      <c r="K849" s="337">
        <v>2524814</v>
      </c>
      <c r="L849" s="78" t="s">
        <v>2010</v>
      </c>
      <c r="M849" s="34" t="s">
        <v>31</v>
      </c>
      <c r="N849" s="34"/>
      <c r="O849" s="34"/>
      <c r="P849" s="34"/>
      <c r="Q849" s="111" t="s">
        <v>33</v>
      </c>
      <c r="R849" s="34" t="s">
        <v>94</v>
      </c>
      <c r="S849" s="34" t="s">
        <v>35</v>
      </c>
      <c r="T849" s="111" t="s">
        <v>36</v>
      </c>
      <c r="U849" s="39" t="s">
        <v>1686</v>
      </c>
    </row>
    <row r="850" spans="2:21">
      <c r="B850" s="46" t="s">
        <v>47</v>
      </c>
      <c r="C850" s="46" t="s">
        <v>28</v>
      </c>
      <c r="D850" s="47">
        <v>46059</v>
      </c>
      <c r="F850" s="34"/>
      <c r="G850" s="46"/>
      <c r="H850" s="34"/>
      <c r="I850" s="34"/>
      <c r="K850" s="337">
        <v>2775501</v>
      </c>
      <c r="L850" s="78" t="s">
        <v>2011</v>
      </c>
      <c r="M850" s="34" t="s">
        <v>31</v>
      </c>
      <c r="N850" s="34"/>
      <c r="O850" s="34"/>
      <c r="P850" s="34"/>
      <c r="Q850" s="111" t="s">
        <v>33</v>
      </c>
      <c r="R850" s="34" t="s">
        <v>94</v>
      </c>
      <c r="S850" s="34" t="s">
        <v>35</v>
      </c>
      <c r="T850" s="34" t="s">
        <v>36</v>
      </c>
      <c r="U850" s="39" t="s">
        <v>1686</v>
      </c>
    </row>
    <row r="851" spans="2:21">
      <c r="B851" s="46" t="s">
        <v>47</v>
      </c>
      <c r="C851" s="46" t="s">
        <v>28</v>
      </c>
      <c r="D851" s="47">
        <v>46059</v>
      </c>
      <c r="F851" s="34"/>
      <c r="G851" s="46"/>
      <c r="H851" s="34"/>
      <c r="I851" s="34"/>
      <c r="K851" s="337">
        <v>2775502</v>
      </c>
      <c r="L851" s="78" t="s">
        <v>2012</v>
      </c>
      <c r="M851" s="34" t="s">
        <v>31</v>
      </c>
      <c r="N851" s="34"/>
      <c r="O851" s="34"/>
      <c r="P851" s="34"/>
      <c r="Q851" s="111" t="s">
        <v>33</v>
      </c>
      <c r="R851" s="34" t="s">
        <v>94</v>
      </c>
      <c r="S851" s="34" t="s">
        <v>35</v>
      </c>
      <c r="T851" s="34" t="s">
        <v>36</v>
      </c>
      <c r="U851" s="39" t="s">
        <v>1686</v>
      </c>
    </row>
    <row r="852" spans="2:21">
      <c r="B852" s="46" t="s">
        <v>47</v>
      </c>
      <c r="C852" s="46" t="s">
        <v>28</v>
      </c>
      <c r="D852" s="47">
        <v>46059</v>
      </c>
      <c r="F852" s="34"/>
      <c r="G852" s="46"/>
      <c r="H852" s="34"/>
      <c r="I852" s="34"/>
      <c r="K852" s="337">
        <v>1010202</v>
      </c>
      <c r="L852" s="78" t="s">
        <v>2013</v>
      </c>
      <c r="M852" s="34" t="s">
        <v>31</v>
      </c>
      <c r="N852" s="34"/>
      <c r="O852" s="34"/>
      <c r="P852" s="34"/>
      <c r="Q852" s="111" t="s">
        <v>33</v>
      </c>
      <c r="R852" s="34" t="s">
        <v>94</v>
      </c>
      <c r="S852" s="34" t="s">
        <v>35</v>
      </c>
      <c r="T852" s="34" t="s">
        <v>36</v>
      </c>
      <c r="U852" s="39" t="s">
        <v>1686</v>
      </c>
    </row>
    <row r="853" spans="2:21">
      <c r="B853" s="46" t="s">
        <v>47</v>
      </c>
      <c r="C853" s="46" t="s">
        <v>28</v>
      </c>
      <c r="D853" s="47">
        <v>46066</v>
      </c>
      <c r="F853" s="34"/>
      <c r="G853" s="46"/>
      <c r="H853" s="34"/>
      <c r="I853" s="34"/>
      <c r="K853" s="337">
        <v>2783301</v>
      </c>
      <c r="L853" s="16" t="s">
        <v>2014</v>
      </c>
      <c r="M853" s="34" t="s">
        <v>31</v>
      </c>
      <c r="N853" s="34"/>
      <c r="O853" s="34"/>
      <c r="P853" s="34"/>
      <c r="Q853" s="111" t="s">
        <v>33</v>
      </c>
      <c r="R853" s="34" t="s">
        <v>94</v>
      </c>
      <c r="S853" s="34" t="s">
        <v>35</v>
      </c>
      <c r="T853" s="111" t="s">
        <v>36</v>
      </c>
      <c r="U853" s="39" t="s">
        <v>1686</v>
      </c>
    </row>
    <row r="854" spans="2:21">
      <c r="B854" s="46" t="s">
        <v>47</v>
      </c>
      <c r="C854" s="46" t="s">
        <v>28</v>
      </c>
      <c r="D854" s="47">
        <v>46066</v>
      </c>
      <c r="F854" s="34"/>
      <c r="G854" s="46"/>
      <c r="H854" s="34"/>
      <c r="I854" s="34"/>
      <c r="K854" s="337">
        <v>2783302</v>
      </c>
      <c r="L854" s="16" t="s">
        <v>2015</v>
      </c>
      <c r="M854" s="34" t="s">
        <v>31</v>
      </c>
      <c r="N854" s="34"/>
      <c r="O854" s="34"/>
      <c r="P854" s="34"/>
      <c r="Q854" s="111" t="s">
        <v>33</v>
      </c>
      <c r="R854" s="34" t="s">
        <v>94</v>
      </c>
      <c r="S854" s="34" t="s">
        <v>35</v>
      </c>
      <c r="T854" s="111" t="s">
        <v>36</v>
      </c>
      <c r="U854" s="39" t="s">
        <v>1686</v>
      </c>
    </row>
    <row r="855" spans="2:21">
      <c r="B855" s="46" t="s">
        <v>47</v>
      </c>
      <c r="C855" s="46" t="s">
        <v>28</v>
      </c>
      <c r="D855" s="47">
        <v>46066</v>
      </c>
      <c r="F855" s="34"/>
      <c r="G855" s="46"/>
      <c r="H855" s="34"/>
      <c r="I855" s="34"/>
      <c r="K855" s="337">
        <v>2782801</v>
      </c>
      <c r="L855" s="16" t="s">
        <v>2016</v>
      </c>
      <c r="M855" s="34" t="s">
        <v>31</v>
      </c>
      <c r="N855" s="34"/>
      <c r="O855" s="34"/>
      <c r="P855" s="34"/>
      <c r="Q855" s="111" t="s">
        <v>33</v>
      </c>
      <c r="R855" s="34" t="s">
        <v>94</v>
      </c>
      <c r="S855" s="34" t="s">
        <v>35</v>
      </c>
      <c r="T855" s="111" t="s">
        <v>36</v>
      </c>
      <c r="U855" s="39" t="s">
        <v>1686</v>
      </c>
    </row>
    <row r="856" spans="2:21">
      <c r="B856" s="46" t="s">
        <v>47</v>
      </c>
      <c r="C856" s="46" t="s">
        <v>28</v>
      </c>
      <c r="D856" s="47">
        <v>46066</v>
      </c>
      <c r="F856" s="34"/>
      <c r="G856" s="46"/>
      <c r="H856" s="34"/>
      <c r="I856" s="34"/>
      <c r="K856" s="337">
        <v>1582508</v>
      </c>
      <c r="L856" s="16" t="s">
        <v>2017</v>
      </c>
      <c r="M856" s="34" t="s">
        <v>31</v>
      </c>
      <c r="N856" s="34"/>
      <c r="O856" s="34"/>
      <c r="P856" s="34"/>
      <c r="Q856" s="111" t="s">
        <v>33</v>
      </c>
      <c r="R856" s="34" t="s">
        <v>94</v>
      </c>
      <c r="S856" s="34" t="s">
        <v>35</v>
      </c>
      <c r="T856" s="111" t="s">
        <v>36</v>
      </c>
      <c r="U856" s="39" t="s">
        <v>1686</v>
      </c>
    </row>
    <row r="857" spans="2:21">
      <c r="B857" s="46" t="s">
        <v>47</v>
      </c>
      <c r="C857" s="46" t="s">
        <v>28</v>
      </c>
      <c r="D857" s="47">
        <v>46066</v>
      </c>
      <c r="F857" s="34"/>
      <c r="G857" s="46"/>
      <c r="H857" s="34"/>
      <c r="I857" s="34"/>
      <c r="K857" s="337">
        <v>1582509</v>
      </c>
      <c r="L857" s="16" t="s">
        <v>2018</v>
      </c>
      <c r="M857" s="34" t="s">
        <v>31</v>
      </c>
      <c r="N857" s="34"/>
      <c r="O857" s="34"/>
      <c r="P857" s="34"/>
      <c r="Q857" s="111" t="s">
        <v>33</v>
      </c>
      <c r="R857" s="34" t="s">
        <v>94</v>
      </c>
      <c r="S857" s="34" t="s">
        <v>35</v>
      </c>
      <c r="T857" s="111" t="s">
        <v>36</v>
      </c>
      <c r="U857" s="39" t="s">
        <v>1686</v>
      </c>
    </row>
    <row r="858" spans="2:21">
      <c r="B858" s="46" t="s">
        <v>47</v>
      </c>
      <c r="C858" s="46" t="s">
        <v>28</v>
      </c>
      <c r="D858" s="47">
        <v>46066</v>
      </c>
      <c r="F858" s="34"/>
      <c r="G858" s="46"/>
      <c r="H858" s="34"/>
      <c r="I858" s="34"/>
      <c r="K858" s="415">
        <v>2782901</v>
      </c>
      <c r="L858" s="416" t="s">
        <v>2019</v>
      </c>
      <c r="M858" s="34" t="s">
        <v>31</v>
      </c>
      <c r="N858" s="34"/>
      <c r="O858" s="34"/>
      <c r="P858" s="34"/>
      <c r="Q858" s="111" t="s">
        <v>33</v>
      </c>
      <c r="R858" s="34" t="s">
        <v>94</v>
      </c>
      <c r="S858" s="34" t="s">
        <v>35</v>
      </c>
      <c r="T858" s="111" t="s">
        <v>36</v>
      </c>
      <c r="U858" s="141" t="s">
        <v>2020</v>
      </c>
    </row>
    <row r="859" spans="2:21">
      <c r="B859" s="46" t="s">
        <v>47</v>
      </c>
      <c r="C859" s="46" t="s">
        <v>28</v>
      </c>
      <c r="D859" s="47">
        <v>46066</v>
      </c>
      <c r="F859" s="34"/>
      <c r="G859" s="46"/>
      <c r="H859" s="34"/>
      <c r="I859" s="34"/>
      <c r="K859" s="415">
        <v>2782902</v>
      </c>
      <c r="L859" s="416" t="s">
        <v>2021</v>
      </c>
      <c r="M859" s="34" t="s">
        <v>31</v>
      </c>
      <c r="N859" s="34"/>
      <c r="O859" s="34"/>
      <c r="P859" s="34"/>
      <c r="Q859" s="111" t="s">
        <v>33</v>
      </c>
      <c r="R859" s="34" t="s">
        <v>94</v>
      </c>
      <c r="S859" s="34" t="s">
        <v>35</v>
      </c>
      <c r="T859" s="111" t="s">
        <v>36</v>
      </c>
      <c r="U859" s="141" t="s">
        <v>2020</v>
      </c>
    </row>
    <row r="860" spans="2:21">
      <c r="B860" s="46" t="s">
        <v>47</v>
      </c>
      <c r="C860" s="46" t="s">
        <v>28</v>
      </c>
      <c r="D860" s="47">
        <v>46066</v>
      </c>
      <c r="F860" s="34"/>
      <c r="G860" s="46"/>
      <c r="H860" s="34"/>
      <c r="I860" s="34"/>
      <c r="K860" s="337">
        <v>1318218</v>
      </c>
      <c r="L860" s="16" t="s">
        <v>2022</v>
      </c>
      <c r="M860" s="34" t="s">
        <v>31</v>
      </c>
      <c r="N860" s="34"/>
      <c r="O860" s="34"/>
      <c r="P860" s="34"/>
      <c r="Q860" s="111" t="s">
        <v>33</v>
      </c>
      <c r="R860" s="34" t="s">
        <v>94</v>
      </c>
      <c r="S860" s="34" t="s">
        <v>35</v>
      </c>
      <c r="T860" s="111" t="s">
        <v>36</v>
      </c>
      <c r="U860" s="39" t="s">
        <v>1686</v>
      </c>
    </row>
    <row r="861" spans="2:21">
      <c r="B861" s="46" t="s">
        <v>47</v>
      </c>
      <c r="C861" s="46" t="s">
        <v>28</v>
      </c>
      <c r="D861" s="47">
        <v>46066</v>
      </c>
      <c r="F861" s="34"/>
      <c r="G861" s="46"/>
      <c r="H861" s="34"/>
      <c r="I861" s="34"/>
      <c r="K861" s="337">
        <v>1318219</v>
      </c>
      <c r="L861" s="16" t="s">
        <v>2023</v>
      </c>
      <c r="M861" s="34" t="s">
        <v>31</v>
      </c>
      <c r="N861" s="34"/>
      <c r="O861" s="34"/>
      <c r="P861" s="34"/>
      <c r="Q861" s="111" t="s">
        <v>33</v>
      </c>
      <c r="R861" s="34" t="s">
        <v>94</v>
      </c>
      <c r="S861" s="34" t="s">
        <v>35</v>
      </c>
      <c r="T861" s="111" t="s">
        <v>36</v>
      </c>
      <c r="U861" s="39" t="s">
        <v>1686</v>
      </c>
    </row>
    <row r="862" spans="2:21">
      <c r="B862" s="46" t="s">
        <v>47</v>
      </c>
      <c r="C862" s="46" t="s">
        <v>28</v>
      </c>
      <c r="D862" s="47">
        <v>46066</v>
      </c>
      <c r="F862" s="34"/>
      <c r="G862" s="46"/>
      <c r="H862" s="34"/>
      <c r="I862" s="34"/>
      <c r="K862" s="337">
        <v>1467711</v>
      </c>
      <c r="L862" s="16" t="s">
        <v>2024</v>
      </c>
      <c r="M862" s="34" t="s">
        <v>31</v>
      </c>
      <c r="N862" s="34"/>
      <c r="O862" s="34"/>
      <c r="P862" s="34"/>
      <c r="Q862" s="111" t="s">
        <v>33</v>
      </c>
      <c r="R862" s="34" t="s">
        <v>94</v>
      </c>
      <c r="S862" s="34" t="s">
        <v>35</v>
      </c>
      <c r="T862" s="111" t="s">
        <v>36</v>
      </c>
      <c r="U862" s="39" t="s">
        <v>1686</v>
      </c>
    </row>
    <row r="863" spans="2:21">
      <c r="B863" s="46" t="s">
        <v>47</v>
      </c>
      <c r="C863" s="46" t="s">
        <v>28</v>
      </c>
      <c r="D863" s="47">
        <v>46066</v>
      </c>
      <c r="F863" s="34"/>
      <c r="G863" s="46"/>
      <c r="H863" s="34"/>
      <c r="I863" s="34"/>
      <c r="K863" s="337">
        <v>1467712</v>
      </c>
      <c r="L863" s="16" t="s">
        <v>2025</v>
      </c>
      <c r="M863" s="34" t="s">
        <v>31</v>
      </c>
      <c r="N863" s="34"/>
      <c r="O863" s="34"/>
      <c r="P863" s="34"/>
      <c r="Q863" s="111" t="s">
        <v>33</v>
      </c>
      <c r="R863" s="34" t="s">
        <v>94</v>
      </c>
      <c r="S863" s="34" t="s">
        <v>35</v>
      </c>
      <c r="T863" s="111" t="s">
        <v>36</v>
      </c>
      <c r="U863" s="39" t="s">
        <v>1686</v>
      </c>
    </row>
    <row r="864" spans="2:21">
      <c r="B864" s="46" t="s">
        <v>47</v>
      </c>
      <c r="C864" s="46" t="s">
        <v>28</v>
      </c>
      <c r="D864" s="47">
        <v>46072</v>
      </c>
      <c r="F864" s="34"/>
      <c r="G864" s="46"/>
      <c r="H864" s="34"/>
      <c r="I864" s="34"/>
      <c r="K864" s="337">
        <v>2785001</v>
      </c>
      <c r="L864" s="16" t="s">
        <v>2026</v>
      </c>
      <c r="M864" s="34" t="s">
        <v>31</v>
      </c>
      <c r="N864" s="34"/>
      <c r="O864" s="34"/>
      <c r="P864" s="34"/>
      <c r="Q864" s="111" t="s">
        <v>33</v>
      </c>
      <c r="R864" s="34" t="s">
        <v>94</v>
      </c>
      <c r="S864" s="34" t="s">
        <v>35</v>
      </c>
      <c r="T864" s="111" t="s">
        <v>36</v>
      </c>
      <c r="U864" s="39" t="s">
        <v>1686</v>
      </c>
    </row>
    <row r="865" spans="2:21">
      <c r="B865" s="46" t="s">
        <v>47</v>
      </c>
      <c r="C865" s="46" t="s">
        <v>28</v>
      </c>
      <c r="D865" s="47">
        <v>46080</v>
      </c>
      <c r="F865" s="34"/>
      <c r="G865" s="46"/>
      <c r="H865" s="34"/>
      <c r="I865" s="34"/>
      <c r="K865" s="337">
        <v>2203202</v>
      </c>
      <c r="L865" s="16" t="s">
        <v>2027</v>
      </c>
      <c r="M865" s="34" t="s">
        <v>31</v>
      </c>
      <c r="N865" s="34"/>
      <c r="O865" s="34"/>
      <c r="P865" s="34"/>
      <c r="Q865" s="111" t="s">
        <v>33</v>
      </c>
      <c r="R865" s="34" t="s">
        <v>94</v>
      </c>
      <c r="S865" s="34" t="s">
        <v>35</v>
      </c>
      <c r="T865" s="111" t="s">
        <v>36</v>
      </c>
      <c r="U865" s="39" t="s">
        <v>1686</v>
      </c>
    </row>
    <row r="866" spans="2:21">
      <c r="B866" s="46" t="s">
        <v>47</v>
      </c>
      <c r="C866" s="46" t="s">
        <v>28</v>
      </c>
      <c r="D866" s="47">
        <v>46080</v>
      </c>
      <c r="F866" s="34"/>
      <c r="G866" s="46"/>
      <c r="H866" s="34"/>
      <c r="I866" s="34"/>
      <c r="K866" s="337">
        <v>2787001</v>
      </c>
      <c r="L866" s="16" t="s">
        <v>2028</v>
      </c>
      <c r="M866" s="34" t="s">
        <v>31</v>
      </c>
      <c r="N866" s="34"/>
      <c r="O866" s="34"/>
      <c r="P866" s="34"/>
      <c r="Q866" s="111" t="s">
        <v>33</v>
      </c>
      <c r="R866" s="111" t="s">
        <v>94</v>
      </c>
      <c r="S866" s="111" t="s">
        <v>35</v>
      </c>
      <c r="T866" s="111" t="s">
        <v>36</v>
      </c>
      <c r="U866" s="39" t="s">
        <v>1686</v>
      </c>
    </row>
    <row r="867" spans="2:21">
      <c r="B867" s="46" t="s">
        <v>47</v>
      </c>
      <c r="C867" s="46" t="s">
        <v>28</v>
      </c>
      <c r="D867" s="47">
        <v>46080</v>
      </c>
      <c r="F867" s="34"/>
      <c r="G867" s="46"/>
      <c r="H867" s="34"/>
      <c r="I867" s="34"/>
      <c r="K867" s="337">
        <v>2787002</v>
      </c>
      <c r="L867" s="16" t="s">
        <v>2029</v>
      </c>
      <c r="M867" s="34" t="s">
        <v>31</v>
      </c>
      <c r="N867" s="34"/>
      <c r="O867" s="34"/>
      <c r="P867" s="34"/>
      <c r="Q867" s="111" t="s">
        <v>33</v>
      </c>
      <c r="R867" s="111" t="s">
        <v>94</v>
      </c>
      <c r="S867" s="111" t="s">
        <v>35</v>
      </c>
      <c r="T867" s="111" t="s">
        <v>36</v>
      </c>
      <c r="U867" s="39" t="s">
        <v>1686</v>
      </c>
    </row>
    <row r="868" spans="2:21">
      <c r="B868" s="46" t="s">
        <v>47</v>
      </c>
      <c r="C868" s="46" t="s">
        <v>28</v>
      </c>
      <c r="D868" s="47">
        <v>46080</v>
      </c>
      <c r="F868" s="34"/>
      <c r="G868" s="46"/>
      <c r="H868" s="34"/>
      <c r="I868" s="34"/>
      <c r="K868" s="337">
        <v>2787101</v>
      </c>
      <c r="L868" s="16" t="s">
        <v>2030</v>
      </c>
      <c r="M868" s="34" t="s">
        <v>31</v>
      </c>
      <c r="N868" s="34"/>
      <c r="O868" s="34"/>
      <c r="P868" s="34"/>
      <c r="Q868" s="111" t="s">
        <v>33</v>
      </c>
      <c r="R868" s="111" t="s">
        <v>94</v>
      </c>
      <c r="S868" s="111" t="s">
        <v>35</v>
      </c>
      <c r="T868" s="111" t="s">
        <v>36</v>
      </c>
      <c r="U868" s="39" t="s">
        <v>1686</v>
      </c>
    </row>
    <row r="869" spans="2:21">
      <c r="B869" s="46" t="s">
        <v>47</v>
      </c>
      <c r="C869" s="46" t="s">
        <v>28</v>
      </c>
      <c r="D869" s="47">
        <v>46080</v>
      </c>
      <c r="F869" s="34"/>
      <c r="G869" s="46"/>
      <c r="H869" s="34"/>
      <c r="I869" s="34"/>
      <c r="K869" s="337">
        <v>2787102</v>
      </c>
      <c r="L869" s="16" t="s">
        <v>2031</v>
      </c>
      <c r="M869" s="34" t="s">
        <v>31</v>
      </c>
      <c r="N869" s="34"/>
      <c r="O869" s="34"/>
      <c r="P869" s="34"/>
      <c r="Q869" s="111" t="s">
        <v>33</v>
      </c>
      <c r="R869" s="111" t="s">
        <v>94</v>
      </c>
      <c r="S869" s="111" t="s">
        <v>35</v>
      </c>
      <c r="T869" s="111" t="s">
        <v>36</v>
      </c>
      <c r="U869" s="39" t="s">
        <v>1686</v>
      </c>
    </row>
    <row r="870" spans="2:21">
      <c r="B870" s="46" t="s">
        <v>47</v>
      </c>
      <c r="C870" s="46" t="s">
        <v>28</v>
      </c>
      <c r="D870" s="47">
        <v>46080</v>
      </c>
      <c r="F870" s="34"/>
      <c r="G870" s="46"/>
      <c r="H870" s="34"/>
      <c r="I870" s="34"/>
      <c r="K870" s="337">
        <v>2786801</v>
      </c>
      <c r="L870" s="16" t="s">
        <v>2032</v>
      </c>
      <c r="M870" s="34" t="s">
        <v>31</v>
      </c>
      <c r="N870" s="34"/>
      <c r="O870" s="34"/>
      <c r="P870" s="34"/>
      <c r="Q870" s="111" t="s">
        <v>33</v>
      </c>
      <c r="R870" s="111" t="s">
        <v>94</v>
      </c>
      <c r="S870" s="111" t="s">
        <v>35</v>
      </c>
      <c r="T870" s="111" t="s">
        <v>36</v>
      </c>
      <c r="U870" s="39" t="s">
        <v>1686</v>
      </c>
    </row>
    <row r="871" spans="2:21">
      <c r="B871" s="46" t="s">
        <v>47</v>
      </c>
      <c r="C871" s="46" t="s">
        <v>28</v>
      </c>
      <c r="D871" s="47">
        <v>46080</v>
      </c>
      <c r="F871" s="34"/>
      <c r="G871" s="46"/>
      <c r="H871" s="34"/>
      <c r="I871" s="34"/>
      <c r="K871" s="337">
        <v>2786901</v>
      </c>
      <c r="L871" s="16" t="s">
        <v>2033</v>
      </c>
      <c r="M871" s="34" t="s">
        <v>31</v>
      </c>
      <c r="N871" s="34"/>
      <c r="O871" s="34"/>
      <c r="P871" s="34"/>
      <c r="Q871" s="111" t="s">
        <v>33</v>
      </c>
      <c r="R871" s="111" t="s">
        <v>94</v>
      </c>
      <c r="S871" s="111" t="s">
        <v>35</v>
      </c>
      <c r="T871" s="111" t="s">
        <v>36</v>
      </c>
      <c r="U871" s="39" t="s">
        <v>1686</v>
      </c>
    </row>
    <row r="872" spans="2:21">
      <c r="B872" s="46" t="s">
        <v>47</v>
      </c>
      <c r="C872" s="46" t="s">
        <v>28</v>
      </c>
      <c r="D872" s="47">
        <v>46080</v>
      </c>
      <c r="F872" s="34"/>
      <c r="G872" s="46"/>
      <c r="H872" s="34"/>
      <c r="I872" s="34"/>
      <c r="K872" s="337">
        <v>2786802</v>
      </c>
      <c r="L872" s="16" t="s">
        <v>2034</v>
      </c>
      <c r="M872" s="34" t="s">
        <v>31</v>
      </c>
      <c r="N872" s="34"/>
      <c r="O872" s="34"/>
      <c r="P872" s="34"/>
      <c r="Q872" s="111" t="s">
        <v>33</v>
      </c>
      <c r="R872" s="111" t="s">
        <v>94</v>
      </c>
      <c r="S872" s="111" t="s">
        <v>35</v>
      </c>
      <c r="T872" s="111" t="s">
        <v>36</v>
      </c>
      <c r="U872" s="39" t="s">
        <v>1686</v>
      </c>
    </row>
    <row r="873" spans="2:21">
      <c r="B873" s="46" t="s">
        <v>47</v>
      </c>
      <c r="C873" s="46" t="s">
        <v>28</v>
      </c>
      <c r="D873" s="47">
        <v>46080</v>
      </c>
      <c r="F873" s="34"/>
      <c r="G873" s="46"/>
      <c r="H873" s="34"/>
      <c r="I873" s="34"/>
      <c r="K873" s="337">
        <v>2786902</v>
      </c>
      <c r="L873" s="16" t="s">
        <v>2035</v>
      </c>
      <c r="M873" s="34" t="s">
        <v>31</v>
      </c>
      <c r="N873" s="34"/>
      <c r="O873" s="34"/>
      <c r="P873" s="34"/>
      <c r="Q873" s="111" t="s">
        <v>33</v>
      </c>
      <c r="R873" s="111" t="s">
        <v>94</v>
      </c>
      <c r="S873" s="111" t="s">
        <v>35</v>
      </c>
      <c r="T873" s="111" t="s">
        <v>36</v>
      </c>
      <c r="U873" s="39" t="s">
        <v>1686</v>
      </c>
    </row>
    <row r="874" spans="2:21">
      <c r="B874" s="46" t="s">
        <v>47</v>
      </c>
      <c r="C874" s="46" t="s">
        <v>28</v>
      </c>
      <c r="D874" s="47">
        <v>46087</v>
      </c>
      <c r="F874" s="34"/>
      <c r="G874" s="46"/>
      <c r="H874" s="34"/>
      <c r="I874" s="34"/>
      <c r="K874" s="337">
        <v>2791301</v>
      </c>
      <c r="L874" s="16" t="s">
        <v>2036</v>
      </c>
      <c r="M874" s="34" t="s">
        <v>31</v>
      </c>
      <c r="N874" s="34"/>
      <c r="O874" s="34"/>
      <c r="P874" s="34"/>
      <c r="Q874" s="111" t="s">
        <v>33</v>
      </c>
      <c r="R874" s="111" t="s">
        <v>94</v>
      </c>
      <c r="S874" s="111" t="s">
        <v>35</v>
      </c>
      <c r="T874" s="111" t="s">
        <v>36</v>
      </c>
      <c r="U874" s="39" t="s">
        <v>1686</v>
      </c>
    </row>
    <row r="875" spans="2:21">
      <c r="B875" s="46" t="s">
        <v>47</v>
      </c>
      <c r="C875" s="46" t="s">
        <v>28</v>
      </c>
      <c r="D875" s="47">
        <v>46087</v>
      </c>
      <c r="F875" s="34"/>
      <c r="G875" s="46"/>
      <c r="H875" s="34"/>
      <c r="I875" s="34"/>
      <c r="K875" s="337">
        <v>2791302</v>
      </c>
      <c r="L875" s="16" t="s">
        <v>2037</v>
      </c>
      <c r="M875" s="34" t="s">
        <v>31</v>
      </c>
      <c r="N875" s="34"/>
      <c r="O875" s="34"/>
      <c r="P875" s="34"/>
      <c r="Q875" s="111" t="s">
        <v>33</v>
      </c>
      <c r="R875" s="111" t="s">
        <v>94</v>
      </c>
      <c r="S875" s="111" t="s">
        <v>35</v>
      </c>
      <c r="T875" s="111" t="s">
        <v>36</v>
      </c>
      <c r="U875" s="39" t="s">
        <v>1686</v>
      </c>
    </row>
    <row r="876" spans="2:21">
      <c r="B876" s="46" t="s">
        <v>47</v>
      </c>
      <c r="C876" s="46" t="s">
        <v>28</v>
      </c>
      <c r="D876" s="47">
        <v>46087</v>
      </c>
      <c r="F876" s="34"/>
      <c r="G876" s="46"/>
      <c r="H876" s="34"/>
      <c r="I876" s="34"/>
      <c r="K876" s="337">
        <v>2791401</v>
      </c>
      <c r="L876" s="16" t="s">
        <v>2038</v>
      </c>
      <c r="M876" s="34" t="s">
        <v>31</v>
      </c>
      <c r="N876" s="34"/>
      <c r="O876" s="34"/>
      <c r="P876" s="34"/>
      <c r="Q876" s="111" t="s">
        <v>33</v>
      </c>
      <c r="R876" s="111" t="s">
        <v>94</v>
      </c>
      <c r="S876" s="111" t="s">
        <v>35</v>
      </c>
      <c r="T876" s="111" t="s">
        <v>36</v>
      </c>
      <c r="U876" s="39" t="s">
        <v>1686</v>
      </c>
    </row>
    <row r="877" spans="2:21">
      <c r="B877" s="46" t="s">
        <v>47</v>
      </c>
      <c r="C877" s="46" t="s">
        <v>28</v>
      </c>
      <c r="D877" s="47">
        <v>46087</v>
      </c>
      <c r="F877" s="34"/>
      <c r="G877" s="46"/>
      <c r="H877" s="34"/>
      <c r="I877" s="34"/>
      <c r="K877" s="337">
        <v>2791402</v>
      </c>
      <c r="L877" s="16" t="s">
        <v>2039</v>
      </c>
      <c r="M877" s="34" t="s">
        <v>31</v>
      </c>
      <c r="N877" s="34"/>
      <c r="O877" s="34"/>
      <c r="P877" s="34"/>
      <c r="Q877" s="111" t="s">
        <v>33</v>
      </c>
      <c r="R877" s="111" t="s">
        <v>94</v>
      </c>
      <c r="S877" s="111" t="s">
        <v>35</v>
      </c>
      <c r="T877" s="111" t="s">
        <v>36</v>
      </c>
      <c r="U877" s="39" t="s">
        <v>1686</v>
      </c>
    </row>
    <row r="878" spans="2:21">
      <c r="B878" s="46" t="s">
        <v>47</v>
      </c>
      <c r="C878" s="46" t="s">
        <v>28</v>
      </c>
      <c r="D878" s="47">
        <v>46094</v>
      </c>
      <c r="F878" s="34"/>
      <c r="G878" s="46"/>
      <c r="H878" s="34"/>
      <c r="I878" s="34"/>
      <c r="K878" s="337">
        <v>2792401</v>
      </c>
      <c r="L878" s="16" t="s">
        <v>2040</v>
      </c>
      <c r="M878" s="34" t="s">
        <v>31</v>
      </c>
      <c r="N878" s="34"/>
      <c r="O878" s="34"/>
      <c r="P878" s="34"/>
      <c r="Q878" s="111" t="s">
        <v>33</v>
      </c>
      <c r="R878" s="111" t="s">
        <v>94</v>
      </c>
      <c r="S878" s="111" t="s">
        <v>35</v>
      </c>
      <c r="T878" s="111" t="s">
        <v>36</v>
      </c>
      <c r="U878" s="39" t="s">
        <v>1686</v>
      </c>
    </row>
    <row r="879" spans="2:21">
      <c r="B879" s="46" t="s">
        <v>47</v>
      </c>
      <c r="C879" s="46" t="s">
        <v>28</v>
      </c>
      <c r="D879" s="47">
        <v>46094</v>
      </c>
      <c r="F879" s="34"/>
      <c r="G879" s="46"/>
      <c r="H879" s="34"/>
      <c r="I879" s="34"/>
      <c r="K879" s="337">
        <v>2793002</v>
      </c>
      <c r="L879" s="16" t="s">
        <v>2041</v>
      </c>
      <c r="M879" s="34" t="s">
        <v>31</v>
      </c>
      <c r="N879" s="34"/>
      <c r="O879" s="34"/>
      <c r="P879" s="34"/>
      <c r="Q879" s="111" t="s">
        <v>33</v>
      </c>
      <c r="R879" s="111" t="s">
        <v>94</v>
      </c>
      <c r="S879" s="111" t="s">
        <v>35</v>
      </c>
      <c r="T879" s="111" t="s">
        <v>36</v>
      </c>
      <c r="U879" s="39" t="s">
        <v>1686</v>
      </c>
    </row>
    <row r="880" spans="2:21">
      <c r="B880" s="46" t="s">
        <v>47</v>
      </c>
      <c r="C880" s="46" t="s">
        <v>28</v>
      </c>
      <c r="D880" s="47">
        <v>46094</v>
      </c>
      <c r="F880" s="34"/>
      <c r="G880" s="46"/>
      <c r="H880" s="34"/>
      <c r="I880" s="34"/>
      <c r="K880" s="337">
        <v>2793001</v>
      </c>
      <c r="L880" s="16" t="s">
        <v>2042</v>
      </c>
      <c r="M880" s="34" t="s">
        <v>31</v>
      </c>
      <c r="N880" s="34"/>
      <c r="O880" s="34"/>
      <c r="P880" s="34"/>
      <c r="Q880" s="111" t="s">
        <v>33</v>
      </c>
      <c r="R880" s="111" t="s">
        <v>94</v>
      </c>
      <c r="S880" s="111" t="s">
        <v>35</v>
      </c>
      <c r="T880" s="111" t="s">
        <v>36</v>
      </c>
      <c r="U880" s="39" t="s">
        <v>1686</v>
      </c>
    </row>
    <row r="881" spans="2:21">
      <c r="B881" s="46" t="s">
        <v>47</v>
      </c>
      <c r="C881" s="46" t="s">
        <v>28</v>
      </c>
      <c r="D881" s="47">
        <v>46108</v>
      </c>
      <c r="F881" s="34"/>
      <c r="G881" s="46"/>
      <c r="H881" s="34"/>
      <c r="I881" s="34"/>
      <c r="K881" s="337">
        <v>2797301</v>
      </c>
      <c r="L881" s="16" t="s">
        <v>2043</v>
      </c>
      <c r="M881" s="34" t="s">
        <v>31</v>
      </c>
      <c r="N881" s="34"/>
      <c r="O881" s="34"/>
      <c r="P881" s="34"/>
      <c r="Q881" s="111" t="s">
        <v>33</v>
      </c>
      <c r="R881" s="111" t="s">
        <v>94</v>
      </c>
      <c r="S881" s="111" t="s">
        <v>35</v>
      </c>
      <c r="T881" s="34" t="s">
        <v>36</v>
      </c>
      <c r="U881" s="39" t="s">
        <v>1686</v>
      </c>
    </row>
    <row r="882" spans="2:21">
      <c r="B882" s="46" t="s">
        <v>47</v>
      </c>
      <c r="C882" s="46" t="s">
        <v>28</v>
      </c>
      <c r="D882" s="47">
        <v>46108</v>
      </c>
      <c r="F882" s="34"/>
      <c r="G882" s="46"/>
      <c r="H882" s="34"/>
      <c r="I882" s="34"/>
      <c r="K882" s="337">
        <v>2797302</v>
      </c>
      <c r="L882" s="16" t="s">
        <v>2044</v>
      </c>
      <c r="M882" s="34" t="s">
        <v>31</v>
      </c>
      <c r="N882" s="34"/>
      <c r="O882" s="34"/>
      <c r="P882" s="34"/>
      <c r="Q882" s="111" t="s">
        <v>33</v>
      </c>
      <c r="R882" s="111" t="s">
        <v>94</v>
      </c>
      <c r="S882" s="111" t="s">
        <v>35</v>
      </c>
      <c r="T882" s="34" t="s">
        <v>36</v>
      </c>
      <c r="U882" s="39" t="s">
        <v>1686</v>
      </c>
    </row>
    <row r="883" spans="2:21">
      <c r="B883" s="46" t="s">
        <v>47</v>
      </c>
      <c r="C883" s="46" t="s">
        <v>28</v>
      </c>
      <c r="D883" s="47">
        <v>46108</v>
      </c>
      <c r="F883" s="34"/>
      <c r="G883" s="46"/>
      <c r="H883" s="34"/>
      <c r="I883" s="34"/>
      <c r="K883" s="337">
        <v>2797401</v>
      </c>
      <c r="L883" s="16" t="s">
        <v>2045</v>
      </c>
      <c r="M883" s="34" t="s">
        <v>31</v>
      </c>
      <c r="N883" s="34"/>
      <c r="O883" s="34"/>
      <c r="P883" s="34"/>
      <c r="Q883" s="111" t="s">
        <v>33</v>
      </c>
      <c r="R883" s="111" t="s">
        <v>94</v>
      </c>
      <c r="S883" s="111" t="s">
        <v>35</v>
      </c>
      <c r="T883" s="34" t="s">
        <v>36</v>
      </c>
      <c r="U883" s="39" t="s">
        <v>1686</v>
      </c>
    </row>
    <row r="884" spans="2:21">
      <c r="B884" s="46" t="s">
        <v>47</v>
      </c>
      <c r="C884" s="46" t="s">
        <v>28</v>
      </c>
      <c r="D884" s="47">
        <v>46108</v>
      </c>
      <c r="F884" s="34"/>
      <c r="G884" s="46"/>
      <c r="H884" s="34"/>
      <c r="I884" s="34"/>
      <c r="K884" s="337">
        <v>2797402</v>
      </c>
      <c r="L884" s="16" t="s">
        <v>2046</v>
      </c>
      <c r="M884" s="34" t="s">
        <v>31</v>
      </c>
      <c r="N884" s="34"/>
      <c r="O884" s="34"/>
      <c r="P884" s="34"/>
      <c r="Q884" s="111" t="s">
        <v>33</v>
      </c>
      <c r="R884" s="111" t="s">
        <v>94</v>
      </c>
      <c r="S884" s="111" t="s">
        <v>35</v>
      </c>
      <c r="T884" s="34" t="s">
        <v>36</v>
      </c>
      <c r="U884" s="39" t="s">
        <v>1686</v>
      </c>
    </row>
    <row r="885" spans="2:21">
      <c r="B885" s="46" t="s">
        <v>47</v>
      </c>
      <c r="C885" s="46" t="s">
        <v>28</v>
      </c>
      <c r="D885" s="47">
        <v>46108</v>
      </c>
      <c r="F885" s="34"/>
      <c r="G885" s="46"/>
      <c r="H885" s="34"/>
      <c r="I885" s="34"/>
      <c r="K885" s="337">
        <v>2797501</v>
      </c>
      <c r="L885" s="16" t="s">
        <v>2047</v>
      </c>
      <c r="M885" s="34" t="s">
        <v>31</v>
      </c>
      <c r="N885" s="34"/>
      <c r="O885" s="34"/>
      <c r="P885" s="34"/>
      <c r="Q885" s="111" t="s">
        <v>33</v>
      </c>
      <c r="R885" s="111" t="s">
        <v>94</v>
      </c>
      <c r="S885" s="111" t="s">
        <v>35</v>
      </c>
      <c r="T885" s="34" t="s">
        <v>36</v>
      </c>
      <c r="U885" s="39" t="s">
        <v>1686</v>
      </c>
    </row>
    <row r="886" spans="2:21">
      <c r="B886" s="46" t="s">
        <v>47</v>
      </c>
      <c r="C886" s="46" t="s">
        <v>28</v>
      </c>
      <c r="D886" s="47">
        <v>46108</v>
      </c>
      <c r="F886" s="34"/>
      <c r="G886" s="46"/>
      <c r="H886" s="34"/>
      <c r="I886" s="34"/>
      <c r="K886" s="337">
        <v>2797502</v>
      </c>
      <c r="L886" s="16" t="s">
        <v>2048</v>
      </c>
      <c r="M886" s="34" t="s">
        <v>31</v>
      </c>
      <c r="N886" s="34"/>
      <c r="O886" s="34"/>
      <c r="P886" s="34"/>
      <c r="Q886" s="111" t="s">
        <v>33</v>
      </c>
      <c r="R886" s="111" t="s">
        <v>94</v>
      </c>
      <c r="S886" s="111" t="s">
        <v>35</v>
      </c>
      <c r="T886" s="34" t="s">
        <v>36</v>
      </c>
      <c r="U886" s="39" t="s">
        <v>1686</v>
      </c>
    </row>
    <row r="887" spans="2:21">
      <c r="B887" s="46" t="s">
        <v>47</v>
      </c>
      <c r="C887" s="46" t="s">
        <v>28</v>
      </c>
      <c r="D887" s="47">
        <v>46108</v>
      </c>
      <c r="F887" s="34"/>
      <c r="G887" s="46"/>
      <c r="H887" s="34"/>
      <c r="I887" s="34"/>
      <c r="K887" s="337">
        <v>2797601</v>
      </c>
      <c r="L887" s="16" t="s">
        <v>2049</v>
      </c>
      <c r="M887" s="34" t="s">
        <v>31</v>
      </c>
      <c r="N887" s="34"/>
      <c r="O887" s="34"/>
      <c r="P887" s="34"/>
      <c r="Q887" s="111" t="s">
        <v>33</v>
      </c>
      <c r="R887" s="111" t="s">
        <v>94</v>
      </c>
      <c r="S887" s="111" t="s">
        <v>35</v>
      </c>
      <c r="T887" s="34" t="s">
        <v>36</v>
      </c>
      <c r="U887" s="39" t="s">
        <v>1686</v>
      </c>
    </row>
    <row r="888" spans="2:21">
      <c r="B888" s="31" t="s">
        <v>47</v>
      </c>
      <c r="C888" s="31" t="s">
        <v>28</v>
      </c>
      <c r="D888" s="29">
        <v>46114</v>
      </c>
      <c r="E888" s="23"/>
      <c r="F888" s="54"/>
      <c r="G888" s="31"/>
      <c r="H888" s="54"/>
      <c r="I888" s="54"/>
      <c r="J888" s="23"/>
      <c r="K888" s="337">
        <v>2799801</v>
      </c>
      <c r="L888" s="21" t="s">
        <v>2050</v>
      </c>
      <c r="M888" s="34" t="s">
        <v>31</v>
      </c>
      <c r="N888" s="34"/>
      <c r="O888" s="34"/>
      <c r="P888" s="34"/>
      <c r="Q888" s="34" t="s">
        <v>33</v>
      </c>
      <c r="R888" s="111" t="s">
        <v>94</v>
      </c>
      <c r="S888" s="111" t="s">
        <v>35</v>
      </c>
      <c r="T888" s="34" t="s">
        <v>36</v>
      </c>
      <c r="U888" s="39" t="s">
        <v>1686</v>
      </c>
    </row>
    <row r="889" spans="2:21">
      <c r="B889" s="31" t="s">
        <v>47</v>
      </c>
      <c r="C889" s="31" t="s">
        <v>28</v>
      </c>
      <c r="D889" s="29">
        <v>46114</v>
      </c>
      <c r="E889" s="23"/>
      <c r="F889" s="54"/>
      <c r="G889" s="31"/>
      <c r="H889" s="54"/>
      <c r="I889" s="54"/>
      <c r="J889" s="23"/>
      <c r="K889" s="337">
        <v>2799901</v>
      </c>
      <c r="L889" s="21" t="s">
        <v>2051</v>
      </c>
      <c r="M889" s="34" t="s">
        <v>31</v>
      </c>
      <c r="N889" s="34"/>
      <c r="O889" s="34"/>
      <c r="P889" s="34"/>
      <c r="Q889" s="34" t="s">
        <v>33</v>
      </c>
      <c r="R889" s="111" t="s">
        <v>94</v>
      </c>
      <c r="S889" s="111" t="s">
        <v>35</v>
      </c>
      <c r="T889" s="34" t="s">
        <v>36</v>
      </c>
      <c r="U889" s="39" t="s">
        <v>1686</v>
      </c>
    </row>
    <row r="890" spans="2:21">
      <c r="B890" s="46" t="s">
        <v>47</v>
      </c>
      <c r="C890" s="46" t="s">
        <v>28</v>
      </c>
      <c r="D890" s="47">
        <v>46122</v>
      </c>
      <c r="F890" s="34"/>
      <c r="G890" s="46"/>
      <c r="H890" s="34"/>
      <c r="I890" s="34"/>
      <c r="K890" s="337">
        <v>2801201</v>
      </c>
      <c r="L890" s="16" t="s">
        <v>2052</v>
      </c>
      <c r="M890" s="34" t="s">
        <v>31</v>
      </c>
      <c r="N890" s="34"/>
      <c r="O890" s="34"/>
      <c r="P890" s="34"/>
      <c r="Q890" s="34" t="s">
        <v>33</v>
      </c>
      <c r="R890" s="111" t="s">
        <v>94</v>
      </c>
      <c r="S890" s="111" t="s">
        <v>35</v>
      </c>
      <c r="T890" s="34" t="s">
        <v>36</v>
      </c>
      <c r="U890" s="39" t="s">
        <v>1686</v>
      </c>
    </row>
    <row r="891" spans="2:21">
      <c r="B891" s="46" t="s">
        <v>47</v>
      </c>
      <c r="C891" s="46" t="s">
        <v>28</v>
      </c>
      <c r="D891" s="47">
        <v>46122</v>
      </c>
      <c r="F891" s="34"/>
      <c r="G891" s="46"/>
      <c r="H891" s="34"/>
      <c r="I891" s="34"/>
      <c r="K891" s="337">
        <v>2801202</v>
      </c>
      <c r="L891" s="16" t="s">
        <v>2053</v>
      </c>
      <c r="M891" s="34" t="s">
        <v>31</v>
      </c>
      <c r="N891" s="34"/>
      <c r="O891" s="34"/>
      <c r="P891" s="34"/>
      <c r="Q891" s="34" t="s">
        <v>33</v>
      </c>
      <c r="R891" s="111" t="s">
        <v>94</v>
      </c>
      <c r="S891" s="111" t="s">
        <v>35</v>
      </c>
      <c r="T891" s="34" t="s">
        <v>36</v>
      </c>
      <c r="U891" s="39" t="s">
        <v>1686</v>
      </c>
    </row>
    <row r="892" spans="2:21">
      <c r="B892" s="46" t="s">
        <v>47</v>
      </c>
      <c r="C892" s="46" t="s">
        <v>28</v>
      </c>
      <c r="D892" s="47">
        <v>46122</v>
      </c>
      <c r="F892" s="34"/>
      <c r="G892" s="46"/>
      <c r="H892" s="34"/>
      <c r="I892" s="34"/>
      <c r="K892" s="337">
        <v>2801301</v>
      </c>
      <c r="L892" s="16" t="s">
        <v>2054</v>
      </c>
      <c r="M892" s="34" t="s">
        <v>31</v>
      </c>
      <c r="N892" s="34"/>
      <c r="O892" s="34"/>
      <c r="P892" s="34"/>
      <c r="Q892" s="34" t="s">
        <v>33</v>
      </c>
      <c r="R892" s="111" t="s">
        <v>94</v>
      </c>
      <c r="S892" s="111" t="s">
        <v>35</v>
      </c>
      <c r="T892" s="34" t="s">
        <v>36</v>
      </c>
      <c r="U892" s="39" t="s">
        <v>1686</v>
      </c>
    </row>
    <row r="893" spans="2:21">
      <c r="B893" s="46" t="s">
        <v>47</v>
      </c>
      <c r="C893" s="46" t="s">
        <v>28</v>
      </c>
      <c r="D893" s="47">
        <v>46129</v>
      </c>
      <c r="F893" s="34"/>
      <c r="G893" s="46"/>
      <c r="H893" s="34"/>
      <c r="I893" s="34"/>
      <c r="K893" s="337">
        <v>2801401</v>
      </c>
      <c r="L893" s="21" t="s">
        <v>2055</v>
      </c>
      <c r="M893" s="34" t="s">
        <v>31</v>
      </c>
      <c r="N893" s="34"/>
      <c r="O893" s="34"/>
      <c r="P893" s="34"/>
      <c r="Q893" s="34" t="s">
        <v>33</v>
      </c>
      <c r="R893" s="111" t="s">
        <v>94</v>
      </c>
      <c r="S893" s="111" t="s">
        <v>35</v>
      </c>
      <c r="T893" s="34" t="s">
        <v>36</v>
      </c>
      <c r="U893" s="39" t="s">
        <v>1686</v>
      </c>
    </row>
    <row r="894" spans="2:21">
      <c r="B894" s="46" t="s">
        <v>47</v>
      </c>
      <c r="C894" s="46" t="s">
        <v>28</v>
      </c>
      <c r="D894" s="47">
        <v>46129</v>
      </c>
      <c r="F894" s="34"/>
      <c r="G894" s="46"/>
      <c r="H894" s="34"/>
      <c r="I894" s="34"/>
      <c r="K894" s="337">
        <v>2801402</v>
      </c>
      <c r="L894" s="21" t="s">
        <v>2056</v>
      </c>
      <c r="M894" s="34" t="s">
        <v>31</v>
      </c>
      <c r="N894" s="34"/>
      <c r="O894" s="34"/>
      <c r="P894" s="34"/>
      <c r="Q894" s="34" t="s">
        <v>33</v>
      </c>
      <c r="R894" s="111" t="s">
        <v>94</v>
      </c>
      <c r="S894" s="111" t="s">
        <v>35</v>
      </c>
      <c r="T894" s="34" t="s">
        <v>36</v>
      </c>
      <c r="U894" s="39" t="s">
        <v>1686</v>
      </c>
    </row>
    <row r="895" spans="2:21">
      <c r="B895" s="46" t="s">
        <v>47</v>
      </c>
      <c r="C895" s="46" t="s">
        <v>28</v>
      </c>
      <c r="D895" s="47">
        <v>46129</v>
      </c>
      <c r="F895" s="34"/>
      <c r="G895" s="46"/>
      <c r="H895" s="34"/>
      <c r="I895" s="34"/>
      <c r="K895" s="337">
        <v>2802001</v>
      </c>
      <c r="L895" s="16" t="s">
        <v>2057</v>
      </c>
      <c r="M895" s="34" t="s">
        <v>31</v>
      </c>
      <c r="N895" s="34"/>
      <c r="O895" s="34"/>
      <c r="P895" s="34"/>
      <c r="Q895" s="34" t="s">
        <v>33</v>
      </c>
      <c r="R895" s="111" t="s">
        <v>94</v>
      </c>
      <c r="S895" s="111" t="s">
        <v>35</v>
      </c>
      <c r="T895" s="34" t="s">
        <v>36</v>
      </c>
      <c r="U895" s="39" t="s">
        <v>1686</v>
      </c>
    </row>
    <row r="896" spans="2:21">
      <c r="B896" s="46" t="s">
        <v>47</v>
      </c>
      <c r="C896" s="46" t="s">
        <v>28</v>
      </c>
      <c r="D896" s="47">
        <v>46129</v>
      </c>
      <c r="F896" s="34"/>
      <c r="G896" s="46"/>
      <c r="H896" s="34"/>
      <c r="I896" s="34"/>
      <c r="K896" s="337">
        <v>2802601</v>
      </c>
      <c r="L896" s="16" t="s">
        <v>2058</v>
      </c>
      <c r="M896" s="34" t="s">
        <v>31</v>
      </c>
      <c r="N896" s="34"/>
      <c r="O896" s="34"/>
      <c r="P896" s="34"/>
      <c r="Q896" s="34" t="s">
        <v>33</v>
      </c>
      <c r="R896" s="111" t="s">
        <v>94</v>
      </c>
      <c r="S896" s="111" t="s">
        <v>35</v>
      </c>
      <c r="T896" s="34" t="s">
        <v>36</v>
      </c>
      <c r="U896" s="34"/>
    </row>
    <row r="897" spans="2:21">
      <c r="B897" s="46" t="s">
        <v>47</v>
      </c>
      <c r="C897" s="46" t="s">
        <v>28</v>
      </c>
      <c r="D897" s="47">
        <v>46136</v>
      </c>
      <c r="F897" s="34"/>
      <c r="G897" s="46"/>
      <c r="H897" s="34"/>
      <c r="I897" s="34"/>
      <c r="K897" s="337">
        <v>2804401</v>
      </c>
      <c r="L897" s="16" t="s">
        <v>2059</v>
      </c>
      <c r="M897" s="34" t="s">
        <v>31</v>
      </c>
      <c r="N897" s="34"/>
      <c r="O897" s="34"/>
      <c r="P897" s="34"/>
      <c r="Q897" s="34" t="s">
        <v>33</v>
      </c>
      <c r="R897" s="111" t="s">
        <v>94</v>
      </c>
      <c r="S897" s="111" t="s">
        <v>35</v>
      </c>
      <c r="T897" s="34" t="s">
        <v>36</v>
      </c>
      <c r="U897" s="39" t="s">
        <v>1686</v>
      </c>
    </row>
    <row r="898" spans="2:21">
      <c r="B898" s="46" t="s">
        <v>47</v>
      </c>
      <c r="C898" s="46" t="s">
        <v>28</v>
      </c>
      <c r="D898" s="47">
        <v>46136</v>
      </c>
      <c r="F898" s="34"/>
      <c r="G898" s="46"/>
      <c r="H898" s="34"/>
      <c r="I898" s="34"/>
      <c r="K898" s="337">
        <v>2804402</v>
      </c>
      <c r="L898" s="16" t="s">
        <v>2060</v>
      </c>
      <c r="M898" s="34" t="s">
        <v>31</v>
      </c>
      <c r="N898" s="34"/>
      <c r="O898" s="34"/>
      <c r="P898" s="34"/>
      <c r="Q898" s="34" t="s">
        <v>33</v>
      </c>
      <c r="R898" s="111" t="s">
        <v>94</v>
      </c>
      <c r="S898" s="111" t="s">
        <v>35</v>
      </c>
      <c r="T898" s="34" t="s">
        <v>36</v>
      </c>
      <c r="U898" s="39" t="s">
        <v>1686</v>
      </c>
    </row>
    <row r="899" spans="2:21">
      <c r="B899" s="46" t="s">
        <v>47</v>
      </c>
      <c r="C899" s="46" t="s">
        <v>28</v>
      </c>
      <c r="D899" s="47">
        <v>46136</v>
      </c>
      <c r="F899" s="34"/>
      <c r="G899" s="46"/>
      <c r="H899" s="34"/>
      <c r="I899" s="34"/>
      <c r="K899" s="337">
        <v>2804501</v>
      </c>
      <c r="L899" s="16" t="s">
        <v>2061</v>
      </c>
      <c r="M899" s="34" t="s">
        <v>31</v>
      </c>
      <c r="N899" s="34"/>
      <c r="O899" s="34"/>
      <c r="P899" s="34"/>
      <c r="Q899" s="34" t="s">
        <v>33</v>
      </c>
      <c r="R899" s="111" t="s">
        <v>94</v>
      </c>
      <c r="S899" s="111" t="s">
        <v>35</v>
      </c>
      <c r="T899" s="34" t="s">
        <v>36</v>
      </c>
      <c r="U899" s="39" t="s">
        <v>1686</v>
      </c>
    </row>
    <row r="900" spans="2:21">
      <c r="B900" s="46" t="s">
        <v>47</v>
      </c>
      <c r="C900" s="46" t="s">
        <v>28</v>
      </c>
      <c r="D900" s="47">
        <v>46136</v>
      </c>
      <c r="F900" s="34"/>
      <c r="G900" s="46"/>
      <c r="H900" s="34"/>
      <c r="I900" s="34"/>
      <c r="K900" s="337">
        <v>2804502</v>
      </c>
      <c r="L900" s="16" t="s">
        <v>2062</v>
      </c>
      <c r="M900" s="34" t="s">
        <v>31</v>
      </c>
      <c r="N900" s="34"/>
      <c r="O900" s="34"/>
      <c r="P900" s="34"/>
      <c r="Q900" s="34" t="s">
        <v>33</v>
      </c>
      <c r="R900" s="111" t="s">
        <v>94</v>
      </c>
      <c r="S900" s="111" t="s">
        <v>35</v>
      </c>
      <c r="T900" s="34" t="s">
        <v>36</v>
      </c>
      <c r="U900" s="39" t="s">
        <v>1686</v>
      </c>
    </row>
    <row r="901" spans="2:21">
      <c r="B901" s="46" t="s">
        <v>47</v>
      </c>
      <c r="C901" s="46" t="s">
        <v>28</v>
      </c>
      <c r="D901" s="47">
        <v>46136</v>
      </c>
      <c r="F901" s="34"/>
      <c r="G901" s="46"/>
      <c r="H901" s="34"/>
      <c r="I901" s="34"/>
      <c r="K901" s="337">
        <v>2137709</v>
      </c>
      <c r="L901" s="16" t="s">
        <v>2063</v>
      </c>
      <c r="M901" s="34" t="s">
        <v>31</v>
      </c>
      <c r="N901" s="34"/>
      <c r="O901" s="34"/>
      <c r="P901" s="34"/>
      <c r="Q901" s="34" t="s">
        <v>33</v>
      </c>
      <c r="R901" s="111" t="s">
        <v>94</v>
      </c>
      <c r="S901" s="111" t="s">
        <v>35</v>
      </c>
      <c r="T901" s="34" t="s">
        <v>36</v>
      </c>
      <c r="U901" s="39" t="s">
        <v>1686</v>
      </c>
    </row>
    <row r="902" spans="2:21">
      <c r="B902" s="46" t="s">
        <v>47</v>
      </c>
      <c r="C902" s="46" t="s">
        <v>28</v>
      </c>
      <c r="D902" s="47">
        <v>46136</v>
      </c>
      <c r="F902" s="34"/>
      <c r="G902" s="46"/>
      <c r="H902" s="34"/>
      <c r="I902" s="34"/>
      <c r="K902" s="337">
        <v>2516202</v>
      </c>
      <c r="L902" s="16" t="s">
        <v>2064</v>
      </c>
      <c r="M902" s="34" t="s">
        <v>31</v>
      </c>
      <c r="N902" s="34"/>
      <c r="O902" s="34"/>
      <c r="P902" s="34"/>
      <c r="Q902" s="34" t="s">
        <v>33</v>
      </c>
      <c r="R902" s="111" t="s">
        <v>94</v>
      </c>
      <c r="S902" s="111" t="s">
        <v>35</v>
      </c>
      <c r="T902" s="34" t="s">
        <v>36</v>
      </c>
      <c r="U902" s="39" t="s">
        <v>1686</v>
      </c>
    </row>
    <row r="903" spans="2:21">
      <c r="B903" s="46" t="s">
        <v>47</v>
      </c>
      <c r="C903" s="46" t="s">
        <v>28</v>
      </c>
      <c r="D903" s="47">
        <v>46142</v>
      </c>
      <c r="F903" s="34"/>
      <c r="G903" s="46"/>
      <c r="H903" s="34"/>
      <c r="I903" s="34"/>
      <c r="K903" s="337">
        <v>2826801</v>
      </c>
      <c r="L903" s="16" t="s">
        <v>2065</v>
      </c>
      <c r="M903" s="34" t="s">
        <v>31</v>
      </c>
      <c r="N903" s="34"/>
      <c r="O903" s="34"/>
      <c r="P903" s="34"/>
      <c r="Q903" s="34" t="s">
        <v>33</v>
      </c>
      <c r="R903" s="111" t="s">
        <v>94</v>
      </c>
      <c r="S903" s="111" t="s">
        <v>35</v>
      </c>
      <c r="T903" s="34" t="s">
        <v>36</v>
      </c>
      <c r="U903" s="39" t="s">
        <v>1686</v>
      </c>
    </row>
    <row r="904" spans="2:21">
      <c r="B904" s="46" t="s">
        <v>47</v>
      </c>
      <c r="C904" s="46" t="s">
        <v>28</v>
      </c>
      <c r="D904" s="47">
        <v>46142</v>
      </c>
      <c r="F904" s="34"/>
      <c r="G904" s="46"/>
      <c r="H904" s="34"/>
      <c r="I904" s="34"/>
      <c r="K904" s="337">
        <v>2826802</v>
      </c>
      <c r="L904" s="16" t="s">
        <v>2066</v>
      </c>
      <c r="M904" s="34" t="s">
        <v>31</v>
      </c>
      <c r="N904" s="34"/>
      <c r="O904" s="34"/>
      <c r="P904" s="34"/>
      <c r="Q904" s="34" t="s">
        <v>33</v>
      </c>
      <c r="R904" s="111" t="s">
        <v>94</v>
      </c>
      <c r="S904" s="111" t="s">
        <v>35</v>
      </c>
      <c r="T904" s="34" t="s">
        <v>36</v>
      </c>
      <c r="U904" s="39" t="s">
        <v>1686</v>
      </c>
    </row>
    <row r="905" spans="2:21">
      <c r="B905" s="46" t="s">
        <v>47</v>
      </c>
      <c r="C905" s="46" t="s">
        <v>28</v>
      </c>
      <c r="D905" s="47">
        <v>46142</v>
      </c>
      <c r="F905" s="34"/>
      <c r="G905" s="46"/>
      <c r="H905" s="34"/>
      <c r="I905" s="34"/>
      <c r="K905" s="337">
        <v>2826902</v>
      </c>
      <c r="L905" s="16" t="s">
        <v>2067</v>
      </c>
      <c r="M905" s="34" t="s">
        <v>31</v>
      </c>
      <c r="N905" s="34"/>
      <c r="O905" s="34"/>
      <c r="P905" s="34"/>
      <c r="Q905" s="34" t="s">
        <v>33</v>
      </c>
      <c r="R905" s="111" t="s">
        <v>94</v>
      </c>
      <c r="S905" s="111" t="s">
        <v>35</v>
      </c>
      <c r="T905" s="34" t="s">
        <v>36</v>
      </c>
      <c r="U905" s="39" t="s">
        <v>1686</v>
      </c>
    </row>
    <row r="906" spans="2:21">
      <c r="B906" s="46" t="s">
        <v>47</v>
      </c>
      <c r="C906" s="46" t="s">
        <v>28</v>
      </c>
      <c r="D906" s="47">
        <v>46142</v>
      </c>
      <c r="F906" s="34"/>
      <c r="G906" s="46"/>
      <c r="H906" s="34"/>
      <c r="I906" s="34"/>
      <c r="K906" s="337">
        <v>2826901</v>
      </c>
      <c r="L906" s="16" t="s">
        <v>2068</v>
      </c>
      <c r="M906" s="34" t="s">
        <v>31</v>
      </c>
      <c r="N906" s="34"/>
      <c r="O906" s="34"/>
      <c r="P906" s="34"/>
      <c r="Q906" s="34" t="s">
        <v>33</v>
      </c>
      <c r="R906" s="111" t="s">
        <v>94</v>
      </c>
      <c r="S906" s="111" t="s">
        <v>35</v>
      </c>
      <c r="T906" s="34" t="s">
        <v>36</v>
      </c>
      <c r="U906" s="39" t="s">
        <v>1686</v>
      </c>
    </row>
    <row r="907" spans="2:21">
      <c r="B907" s="46" t="s">
        <v>47</v>
      </c>
      <c r="C907" s="46" t="s">
        <v>28</v>
      </c>
      <c r="D907" s="47">
        <v>46142</v>
      </c>
      <c r="F907" s="34"/>
      <c r="G907" s="46"/>
      <c r="H907" s="34"/>
      <c r="I907" s="34"/>
      <c r="K907" s="337">
        <v>2827001</v>
      </c>
      <c r="L907" s="16" t="s">
        <v>2069</v>
      </c>
      <c r="M907" s="34" t="s">
        <v>31</v>
      </c>
      <c r="N907" s="34"/>
      <c r="O907" s="34"/>
      <c r="P907" s="34"/>
      <c r="Q907" s="34" t="s">
        <v>33</v>
      </c>
      <c r="R907" s="111" t="s">
        <v>94</v>
      </c>
      <c r="S907" s="111" t="s">
        <v>35</v>
      </c>
      <c r="T907" s="34" t="s">
        <v>36</v>
      </c>
      <c r="U907" s="39" t="s">
        <v>1686</v>
      </c>
    </row>
    <row r="908" spans="2:21">
      <c r="B908" s="46" t="s">
        <v>47</v>
      </c>
      <c r="C908" s="46" t="s">
        <v>28</v>
      </c>
      <c r="D908" s="47">
        <v>46142</v>
      </c>
      <c r="F908" s="34"/>
      <c r="G908" s="46"/>
      <c r="H908" s="34"/>
      <c r="I908" s="34"/>
      <c r="K908" s="337">
        <v>2827002</v>
      </c>
      <c r="L908" s="16" t="s">
        <v>2070</v>
      </c>
      <c r="M908" s="34" t="s">
        <v>31</v>
      </c>
      <c r="N908" s="34"/>
      <c r="O908" s="34"/>
      <c r="P908" s="34"/>
      <c r="Q908" s="34" t="s">
        <v>33</v>
      </c>
      <c r="R908" s="111" t="s">
        <v>94</v>
      </c>
      <c r="S908" s="111" t="s">
        <v>35</v>
      </c>
      <c r="T908" s="34" t="s">
        <v>36</v>
      </c>
      <c r="U908" s="39" t="s">
        <v>1686</v>
      </c>
    </row>
    <row r="909" spans="2:21">
      <c r="B909" s="46" t="s">
        <v>47</v>
      </c>
      <c r="C909" s="46" t="s">
        <v>28</v>
      </c>
      <c r="D909" s="47">
        <v>46150</v>
      </c>
      <c r="F909" s="34"/>
      <c r="G909" s="46"/>
      <c r="H909" s="34"/>
      <c r="I909" s="34"/>
      <c r="K909" s="337">
        <v>2828101</v>
      </c>
      <c r="L909" s="16" t="s">
        <v>2071</v>
      </c>
      <c r="M909" s="34" t="s">
        <v>31</v>
      </c>
      <c r="N909" s="34"/>
      <c r="O909" s="34"/>
      <c r="P909" s="34"/>
      <c r="Q909" s="34" t="s">
        <v>33</v>
      </c>
      <c r="R909" s="111" t="s">
        <v>94</v>
      </c>
      <c r="S909" s="111" t="s">
        <v>35</v>
      </c>
      <c r="T909" s="34" t="s">
        <v>36</v>
      </c>
      <c r="U909" s="39" t="s">
        <v>1686</v>
      </c>
    </row>
    <row r="910" spans="2:21">
      <c r="B910" s="46" t="s">
        <v>47</v>
      </c>
      <c r="C910" s="46" t="s">
        <v>28</v>
      </c>
      <c r="D910" s="47">
        <v>46150</v>
      </c>
      <c r="F910" s="34"/>
      <c r="G910" s="46"/>
      <c r="H910" s="34"/>
      <c r="I910" s="34"/>
      <c r="K910" s="337">
        <v>2828102</v>
      </c>
      <c r="L910" s="16" t="s">
        <v>2072</v>
      </c>
      <c r="M910" s="34" t="s">
        <v>31</v>
      </c>
      <c r="N910" s="34"/>
      <c r="O910" s="34"/>
      <c r="P910" s="34"/>
      <c r="Q910" s="34" t="s">
        <v>33</v>
      </c>
      <c r="R910" s="111" t="s">
        <v>94</v>
      </c>
      <c r="S910" s="111" t="s">
        <v>35</v>
      </c>
      <c r="T910" s="34" t="s">
        <v>36</v>
      </c>
      <c r="U910" s="39" t="s">
        <v>1686</v>
      </c>
    </row>
    <row r="911" spans="2:21">
      <c r="B911" s="46" t="s">
        <v>47</v>
      </c>
      <c r="C911" s="46" t="s">
        <v>28</v>
      </c>
      <c r="D911" s="47">
        <v>46150</v>
      </c>
      <c r="F911" s="34"/>
      <c r="G911" s="46"/>
      <c r="H911" s="34"/>
      <c r="I911" s="34"/>
      <c r="K911" s="337">
        <v>2828103</v>
      </c>
      <c r="L911" s="16" t="s">
        <v>2073</v>
      </c>
      <c r="M911" s="34" t="s">
        <v>31</v>
      </c>
      <c r="N911" s="34"/>
      <c r="O911" s="34"/>
      <c r="P911" s="34"/>
      <c r="Q911" s="34" t="s">
        <v>33</v>
      </c>
      <c r="R911" s="111" t="s">
        <v>94</v>
      </c>
      <c r="S911" s="111" t="s">
        <v>35</v>
      </c>
      <c r="T911" s="34" t="s">
        <v>36</v>
      </c>
      <c r="U911" s="39" t="s">
        <v>1686</v>
      </c>
    </row>
    <row r="912" spans="2:21">
      <c r="B912" s="46" t="s">
        <v>47</v>
      </c>
      <c r="C912" s="46" t="s">
        <v>28</v>
      </c>
      <c r="D912" s="47">
        <v>46150</v>
      </c>
      <c r="F912" s="34"/>
      <c r="G912" s="46"/>
      <c r="H912" s="34"/>
      <c r="I912" s="34"/>
      <c r="K912" s="337">
        <v>2828104</v>
      </c>
      <c r="L912" s="16" t="s">
        <v>2074</v>
      </c>
      <c r="M912" s="34" t="s">
        <v>31</v>
      </c>
      <c r="N912" s="34"/>
      <c r="O912" s="34"/>
      <c r="P912" s="34"/>
      <c r="Q912" s="34" t="s">
        <v>33</v>
      </c>
      <c r="R912" s="111" t="s">
        <v>94</v>
      </c>
      <c r="S912" s="111" t="s">
        <v>35</v>
      </c>
      <c r="T912" s="34" t="s">
        <v>36</v>
      </c>
      <c r="U912" s="39" t="s">
        <v>1686</v>
      </c>
    </row>
    <row r="913" spans="2:21">
      <c r="B913" s="46" t="s">
        <v>47</v>
      </c>
      <c r="C913" s="46" t="s">
        <v>28</v>
      </c>
      <c r="D913" s="47">
        <v>46157</v>
      </c>
      <c r="F913" s="34"/>
      <c r="G913" s="46"/>
      <c r="H913" s="34"/>
      <c r="I913" s="34"/>
      <c r="K913" s="337">
        <v>2829301</v>
      </c>
      <c r="L913" s="16" t="s">
        <v>2075</v>
      </c>
      <c r="M913" s="34" t="s">
        <v>31</v>
      </c>
      <c r="N913" s="34"/>
      <c r="O913" s="34"/>
      <c r="P913" s="34"/>
      <c r="Q913" s="34" t="s">
        <v>33</v>
      </c>
      <c r="R913" s="111" t="s">
        <v>94</v>
      </c>
      <c r="S913" s="111" t="s">
        <v>35</v>
      </c>
      <c r="T913" s="34" t="s">
        <v>36</v>
      </c>
      <c r="U913" s="39" t="s">
        <v>1686</v>
      </c>
    </row>
    <row r="914" spans="2:21">
      <c r="B914" s="46" t="s">
        <v>47</v>
      </c>
      <c r="C914" s="46" t="s">
        <v>28</v>
      </c>
      <c r="D914" s="47">
        <v>46157</v>
      </c>
      <c r="F914" s="34"/>
      <c r="G914" s="46"/>
      <c r="H914" s="34"/>
      <c r="I914" s="34"/>
      <c r="K914" s="337">
        <v>2829302</v>
      </c>
      <c r="L914" s="16" t="s">
        <v>2076</v>
      </c>
      <c r="M914" s="34" t="s">
        <v>31</v>
      </c>
      <c r="N914" s="34"/>
      <c r="O914" s="34"/>
      <c r="P914" s="34"/>
      <c r="Q914" s="34" t="s">
        <v>33</v>
      </c>
      <c r="R914" s="111" t="s">
        <v>94</v>
      </c>
      <c r="S914" s="111" t="s">
        <v>35</v>
      </c>
      <c r="T914" s="34" t="s">
        <v>36</v>
      </c>
      <c r="U914" s="39" t="s">
        <v>1686</v>
      </c>
    </row>
    <row r="915" spans="2:21">
      <c r="B915" s="46" t="s">
        <v>47</v>
      </c>
      <c r="C915" s="46" t="s">
        <v>28</v>
      </c>
      <c r="D915" s="47">
        <v>46157</v>
      </c>
      <c r="F915" s="34"/>
      <c r="G915" s="46"/>
      <c r="H915" s="34"/>
      <c r="I915" s="34"/>
      <c r="K915" s="337">
        <v>2829501</v>
      </c>
      <c r="L915" s="16" t="s">
        <v>2077</v>
      </c>
      <c r="M915" s="34" t="s">
        <v>31</v>
      </c>
      <c r="N915" s="34"/>
      <c r="O915" s="34"/>
      <c r="P915" s="34"/>
      <c r="Q915" s="34" t="s">
        <v>33</v>
      </c>
      <c r="R915" s="111" t="s">
        <v>94</v>
      </c>
      <c r="S915" s="111" t="s">
        <v>35</v>
      </c>
      <c r="T915" s="34" t="s">
        <v>36</v>
      </c>
      <c r="U915" s="39" t="s">
        <v>1686</v>
      </c>
    </row>
    <row r="916" spans="2:21">
      <c r="B916" s="46" t="s">
        <v>47</v>
      </c>
      <c r="C916" s="46" t="s">
        <v>28</v>
      </c>
      <c r="D916" s="47">
        <v>46157</v>
      </c>
      <c r="F916" s="34"/>
      <c r="G916" s="46"/>
      <c r="H916" s="34"/>
      <c r="I916" s="34"/>
      <c r="K916" s="337">
        <v>2829401</v>
      </c>
      <c r="L916" s="16" t="s">
        <v>2078</v>
      </c>
      <c r="M916" s="34" t="s">
        <v>31</v>
      </c>
      <c r="N916" s="34"/>
      <c r="O916" s="34"/>
      <c r="P916" s="34"/>
      <c r="Q916" s="34" t="s">
        <v>33</v>
      </c>
      <c r="R916" s="111" t="s">
        <v>94</v>
      </c>
      <c r="S916" s="111" t="s">
        <v>35</v>
      </c>
      <c r="T916" s="34" t="s">
        <v>36</v>
      </c>
      <c r="U916" s="39" t="s">
        <v>1686</v>
      </c>
    </row>
    <row r="917" spans="2:21">
      <c r="B917" s="46" t="s">
        <v>47</v>
      </c>
      <c r="C917" s="46" t="s">
        <v>28</v>
      </c>
      <c r="D917" s="47">
        <v>46157</v>
      </c>
      <c r="F917" s="34"/>
      <c r="G917" s="46"/>
      <c r="H917" s="34"/>
      <c r="I917" s="34"/>
      <c r="K917" s="337">
        <v>2829602</v>
      </c>
      <c r="L917" s="16" t="s">
        <v>2079</v>
      </c>
      <c r="M917" s="34" t="s">
        <v>31</v>
      </c>
      <c r="N917" s="34"/>
      <c r="O917" s="34"/>
      <c r="P917" s="34"/>
      <c r="Q917" s="34" t="s">
        <v>33</v>
      </c>
      <c r="R917" s="111" t="s">
        <v>94</v>
      </c>
      <c r="S917" s="111" t="s">
        <v>35</v>
      </c>
      <c r="T917" s="34" t="s">
        <v>36</v>
      </c>
      <c r="U917" s="39" t="s">
        <v>1686</v>
      </c>
    </row>
    <row r="918" spans="2:21">
      <c r="B918" s="46" t="s">
        <v>47</v>
      </c>
      <c r="C918" s="46" t="s">
        <v>28</v>
      </c>
      <c r="D918" s="47">
        <v>46157</v>
      </c>
      <c r="F918" s="34"/>
      <c r="G918" s="46"/>
      <c r="H918" s="34"/>
      <c r="I918" s="34"/>
      <c r="K918" s="337">
        <v>2829601</v>
      </c>
      <c r="L918" s="16" t="s">
        <v>2080</v>
      </c>
      <c r="M918" s="34" t="s">
        <v>31</v>
      </c>
      <c r="N918" s="34"/>
      <c r="O918" s="34"/>
      <c r="P918" s="34"/>
      <c r="Q918" s="34" t="s">
        <v>33</v>
      </c>
      <c r="R918" s="111" t="s">
        <v>94</v>
      </c>
      <c r="S918" s="111" t="s">
        <v>35</v>
      </c>
      <c r="T918" s="34" t="s">
        <v>36</v>
      </c>
      <c r="U918" s="39" t="s">
        <v>1686</v>
      </c>
    </row>
    <row r="919" spans="2:21">
      <c r="B919" s="46" t="s">
        <v>47</v>
      </c>
      <c r="C919" s="46" t="s">
        <v>28</v>
      </c>
      <c r="D919" s="57">
        <v>46164</v>
      </c>
      <c r="F919" s="34"/>
      <c r="G919" s="46"/>
      <c r="H919" s="34"/>
      <c r="I919" s="34"/>
      <c r="K919" s="337">
        <v>2830601</v>
      </c>
      <c r="L919" s="16" t="s">
        <v>2081</v>
      </c>
      <c r="M919" s="34" t="s">
        <v>31</v>
      </c>
      <c r="N919" s="34"/>
      <c r="O919" s="34"/>
      <c r="P919" s="34"/>
      <c r="Q919" s="34" t="s">
        <v>33</v>
      </c>
      <c r="R919" s="111" t="s">
        <v>94</v>
      </c>
      <c r="S919" s="111" t="s">
        <v>35</v>
      </c>
      <c r="T919" s="34" t="s">
        <v>36</v>
      </c>
      <c r="U919" s="39" t="s">
        <v>1686</v>
      </c>
    </row>
    <row r="920" spans="2:21">
      <c r="B920" s="46" t="s">
        <v>47</v>
      </c>
      <c r="C920" s="46" t="s">
        <v>28</v>
      </c>
      <c r="D920" s="57">
        <v>46164</v>
      </c>
      <c r="F920" s="34"/>
      <c r="G920" s="46"/>
      <c r="H920" s="34"/>
      <c r="I920" s="34"/>
      <c r="K920" s="337">
        <v>2830602</v>
      </c>
      <c r="L920" s="16" t="s">
        <v>2082</v>
      </c>
      <c r="M920" s="34" t="s">
        <v>31</v>
      </c>
      <c r="N920" s="34"/>
      <c r="O920" s="34"/>
      <c r="P920" s="34"/>
      <c r="Q920" s="34" t="s">
        <v>33</v>
      </c>
      <c r="R920" s="111" t="s">
        <v>94</v>
      </c>
      <c r="S920" s="111" t="s">
        <v>35</v>
      </c>
      <c r="T920" s="34" t="s">
        <v>36</v>
      </c>
      <c r="U920" s="39" t="s">
        <v>1686</v>
      </c>
    </row>
    <row r="921" spans="2:21">
      <c r="B921" s="46" t="s">
        <v>47</v>
      </c>
      <c r="C921" s="46" t="s">
        <v>28</v>
      </c>
      <c r="D921" s="57">
        <v>46164</v>
      </c>
      <c r="F921" s="34"/>
      <c r="G921" s="46"/>
      <c r="H921" s="34"/>
      <c r="I921" s="34"/>
      <c r="K921" s="337">
        <v>2831501</v>
      </c>
      <c r="L921" s="16" t="s">
        <v>2083</v>
      </c>
      <c r="M921" s="34" t="s">
        <v>31</v>
      </c>
      <c r="N921" s="34"/>
      <c r="O921" s="34"/>
      <c r="P921" s="34"/>
      <c r="Q921" s="34" t="s">
        <v>33</v>
      </c>
      <c r="R921" s="111" t="s">
        <v>94</v>
      </c>
      <c r="S921" s="111" t="s">
        <v>35</v>
      </c>
      <c r="T921" s="34" t="s">
        <v>36</v>
      </c>
      <c r="U921" s="39" t="s">
        <v>1686</v>
      </c>
    </row>
    <row r="922" spans="2:21">
      <c r="B922" s="46" t="s">
        <v>47</v>
      </c>
      <c r="C922" s="46" t="s">
        <v>28</v>
      </c>
      <c r="D922" s="57">
        <v>46164</v>
      </c>
      <c r="F922" s="34"/>
      <c r="G922" s="46"/>
      <c r="H922" s="34"/>
      <c r="I922" s="34"/>
      <c r="K922" s="337">
        <v>2831502</v>
      </c>
      <c r="L922" s="16" t="s">
        <v>2084</v>
      </c>
      <c r="M922" s="34" t="s">
        <v>31</v>
      </c>
      <c r="N922" s="34"/>
      <c r="O922" s="34"/>
      <c r="P922" s="34"/>
      <c r="Q922" s="34" t="s">
        <v>33</v>
      </c>
      <c r="R922" s="111" t="s">
        <v>94</v>
      </c>
      <c r="S922" s="111" t="s">
        <v>35</v>
      </c>
      <c r="T922" s="34" t="s">
        <v>36</v>
      </c>
      <c r="U922" s="39" t="s">
        <v>1686</v>
      </c>
    </row>
    <row r="923" spans="2:21">
      <c r="B923" s="46" t="s">
        <v>47</v>
      </c>
      <c r="C923" s="46" t="s">
        <v>28</v>
      </c>
      <c r="D923" s="57">
        <v>46164</v>
      </c>
      <c r="F923" s="34"/>
      <c r="G923" s="46"/>
      <c r="H923" s="34"/>
      <c r="I923" s="34"/>
      <c r="K923" s="337">
        <v>2831601</v>
      </c>
      <c r="L923" s="16" t="s">
        <v>2085</v>
      </c>
      <c r="M923" s="34" t="s">
        <v>31</v>
      </c>
      <c r="N923" s="34"/>
      <c r="O923" s="34"/>
      <c r="P923" s="34"/>
      <c r="Q923" s="34" t="s">
        <v>33</v>
      </c>
      <c r="R923" s="111" t="s">
        <v>94</v>
      </c>
      <c r="S923" s="111" t="s">
        <v>35</v>
      </c>
      <c r="T923" s="34" t="s">
        <v>36</v>
      </c>
      <c r="U923" s="39" t="s">
        <v>1686</v>
      </c>
    </row>
    <row r="924" spans="2:21">
      <c r="B924" s="46" t="s">
        <v>47</v>
      </c>
      <c r="C924" s="46" t="s">
        <v>28</v>
      </c>
      <c r="D924" s="57">
        <v>46164</v>
      </c>
      <c r="F924" s="34"/>
      <c r="G924" s="46"/>
      <c r="H924" s="34"/>
      <c r="I924" s="34"/>
      <c r="K924" s="337">
        <v>2831602</v>
      </c>
      <c r="L924" s="16" t="s">
        <v>2086</v>
      </c>
      <c r="M924" s="34" t="s">
        <v>31</v>
      </c>
      <c r="N924" s="34"/>
      <c r="O924" s="34"/>
      <c r="P924" s="34"/>
      <c r="Q924" s="34" t="s">
        <v>33</v>
      </c>
      <c r="R924" s="111" t="s">
        <v>94</v>
      </c>
      <c r="S924" s="111" t="s">
        <v>35</v>
      </c>
      <c r="T924" s="34" t="s">
        <v>36</v>
      </c>
      <c r="U924" s="39" t="s">
        <v>1686</v>
      </c>
    </row>
    <row r="925" spans="2:21">
      <c r="B925" s="46" t="s">
        <v>47</v>
      </c>
      <c r="C925" s="46" t="s">
        <v>28</v>
      </c>
      <c r="D925" s="57">
        <v>46164</v>
      </c>
      <c r="F925" s="34"/>
      <c r="G925" s="46"/>
      <c r="H925" s="34"/>
      <c r="I925" s="34"/>
      <c r="K925" s="337">
        <v>2831503</v>
      </c>
      <c r="L925" s="16" t="s">
        <v>2087</v>
      </c>
      <c r="M925" s="34" t="s">
        <v>31</v>
      </c>
      <c r="N925" s="34"/>
      <c r="O925" s="34"/>
      <c r="P925" s="34"/>
      <c r="Q925" s="34" t="s">
        <v>33</v>
      </c>
      <c r="R925" s="111" t="s">
        <v>94</v>
      </c>
      <c r="S925" s="111" t="s">
        <v>35</v>
      </c>
      <c r="T925" s="34" t="s">
        <v>36</v>
      </c>
      <c r="U925" s="39" t="s">
        <v>1686</v>
      </c>
    </row>
    <row r="926" spans="2:21">
      <c r="B926" s="46" t="s">
        <v>47</v>
      </c>
      <c r="C926" s="46" t="s">
        <v>28</v>
      </c>
      <c r="D926" s="57">
        <v>46164</v>
      </c>
      <c r="F926" s="34"/>
      <c r="G926" s="46"/>
      <c r="H926" s="34"/>
      <c r="I926" s="34"/>
      <c r="K926" s="337">
        <v>2831504</v>
      </c>
      <c r="L926" s="16" t="s">
        <v>2088</v>
      </c>
      <c r="M926" s="34" t="s">
        <v>31</v>
      </c>
      <c r="N926" s="34"/>
      <c r="O926" s="34"/>
      <c r="P926" s="34"/>
      <c r="Q926" s="34" t="s">
        <v>33</v>
      </c>
      <c r="R926" s="111" t="s">
        <v>94</v>
      </c>
      <c r="S926" s="111" t="s">
        <v>35</v>
      </c>
      <c r="T926" s="34" t="s">
        <v>36</v>
      </c>
      <c r="U926" s="39" t="s">
        <v>1686</v>
      </c>
    </row>
    <row r="927" spans="2:21">
      <c r="B927" s="46" t="s">
        <v>47</v>
      </c>
      <c r="C927" s="46" t="s">
        <v>28</v>
      </c>
      <c r="D927" s="57">
        <v>46164</v>
      </c>
      <c r="F927" s="34"/>
      <c r="G927" s="46"/>
      <c r="H927" s="34"/>
      <c r="I927" s="34"/>
      <c r="K927" s="337">
        <v>2831603</v>
      </c>
      <c r="L927" s="16" t="s">
        <v>2089</v>
      </c>
      <c r="M927" s="34" t="s">
        <v>31</v>
      </c>
      <c r="N927" s="34"/>
      <c r="O927" s="34"/>
      <c r="P927" s="34"/>
      <c r="Q927" s="34" t="s">
        <v>33</v>
      </c>
      <c r="R927" s="111" t="s">
        <v>94</v>
      </c>
      <c r="S927" s="111" t="s">
        <v>35</v>
      </c>
      <c r="T927" s="34" t="s">
        <v>36</v>
      </c>
      <c r="U927" s="39" t="s">
        <v>1686</v>
      </c>
    </row>
    <row r="928" spans="2:21">
      <c r="B928" s="46" t="s">
        <v>47</v>
      </c>
      <c r="C928" s="46" t="s">
        <v>28</v>
      </c>
      <c r="D928" s="57">
        <v>46164</v>
      </c>
      <c r="F928" s="34"/>
      <c r="G928" s="46"/>
      <c r="H928" s="34"/>
      <c r="I928" s="34"/>
      <c r="K928" s="337">
        <v>2831604</v>
      </c>
      <c r="L928" s="16" t="s">
        <v>2090</v>
      </c>
      <c r="M928" s="34" t="s">
        <v>31</v>
      </c>
      <c r="N928" s="34"/>
      <c r="O928" s="34"/>
      <c r="P928" s="34"/>
      <c r="Q928" s="34" t="s">
        <v>33</v>
      </c>
      <c r="R928" s="111" t="s">
        <v>94</v>
      </c>
      <c r="S928" s="111" t="s">
        <v>35</v>
      </c>
      <c r="T928" s="34" t="s">
        <v>36</v>
      </c>
      <c r="U928" s="39" t="s">
        <v>1686</v>
      </c>
    </row>
    <row r="929" spans="2:21">
      <c r="B929" s="46" t="s">
        <v>47</v>
      </c>
      <c r="C929" s="46" t="s">
        <v>28</v>
      </c>
      <c r="D929" s="57">
        <v>46171</v>
      </c>
      <c r="F929" s="34"/>
      <c r="G929" s="46"/>
      <c r="H929" s="34"/>
      <c r="I929" s="34"/>
      <c r="K929" s="337">
        <v>2832501</v>
      </c>
      <c r="L929" s="16" t="s">
        <v>2091</v>
      </c>
      <c r="M929" s="34" t="s">
        <v>31</v>
      </c>
      <c r="N929" s="34"/>
      <c r="O929" s="34"/>
      <c r="P929" s="34"/>
      <c r="Q929" s="34" t="s">
        <v>33</v>
      </c>
      <c r="R929" s="111" t="s">
        <v>94</v>
      </c>
      <c r="S929" s="111" t="s">
        <v>35</v>
      </c>
      <c r="T929" s="34" t="s">
        <v>36</v>
      </c>
      <c r="U929" s="39" t="s">
        <v>1686</v>
      </c>
    </row>
    <row r="930" spans="2:21">
      <c r="B930" s="46" t="s">
        <v>47</v>
      </c>
      <c r="C930" s="46" t="s">
        <v>28</v>
      </c>
      <c r="D930" s="57">
        <v>46171</v>
      </c>
      <c r="F930" s="34"/>
      <c r="G930" s="46"/>
      <c r="H930" s="34"/>
      <c r="I930" s="34"/>
      <c r="K930" s="337">
        <v>1874007</v>
      </c>
      <c r="L930" s="16" t="s">
        <v>2092</v>
      </c>
      <c r="M930" s="34" t="s">
        <v>31</v>
      </c>
      <c r="N930" s="34"/>
      <c r="O930" s="34"/>
      <c r="P930" s="34"/>
      <c r="Q930" s="34" t="s">
        <v>33</v>
      </c>
      <c r="R930" s="111" t="s">
        <v>94</v>
      </c>
      <c r="S930" s="111" t="s">
        <v>35</v>
      </c>
      <c r="T930" s="34" t="s">
        <v>36</v>
      </c>
      <c r="U930" s="39" t="s">
        <v>1686</v>
      </c>
    </row>
    <row r="931" spans="2:21">
      <c r="B931" s="46" t="s">
        <v>47</v>
      </c>
      <c r="C931" s="423" t="s">
        <v>28</v>
      </c>
      <c r="D931" s="47">
        <v>46185</v>
      </c>
      <c r="F931" s="34"/>
      <c r="G931" s="46"/>
      <c r="H931" s="34"/>
      <c r="I931" s="34"/>
      <c r="K931" s="337">
        <v>2836401</v>
      </c>
      <c r="L931" s="16" t="s">
        <v>2093</v>
      </c>
      <c r="M931" s="34" t="s">
        <v>31</v>
      </c>
      <c r="N931" s="34"/>
      <c r="O931" s="34"/>
      <c r="P931" s="34"/>
      <c r="Q931" s="422" t="s">
        <v>33</v>
      </c>
      <c r="R931" s="424" t="s">
        <v>94</v>
      </c>
      <c r="S931" s="424" t="s">
        <v>35</v>
      </c>
      <c r="T931" s="422" t="s">
        <v>36</v>
      </c>
      <c r="U931" s="39" t="s">
        <v>1686</v>
      </c>
    </row>
    <row r="932" spans="2:21">
      <c r="B932" s="46" t="s">
        <v>47</v>
      </c>
      <c r="C932" s="423" t="s">
        <v>28</v>
      </c>
      <c r="D932" s="47">
        <v>46185</v>
      </c>
      <c r="F932" s="34"/>
      <c r="G932" s="46"/>
      <c r="H932" s="34"/>
      <c r="I932" s="34"/>
      <c r="K932" s="429">
        <v>2925501</v>
      </c>
      <c r="L932" s="16" t="s">
        <v>2094</v>
      </c>
      <c r="M932" s="34" t="s">
        <v>31</v>
      </c>
      <c r="N932" s="34"/>
      <c r="O932" s="34"/>
      <c r="P932" s="34"/>
      <c r="Q932" s="422" t="s">
        <v>33</v>
      </c>
      <c r="R932" s="424" t="s">
        <v>94</v>
      </c>
      <c r="S932" s="424" t="s">
        <v>35</v>
      </c>
      <c r="T932" s="422" t="s">
        <v>36</v>
      </c>
      <c r="U932" s="39" t="s">
        <v>1686</v>
      </c>
    </row>
    <row r="933" spans="2:21">
      <c r="B933" s="46" t="s">
        <v>47</v>
      </c>
      <c r="C933" s="423" t="s">
        <v>28</v>
      </c>
      <c r="D933" s="47">
        <v>46185</v>
      </c>
      <c r="F933" s="34"/>
      <c r="G933" s="46"/>
      <c r="H933" s="34"/>
      <c r="I933" s="34"/>
      <c r="K933" s="429">
        <v>2600605</v>
      </c>
      <c r="L933" s="16" t="s">
        <v>2095</v>
      </c>
      <c r="M933" s="34" t="s">
        <v>31</v>
      </c>
      <c r="N933" s="34"/>
      <c r="O933" s="34"/>
      <c r="P933" s="34"/>
      <c r="Q933" s="422" t="s">
        <v>33</v>
      </c>
      <c r="R933" s="424" t="s">
        <v>94</v>
      </c>
      <c r="S933" s="424" t="s">
        <v>35</v>
      </c>
      <c r="T933" s="422" t="s">
        <v>36</v>
      </c>
      <c r="U933" s="39" t="s">
        <v>1686</v>
      </c>
    </row>
    <row r="934" spans="2:21">
      <c r="B934" s="46" t="s">
        <v>47</v>
      </c>
      <c r="C934" s="423" t="s">
        <v>1014</v>
      </c>
      <c r="D934" s="47">
        <v>46203</v>
      </c>
      <c r="F934" s="34"/>
      <c r="G934" s="46"/>
      <c r="H934" s="34"/>
      <c r="I934" s="34"/>
      <c r="K934" s="429">
        <v>2931101</v>
      </c>
      <c r="L934" s="431" t="s">
        <v>2096</v>
      </c>
      <c r="M934" s="34" t="s">
        <v>31</v>
      </c>
      <c r="N934" s="34"/>
      <c r="O934" s="34"/>
      <c r="P934" s="34"/>
      <c r="Q934" s="422" t="s">
        <v>33</v>
      </c>
      <c r="R934" s="422" t="s">
        <v>92</v>
      </c>
      <c r="S934" s="422" t="s">
        <v>92</v>
      </c>
      <c r="T934" s="422" t="s">
        <v>102</v>
      </c>
      <c r="U934" s="39" t="s">
        <v>1686</v>
      </c>
    </row>
    <row r="935" spans="2:21">
      <c r="B935" s="46" t="s">
        <v>47</v>
      </c>
      <c r="C935" s="423" t="s">
        <v>1014</v>
      </c>
      <c r="D935" s="47">
        <v>46203</v>
      </c>
      <c r="F935" s="34"/>
      <c r="G935" s="46"/>
      <c r="H935" s="34"/>
      <c r="I935" s="34"/>
      <c r="K935" s="429">
        <v>2930701</v>
      </c>
      <c r="L935" s="431" t="s">
        <v>2097</v>
      </c>
      <c r="M935" s="34" t="s">
        <v>31</v>
      </c>
      <c r="N935" s="34"/>
      <c r="O935" s="34"/>
      <c r="P935" s="34"/>
      <c r="Q935" s="422" t="s">
        <v>33</v>
      </c>
      <c r="R935" s="422" t="s">
        <v>92</v>
      </c>
      <c r="S935" s="422" t="s">
        <v>92</v>
      </c>
      <c r="T935" s="422" t="s">
        <v>102</v>
      </c>
      <c r="U935" s="39" t="s">
        <v>1686</v>
      </c>
    </row>
  </sheetData>
  <conditionalFormatting sqref="B3:B4">
    <cfRule type="beginsWith" dxfId="110" priority="392" operator="beginsWith" text="Auslistung">
      <formula>LEFT(B3,10)="Auslistung"</formula>
    </cfRule>
    <cfRule type="beginsWith" dxfId="109" priority="391" operator="beginsWith" text="Abtausch">
      <formula>LEFT(B3,8)="Abtausch"</formula>
    </cfRule>
    <cfRule type="beginsWith" dxfId="108" priority="393" operator="beginsWith" text="Listung">
      <formula>LEFT(B3,7)="Listung"</formula>
    </cfRule>
  </conditionalFormatting>
  <conditionalFormatting sqref="B4:B5">
    <cfRule type="beginsWith" dxfId="107" priority="387" operator="beginsWith" text="Listung">
      <formula>LEFT(B4,7)="Listung"</formula>
    </cfRule>
    <cfRule type="beginsWith" dxfId="106" priority="386" operator="beginsWith" text="Auslistung">
      <formula>LEFT(B4,10)="Auslistung"</formula>
    </cfRule>
    <cfRule type="beginsWith" dxfId="105" priority="385" operator="beginsWith" text="Abtausch">
      <formula>LEFT(B4,8)="Abtausch"</formula>
    </cfRule>
  </conditionalFormatting>
  <conditionalFormatting sqref="B5:B6">
    <cfRule type="beginsWith" dxfId="104" priority="381" operator="beginsWith" text="Listung">
      <formula>LEFT(B5,7)="Listung"</formula>
    </cfRule>
    <cfRule type="beginsWith" dxfId="103" priority="380" operator="beginsWith" text="Auslistung">
      <formula>LEFT(B5,10)="Auslistung"</formula>
    </cfRule>
    <cfRule type="beginsWith" dxfId="102" priority="379" operator="beginsWith" text="Abtausch">
      <formula>LEFT(B5,8)="Abtausch"</formula>
    </cfRule>
  </conditionalFormatting>
  <conditionalFormatting sqref="B6:B7">
    <cfRule type="beginsWith" dxfId="101" priority="375" operator="beginsWith" text="Listung">
      <formula>LEFT(B6,7)="Listung"</formula>
    </cfRule>
    <cfRule type="beginsWith" dxfId="100" priority="374" operator="beginsWith" text="Auslistung">
      <formula>LEFT(B6,10)="Auslistung"</formula>
    </cfRule>
    <cfRule type="beginsWith" dxfId="99" priority="373" operator="beginsWith" text="Abtausch">
      <formula>LEFT(B6,8)="Abtausch"</formula>
    </cfRule>
  </conditionalFormatting>
  <conditionalFormatting sqref="B7:B8">
    <cfRule type="beginsWith" dxfId="98" priority="369" operator="beginsWith" text="Listung">
      <formula>LEFT(B7,7)="Listung"</formula>
    </cfRule>
    <cfRule type="beginsWith" dxfId="97" priority="368" operator="beginsWith" text="Auslistung">
      <formula>LEFT(B7,10)="Auslistung"</formula>
    </cfRule>
    <cfRule type="beginsWith" dxfId="96" priority="367" operator="beginsWith" text="Abtausch">
      <formula>LEFT(B7,8)="Abtausch"</formula>
    </cfRule>
  </conditionalFormatting>
  <conditionalFormatting sqref="B8:B9">
    <cfRule type="beginsWith" dxfId="95" priority="363" operator="beginsWith" text="Listung">
      <formula>LEFT(B8,7)="Listung"</formula>
    </cfRule>
    <cfRule type="beginsWith" dxfId="94" priority="362" operator="beginsWith" text="Auslistung">
      <formula>LEFT(B8,10)="Auslistung"</formula>
    </cfRule>
    <cfRule type="beginsWith" dxfId="93" priority="361" operator="beginsWith" text="Abtausch">
      <formula>LEFT(B8,8)="Abtausch"</formula>
    </cfRule>
  </conditionalFormatting>
  <conditionalFormatting sqref="B9:B10">
    <cfRule type="beginsWith" dxfId="92" priority="357" operator="beginsWith" text="Listung">
      <formula>LEFT(B9,7)="Listung"</formula>
    </cfRule>
    <cfRule type="beginsWith" dxfId="91" priority="356" operator="beginsWith" text="Auslistung">
      <formula>LEFT(B9,10)="Auslistung"</formula>
    </cfRule>
    <cfRule type="beginsWith" dxfId="90" priority="355" operator="beginsWith" text="Abtausch">
      <formula>LEFT(B9,8)="Abtausch"</formula>
    </cfRule>
  </conditionalFormatting>
  <conditionalFormatting sqref="B10:B11">
    <cfRule type="beginsWith" dxfId="89" priority="351" operator="beginsWith" text="Listung">
      <formula>LEFT(B10,7)="Listung"</formula>
    </cfRule>
    <cfRule type="beginsWith" dxfId="88" priority="350" operator="beginsWith" text="Auslistung">
      <formula>LEFT(B10,10)="Auslistung"</formula>
    </cfRule>
    <cfRule type="beginsWith" dxfId="87" priority="349" operator="beginsWith" text="Abtausch">
      <formula>LEFT(B10,8)="Abtausch"</formula>
    </cfRule>
  </conditionalFormatting>
  <conditionalFormatting sqref="B11:B12">
    <cfRule type="beginsWith" dxfId="86" priority="345" operator="beginsWith" text="Listung">
      <formula>LEFT(B11,7)="Listung"</formula>
    </cfRule>
    <cfRule type="beginsWith" dxfId="85" priority="344" operator="beginsWith" text="Auslistung">
      <formula>LEFT(B11,10)="Auslistung"</formula>
    </cfRule>
    <cfRule type="beginsWith" dxfId="84" priority="343" operator="beginsWith" text="Abtausch">
      <formula>LEFT(B11,8)="Abtausch"</formula>
    </cfRule>
  </conditionalFormatting>
  <conditionalFormatting sqref="B12:B13">
    <cfRule type="beginsWith" dxfId="83" priority="339" operator="beginsWith" text="Listung">
      <formula>LEFT(B12,7)="Listung"</formula>
    </cfRule>
    <cfRule type="beginsWith" dxfId="82" priority="338" operator="beginsWith" text="Auslistung">
      <formula>LEFT(B12,10)="Auslistung"</formula>
    </cfRule>
    <cfRule type="beginsWith" dxfId="81" priority="337" operator="beginsWith" text="Abtausch">
      <formula>LEFT(B12,8)="Abtausch"</formula>
    </cfRule>
  </conditionalFormatting>
  <conditionalFormatting sqref="B13:B14">
    <cfRule type="beginsWith" dxfId="80" priority="333" operator="beginsWith" text="Listung">
      <formula>LEFT(B13,7)="Listung"</formula>
    </cfRule>
    <cfRule type="beginsWith" dxfId="79" priority="332" operator="beginsWith" text="Auslistung">
      <formula>LEFT(B13,10)="Auslistung"</formula>
    </cfRule>
    <cfRule type="beginsWith" dxfId="78" priority="331" operator="beginsWith" text="Abtausch">
      <formula>LEFT(B13,8)="Abtausch"</formula>
    </cfRule>
  </conditionalFormatting>
  <conditionalFormatting sqref="B14:B15">
    <cfRule type="beginsWith" dxfId="77" priority="327" operator="beginsWith" text="Listung">
      <formula>LEFT(B14,7)="Listung"</formula>
    </cfRule>
    <cfRule type="beginsWith" dxfId="76" priority="326" operator="beginsWith" text="Auslistung">
      <formula>LEFT(B14,10)="Auslistung"</formula>
    </cfRule>
    <cfRule type="beginsWith" dxfId="75" priority="325" operator="beginsWith" text="Abtausch">
      <formula>LEFT(B14,8)="Abtausch"</formula>
    </cfRule>
  </conditionalFormatting>
  <conditionalFormatting sqref="B15:B16">
    <cfRule type="beginsWith" dxfId="74" priority="319" operator="beginsWith" text="Abtausch">
      <formula>LEFT(B15,8)="Abtausch"</formula>
    </cfRule>
    <cfRule type="beginsWith" dxfId="73" priority="321" operator="beginsWith" text="Listung">
      <formula>LEFT(B15,7)="Listung"</formula>
    </cfRule>
    <cfRule type="beginsWith" dxfId="72" priority="320" operator="beginsWith" text="Auslistung">
      <formula>LEFT(B15,10)="Auslistung"</formula>
    </cfRule>
  </conditionalFormatting>
  <conditionalFormatting sqref="B16:B17">
    <cfRule type="beginsWith" dxfId="71" priority="315" operator="beginsWith" text="Listung">
      <formula>LEFT(B16,7)="Listung"</formula>
    </cfRule>
    <cfRule type="beginsWith" dxfId="70" priority="314" operator="beginsWith" text="Auslistung">
      <formula>LEFT(B16,10)="Auslistung"</formula>
    </cfRule>
    <cfRule type="beginsWith" dxfId="69" priority="313" operator="beginsWith" text="Abtausch">
      <formula>LEFT(B16,8)="Abtausch"</formula>
    </cfRule>
  </conditionalFormatting>
  <conditionalFormatting sqref="B17:B18">
    <cfRule type="beginsWith" dxfId="68" priority="309" operator="beginsWith" text="Listung">
      <formula>LEFT(B17,7)="Listung"</formula>
    </cfRule>
    <cfRule type="beginsWith" dxfId="67" priority="308" operator="beginsWith" text="Auslistung">
      <formula>LEFT(B17,10)="Auslistung"</formula>
    </cfRule>
    <cfRule type="beginsWith" dxfId="66" priority="307" operator="beginsWith" text="Abtausch">
      <formula>LEFT(B17,8)="Abtausch"</formula>
    </cfRule>
  </conditionalFormatting>
  <conditionalFormatting sqref="B18:B19">
    <cfRule type="beginsWith" dxfId="65" priority="302" operator="beginsWith" text="Auslistung">
      <formula>LEFT(B18,10)="Auslistung"</formula>
    </cfRule>
    <cfRule type="beginsWith" dxfId="64" priority="301" operator="beginsWith" text="Abtausch">
      <formula>LEFT(B18,8)="Abtausch"</formula>
    </cfRule>
    <cfRule type="beginsWith" dxfId="63" priority="303" operator="beginsWith" text="Listung">
      <formula>LEFT(B18,7)="Listung"</formula>
    </cfRule>
  </conditionalFormatting>
  <conditionalFormatting sqref="B19:B20">
    <cfRule type="beginsWith" dxfId="62" priority="295" operator="beginsWith" text="Abtausch">
      <formula>LEFT(B19,8)="Abtausch"</formula>
    </cfRule>
    <cfRule type="beginsWith" dxfId="61" priority="296" operator="beginsWith" text="Auslistung">
      <formula>LEFT(B19,10)="Auslistung"</formula>
    </cfRule>
    <cfRule type="beginsWith" dxfId="60" priority="297" operator="beginsWith" text="Listung">
      <formula>LEFT(B19,7)="Listung"</formula>
    </cfRule>
  </conditionalFormatting>
  <conditionalFormatting sqref="B20:B34">
    <cfRule type="beginsWith" dxfId="59" priority="255" operator="beginsWith" text="Listung">
      <formula>LEFT(B20,7)="Listung"</formula>
    </cfRule>
    <cfRule type="beginsWith" dxfId="58" priority="254" operator="beginsWith" text="Auslistung">
      <formula>LEFT(B20,10)="Auslistung"</formula>
    </cfRule>
    <cfRule type="beginsWith" dxfId="57" priority="253" operator="beginsWith" text="Abtausch">
      <formula>LEFT(B20,8)="Abtausch"</formula>
    </cfRule>
  </conditionalFormatting>
  <conditionalFormatting sqref="B21:B36">
    <cfRule type="beginsWith" dxfId="56" priority="249" operator="beginsWith" text="Listung">
      <formula>LEFT(B21,7)="Listung"</formula>
    </cfRule>
    <cfRule type="beginsWith" dxfId="55" priority="248" operator="beginsWith" text="Auslistung">
      <formula>LEFT(B21,10)="Auslistung"</formula>
    </cfRule>
    <cfRule type="beginsWith" dxfId="54" priority="247" operator="beginsWith" text="Abtausch">
      <formula>LEFT(B21,8)="Abtausch"</formula>
    </cfRule>
  </conditionalFormatting>
  <conditionalFormatting sqref="B35:B37">
    <cfRule type="beginsWith" dxfId="53" priority="243" operator="beginsWith" text="Listung">
      <formula>LEFT(B35,7)="Listung"</formula>
    </cfRule>
    <cfRule type="beginsWith" dxfId="52" priority="242" operator="beginsWith" text="Auslistung">
      <formula>LEFT(B35,10)="Auslistung"</formula>
    </cfRule>
    <cfRule type="beginsWith" dxfId="51" priority="241" operator="beginsWith" text="Abtausch">
      <formula>LEFT(B35,8)="Abtausch"</formula>
    </cfRule>
  </conditionalFormatting>
  <conditionalFormatting sqref="B37:B38">
    <cfRule type="beginsWith" dxfId="50" priority="235" operator="beginsWith" text="Abtausch">
      <formula>LEFT(B37,8)="Abtausch"</formula>
    </cfRule>
    <cfRule type="beginsWith" dxfId="49" priority="237" operator="beginsWith" text="Listung">
      <formula>LEFT(B37,7)="Listung"</formula>
    </cfRule>
    <cfRule type="beginsWith" dxfId="48" priority="236" operator="beginsWith" text="Auslistung">
      <formula>LEFT(B37,10)="Auslistung"</formula>
    </cfRule>
  </conditionalFormatting>
  <conditionalFormatting sqref="B38:B104">
    <cfRule type="beginsWith" dxfId="47" priority="231" operator="beginsWith" text="Listung">
      <formula>LEFT(B38,7)="Listung"</formula>
    </cfRule>
    <cfRule type="beginsWith" dxfId="46" priority="230" operator="beginsWith" text="Auslistung">
      <formula>LEFT(B38,10)="Auslistung"</formula>
    </cfRule>
    <cfRule type="beginsWith" dxfId="45" priority="229" operator="beginsWith" text="Abtausch">
      <formula>LEFT(B38,8)="Abtausch"</formula>
    </cfRule>
  </conditionalFormatting>
  <conditionalFormatting sqref="B39:B105">
    <cfRule type="beginsWith" dxfId="44" priority="225" operator="beginsWith" text="Listung">
      <formula>LEFT(B39,7)="Listung"</formula>
    </cfRule>
    <cfRule type="beginsWith" dxfId="43" priority="224" operator="beginsWith" text="Auslistung">
      <formula>LEFT(B39,10)="Auslistung"</formula>
    </cfRule>
    <cfRule type="beginsWith" dxfId="42" priority="223" operator="beginsWith" text="Abtausch">
      <formula>LEFT(B39,8)="Abtausch"</formula>
    </cfRule>
  </conditionalFormatting>
  <conditionalFormatting sqref="B105:B107">
    <cfRule type="beginsWith" dxfId="41" priority="219" operator="beginsWith" text="Listung">
      <formula>LEFT(B105,7)="Listung"</formula>
    </cfRule>
    <cfRule type="beginsWith" dxfId="40" priority="218" operator="beginsWith" text="Auslistung">
      <formula>LEFT(B105,10)="Auslistung"</formula>
    </cfRule>
    <cfRule type="beginsWith" dxfId="39" priority="217" operator="beginsWith" text="Abtausch">
      <formula>LEFT(B105,8)="Abtausch"</formula>
    </cfRule>
  </conditionalFormatting>
  <conditionalFormatting sqref="B106:B108">
    <cfRule type="beginsWith" dxfId="38" priority="213" operator="beginsWith" text="Listung">
      <formula>LEFT(B106,7)="Listung"</formula>
    </cfRule>
    <cfRule type="beginsWith" dxfId="37" priority="212" operator="beginsWith" text="Auslistung">
      <formula>LEFT(B106,10)="Auslistung"</formula>
    </cfRule>
    <cfRule type="beginsWith" dxfId="36" priority="211" operator="beginsWith" text="Abtausch">
      <formula>LEFT(B106,8)="Abtausch"</formula>
    </cfRule>
  </conditionalFormatting>
  <conditionalFormatting sqref="B108:B109">
    <cfRule type="beginsWith" dxfId="35" priority="205" operator="beginsWith" text="Abtausch">
      <formula>LEFT(B108,8)="Abtausch"</formula>
    </cfRule>
    <cfRule type="beginsWith" dxfId="34" priority="207" operator="beginsWith" text="Listung">
      <formula>LEFT(B108,7)="Listung"</formula>
    </cfRule>
    <cfRule type="beginsWith" dxfId="33" priority="206" operator="beginsWith" text="Auslistung">
      <formula>LEFT(B108,10)="Auslistung"</formula>
    </cfRule>
  </conditionalFormatting>
  <conditionalFormatting sqref="B109:B110">
    <cfRule type="beginsWith" dxfId="32" priority="195" operator="beginsWith" text="Listung">
      <formula>LEFT(B109,7)="Listung"</formula>
    </cfRule>
    <cfRule type="beginsWith" dxfId="31" priority="194" operator="beginsWith" text="Auslistung">
      <formula>LEFT(B109,10)="Auslistung"</formula>
    </cfRule>
    <cfRule type="beginsWith" dxfId="30" priority="193" operator="beginsWith" text="Abtausch">
      <formula>LEFT(B109,8)="Abtausch"</formula>
    </cfRule>
  </conditionalFormatting>
  <conditionalFormatting sqref="B110:B111">
    <cfRule type="beginsWith" dxfId="29" priority="189" operator="beginsWith" text="Listung">
      <formula>LEFT(B110,7)="Listung"</formula>
    </cfRule>
    <cfRule type="beginsWith" dxfId="28" priority="188" operator="beginsWith" text="Auslistung">
      <formula>LEFT(B110,10)="Auslistung"</formula>
    </cfRule>
    <cfRule type="beginsWith" dxfId="27" priority="187" operator="beginsWith" text="Abtausch">
      <formula>LEFT(B110,8)="Abtausch"</formula>
    </cfRule>
  </conditionalFormatting>
  <conditionalFormatting sqref="B111:B113">
    <cfRule type="beginsWith" dxfId="26" priority="183" operator="beginsWith" text="Listung">
      <formula>LEFT(B111,7)="Listung"</formula>
    </cfRule>
    <cfRule type="beginsWith" dxfId="25" priority="182" operator="beginsWith" text="Auslistung">
      <formula>LEFT(B111,10)="Auslistung"</formula>
    </cfRule>
    <cfRule type="beginsWith" dxfId="24" priority="181" operator="beginsWith" text="Abtausch">
      <formula>LEFT(B111,8)="Abtausch"</formula>
    </cfRule>
  </conditionalFormatting>
  <conditionalFormatting sqref="B112:B114">
    <cfRule type="beginsWith" dxfId="23" priority="175" operator="beginsWith" text="Abtausch">
      <formula>LEFT(B112,8)="Abtausch"</formula>
    </cfRule>
    <cfRule type="beginsWith" dxfId="22" priority="177" operator="beginsWith" text="Listung">
      <formula>LEFT(B112,7)="Listung"</formula>
    </cfRule>
    <cfRule type="beginsWith" dxfId="21" priority="176" operator="beginsWith" text="Auslistung">
      <formula>LEFT(B112,10)="Auslistung"</formula>
    </cfRule>
  </conditionalFormatting>
  <conditionalFormatting sqref="B114:B115">
    <cfRule type="beginsWith" dxfId="20" priority="171" operator="beginsWith" text="Listung">
      <formula>LEFT(B114,7)="Listung"</formula>
    </cfRule>
    <cfRule type="beginsWith" dxfId="19" priority="170" operator="beginsWith" text="Auslistung">
      <formula>LEFT(B114,10)="Auslistung"</formula>
    </cfRule>
    <cfRule type="beginsWith" dxfId="18" priority="169" operator="beginsWith" text="Abtausch">
      <formula>LEFT(B114,8)="Abtausch"</formula>
    </cfRule>
  </conditionalFormatting>
  <conditionalFormatting sqref="B115:B124">
    <cfRule type="beginsWith" dxfId="17" priority="165" operator="beginsWith" text="Listung">
      <formula>LEFT(B115,7)="Listung"</formula>
    </cfRule>
    <cfRule type="beginsWith" dxfId="16" priority="164" operator="beginsWith" text="Auslistung">
      <formula>LEFT(B115,10)="Auslistung"</formula>
    </cfRule>
    <cfRule type="beginsWith" dxfId="15" priority="163" operator="beginsWith" text="Abtausch">
      <formula>LEFT(B115,8)="Abtausch"</formula>
    </cfRule>
  </conditionalFormatting>
  <conditionalFormatting sqref="B116:B1048576">
    <cfRule type="beginsWith" dxfId="14" priority="153" operator="beginsWith" text="Listung">
      <formula>LEFT(B116,7)="Listung"</formula>
    </cfRule>
    <cfRule type="beginsWith" dxfId="13" priority="152" operator="beginsWith" text="Auslistung">
      <formula>LEFT(B116,10)="Auslistung"</formula>
    </cfRule>
    <cfRule type="beginsWith" dxfId="12" priority="151" operator="beginsWith" text="Abtausch">
      <formula>LEFT(B116,8)="Abtausch"</formula>
    </cfRule>
  </conditionalFormatting>
  <conditionalFormatting sqref="B125:B219">
    <cfRule type="beginsWith" dxfId="11" priority="65" operator="beginsWith" text="Auslistung">
      <formula>LEFT(B125,10)="Auslistung"</formula>
    </cfRule>
    <cfRule type="beginsWith" dxfId="10" priority="66" operator="beginsWith" text="Listung">
      <formula>LEFT(B125,7)="Listung"</formula>
    </cfRule>
    <cfRule type="beginsWith" dxfId="9" priority="64" operator="beginsWith" text="Abtausch">
      <formula>LEFT(B125,8)="Abtausch"</formula>
    </cfRule>
  </conditionalFormatting>
  <pageMargins left="0.7" right="0.7" top="0.75" bottom="0.75" header="0.3" footer="0.3"/>
  <pageSetup paperSize="9" orientation="portrait" r:id="rId1"/>
  <ignoredErrors>
    <ignoredError sqref="K65 K69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V1048359"/>
  <sheetViews>
    <sheetView showGridLines="0" topLeftCell="A269" zoomScale="80" zoomScaleNormal="80" workbookViewId="0">
      <pane xSplit="4" topLeftCell="E1" activePane="topRight" state="frozen"/>
      <selection pane="topRight" activeCell="B309" sqref="B309"/>
    </sheetView>
  </sheetViews>
  <sheetFormatPr defaultColWidth="9.28515625" defaultRowHeight="15" outlineLevelCol="1"/>
  <cols>
    <col min="1" max="1" width="4.42578125" customWidth="1"/>
    <col min="2" max="2" width="12.42578125" bestFit="1" customWidth="1"/>
    <col min="3" max="3" width="19.5703125" bestFit="1" customWidth="1"/>
    <col min="4" max="4" width="18.7109375" customWidth="1"/>
    <col min="5" max="5" width="2.28515625" customWidth="1"/>
    <col min="6" max="6" width="22.7109375" customWidth="1"/>
    <col min="7" max="7" width="40.28515625" bestFit="1" customWidth="1"/>
    <col min="8" max="8" width="20.28515625" hidden="1" customWidth="1" outlineLevel="1"/>
    <col min="9" max="9" width="17.7109375" hidden="1" customWidth="1" outlineLevel="1"/>
    <col min="10" max="10" width="11.28515625" hidden="1" customWidth="1" outlineLevel="1"/>
    <col min="11" max="11" width="22" bestFit="1" customWidth="1" collapsed="1"/>
    <col min="12" max="12" width="24.28515625" bestFit="1" customWidth="1"/>
    <col min="13" max="13" width="50.28515625" bestFit="1" customWidth="1"/>
    <col min="14" max="14" width="26.28515625" bestFit="1" customWidth="1"/>
    <col min="15" max="17" width="9.28515625" style="18" hidden="1" customWidth="1" outlineLevel="1"/>
    <col min="18" max="19" width="14.7109375" style="41" hidden="1" customWidth="1" outlineLevel="1"/>
    <col min="20" max="21" width="14.7109375" style="18" hidden="1" customWidth="1" outlineLevel="1"/>
    <col min="22" max="22" width="34.28515625" style="18" customWidth="1" collapsed="1"/>
    <col min="23" max="23" width="12.7109375" bestFit="1" customWidth="1"/>
    <col min="24" max="25" width="18.28515625" bestFit="1" customWidth="1"/>
  </cols>
  <sheetData>
    <row r="1" spans="2:22" s="2" customFormat="1" ht="26.65" customHeight="1" thickBot="1">
      <c r="B1" s="15" t="s">
        <v>0</v>
      </c>
      <c r="F1" s="2" t="s">
        <v>1</v>
      </c>
      <c r="L1" s="20" t="s">
        <v>2</v>
      </c>
      <c r="O1" s="27"/>
      <c r="P1" s="27"/>
      <c r="Q1" s="27"/>
      <c r="R1" s="41"/>
      <c r="S1" s="41"/>
      <c r="T1" s="27"/>
      <c r="U1" s="27"/>
      <c r="V1" s="27"/>
    </row>
    <row r="2" spans="2:22" s="3" customFormat="1" ht="60">
      <c r="B2" s="7" t="s">
        <v>3</v>
      </c>
      <c r="C2" s="13" t="s">
        <v>4</v>
      </c>
      <c r="D2" s="7" t="s">
        <v>5</v>
      </c>
      <c r="F2" s="7" t="s">
        <v>7</v>
      </c>
      <c r="G2" s="8" t="s">
        <v>8</v>
      </c>
      <c r="H2" s="19" t="s">
        <v>2098</v>
      </c>
      <c r="I2" s="4" t="s">
        <v>11</v>
      </c>
      <c r="J2" s="4" t="s">
        <v>12</v>
      </c>
      <c r="L2" s="7" t="s">
        <v>7</v>
      </c>
      <c r="M2" s="8" t="s">
        <v>8</v>
      </c>
      <c r="N2" s="19" t="s">
        <v>2098</v>
      </c>
      <c r="O2" s="10" t="s">
        <v>13</v>
      </c>
      <c r="P2" s="4" t="s">
        <v>14</v>
      </c>
      <c r="Q2" s="43" t="s">
        <v>15</v>
      </c>
      <c r="R2" s="4" t="s">
        <v>1047</v>
      </c>
      <c r="S2" s="4" t="s">
        <v>1048</v>
      </c>
      <c r="T2" s="10" t="s">
        <v>18</v>
      </c>
      <c r="U2" s="4" t="s">
        <v>19</v>
      </c>
      <c r="V2" s="4" t="s">
        <v>20</v>
      </c>
    </row>
    <row r="3" spans="2:22" s="3" customFormat="1" ht="15.75" thickBot="1">
      <c r="B3" s="5"/>
      <c r="C3" s="6"/>
      <c r="D3" s="6"/>
      <c r="F3" s="5"/>
      <c r="G3" s="6"/>
      <c r="H3" s="6"/>
      <c r="I3" s="11" t="s">
        <v>22</v>
      </c>
      <c r="J3" s="12" t="s">
        <v>23</v>
      </c>
      <c r="L3" s="5"/>
      <c r="M3" s="6"/>
      <c r="N3" s="6"/>
      <c r="O3" s="42" t="s">
        <v>24</v>
      </c>
      <c r="P3" s="11" t="s">
        <v>25</v>
      </c>
      <c r="Q3" s="12" t="s">
        <v>23</v>
      </c>
      <c r="R3" s="14" t="s">
        <v>26</v>
      </c>
      <c r="S3" s="14" t="s">
        <v>26</v>
      </c>
      <c r="T3" s="14" t="s">
        <v>26</v>
      </c>
      <c r="U3" s="14" t="s">
        <v>26</v>
      </c>
      <c r="V3" s="52"/>
    </row>
    <row r="4" spans="2:22">
      <c r="B4" s="21" t="s">
        <v>47</v>
      </c>
      <c r="C4" s="33" t="s">
        <v>28</v>
      </c>
      <c r="D4" s="29">
        <v>43315</v>
      </c>
      <c r="F4" s="46"/>
      <c r="G4" s="46"/>
      <c r="H4" s="46"/>
      <c r="I4" s="46"/>
      <c r="J4" s="46"/>
      <c r="L4" s="22">
        <v>982306</v>
      </c>
      <c r="M4" s="16" t="s">
        <v>2099</v>
      </c>
      <c r="N4" s="32" t="s">
        <v>2100</v>
      </c>
      <c r="O4" s="51" t="s">
        <v>2101</v>
      </c>
      <c r="P4" s="34"/>
      <c r="Q4" s="38"/>
      <c r="R4" s="35" t="s">
        <v>33</v>
      </c>
      <c r="S4" s="35" t="s">
        <v>94</v>
      </c>
      <c r="T4" s="35" t="s">
        <v>35</v>
      </c>
      <c r="U4" s="34" t="s">
        <v>36</v>
      </c>
      <c r="V4" s="34" t="s">
        <v>2102</v>
      </c>
    </row>
    <row r="5" spans="2:22">
      <c r="B5" s="21" t="s">
        <v>47</v>
      </c>
      <c r="C5" s="33" t="s">
        <v>28</v>
      </c>
      <c r="D5" s="29">
        <v>43315</v>
      </c>
      <c r="F5" s="46"/>
      <c r="G5" s="46"/>
      <c r="H5" s="46"/>
      <c r="I5" s="46"/>
      <c r="J5" s="46"/>
      <c r="L5" s="22">
        <v>976302</v>
      </c>
      <c r="M5" s="16" t="s">
        <v>2099</v>
      </c>
      <c r="N5" s="32" t="s">
        <v>2100</v>
      </c>
      <c r="O5" s="51" t="s">
        <v>2101</v>
      </c>
      <c r="P5" s="34"/>
      <c r="Q5" s="38"/>
      <c r="R5" s="35" t="s">
        <v>33</v>
      </c>
      <c r="S5" s="35" t="s">
        <v>94</v>
      </c>
      <c r="T5" s="35" t="s">
        <v>35</v>
      </c>
      <c r="U5" s="34" t="s">
        <v>36</v>
      </c>
      <c r="V5" s="34" t="s">
        <v>2102</v>
      </c>
    </row>
    <row r="6" spans="2:22">
      <c r="B6" s="21" t="s">
        <v>47</v>
      </c>
      <c r="C6" s="33" t="s">
        <v>28</v>
      </c>
      <c r="D6" s="29">
        <v>43315</v>
      </c>
      <c r="F6" s="46"/>
      <c r="G6" s="46"/>
      <c r="H6" s="46"/>
      <c r="I6" s="46"/>
      <c r="J6" s="46"/>
      <c r="L6" s="22">
        <v>982210</v>
      </c>
      <c r="M6" s="16" t="s">
        <v>2099</v>
      </c>
      <c r="N6" s="32" t="s">
        <v>2100</v>
      </c>
      <c r="O6" s="51" t="s">
        <v>2101</v>
      </c>
      <c r="P6" s="34"/>
      <c r="Q6" s="38"/>
      <c r="R6" s="35" t="s">
        <v>33</v>
      </c>
      <c r="S6" s="35" t="s">
        <v>94</v>
      </c>
      <c r="T6" s="35" t="s">
        <v>35</v>
      </c>
      <c r="U6" s="34" t="s">
        <v>36</v>
      </c>
      <c r="V6" s="34" t="s">
        <v>2102</v>
      </c>
    </row>
    <row r="7" spans="2:22">
      <c r="B7" s="21" t="s">
        <v>47</v>
      </c>
      <c r="C7" s="33" t="s">
        <v>28</v>
      </c>
      <c r="D7" s="29">
        <v>43315</v>
      </c>
      <c r="F7" s="46"/>
      <c r="G7" s="46"/>
      <c r="H7" s="46"/>
      <c r="I7" s="46"/>
      <c r="J7" s="46"/>
      <c r="L7" s="22">
        <v>511612</v>
      </c>
      <c r="M7" s="16" t="s">
        <v>2103</v>
      </c>
      <c r="N7" s="32" t="s">
        <v>2100</v>
      </c>
      <c r="O7" s="51" t="s">
        <v>2101</v>
      </c>
      <c r="P7" s="34"/>
      <c r="Q7" s="38"/>
      <c r="R7" s="35" t="s">
        <v>33</v>
      </c>
      <c r="S7" s="35" t="s">
        <v>94</v>
      </c>
      <c r="T7" s="35" t="s">
        <v>35</v>
      </c>
      <c r="U7" s="34" t="s">
        <v>36</v>
      </c>
      <c r="V7" s="34"/>
    </row>
    <row r="8" spans="2:22">
      <c r="B8" s="21" t="s">
        <v>47</v>
      </c>
      <c r="C8" s="33" t="s">
        <v>28</v>
      </c>
      <c r="D8" s="29">
        <v>43315</v>
      </c>
      <c r="F8" s="46"/>
      <c r="G8" s="46"/>
      <c r="H8" s="46"/>
      <c r="I8" s="46"/>
      <c r="J8" s="46"/>
      <c r="L8" s="22">
        <v>223210</v>
      </c>
      <c r="M8" s="16" t="s">
        <v>2104</v>
      </c>
      <c r="N8" s="32" t="s">
        <v>2100</v>
      </c>
      <c r="O8" s="51" t="s">
        <v>2101</v>
      </c>
      <c r="P8" s="34"/>
      <c r="Q8" s="38"/>
      <c r="R8" s="35" t="s">
        <v>33</v>
      </c>
      <c r="S8" s="35" t="s">
        <v>94</v>
      </c>
      <c r="T8" s="35" t="s">
        <v>35</v>
      </c>
      <c r="U8" s="34" t="s">
        <v>36</v>
      </c>
      <c r="V8" s="34"/>
    </row>
    <row r="9" spans="2:22">
      <c r="B9" s="21" t="s">
        <v>47</v>
      </c>
      <c r="C9" s="33" t="s">
        <v>28</v>
      </c>
      <c r="D9" s="29">
        <v>43315</v>
      </c>
      <c r="F9" s="46"/>
      <c r="G9" s="46"/>
      <c r="H9" s="46"/>
      <c r="I9" s="46"/>
      <c r="J9" s="46"/>
      <c r="L9" s="22">
        <v>223303</v>
      </c>
      <c r="M9" s="16" t="s">
        <v>2105</v>
      </c>
      <c r="N9" s="32" t="s">
        <v>2100</v>
      </c>
      <c r="O9" s="51" t="s">
        <v>2101</v>
      </c>
      <c r="P9" s="34"/>
      <c r="Q9" s="38"/>
      <c r="R9" s="35" t="s">
        <v>33</v>
      </c>
      <c r="S9" s="35" t="s">
        <v>94</v>
      </c>
      <c r="T9" s="35" t="s">
        <v>35</v>
      </c>
      <c r="U9" s="34" t="s">
        <v>36</v>
      </c>
      <c r="V9" s="34"/>
    </row>
    <row r="10" spans="2:22">
      <c r="B10" s="21" t="s">
        <v>47</v>
      </c>
      <c r="C10" s="33" t="s">
        <v>28</v>
      </c>
      <c r="D10" s="29">
        <v>43315</v>
      </c>
      <c r="F10" s="46"/>
      <c r="G10" s="46"/>
      <c r="H10" s="46"/>
      <c r="I10" s="46"/>
      <c r="J10" s="46"/>
      <c r="L10" s="22">
        <v>1858602</v>
      </c>
      <c r="M10" s="16" t="s">
        <v>2106</v>
      </c>
      <c r="N10" s="32" t="s">
        <v>2100</v>
      </c>
      <c r="O10" s="51" t="s">
        <v>2101</v>
      </c>
      <c r="P10" s="34"/>
      <c r="Q10" s="38"/>
      <c r="R10" s="35" t="s">
        <v>33</v>
      </c>
      <c r="S10" s="35" t="s">
        <v>94</v>
      </c>
      <c r="T10" s="35" t="s">
        <v>35</v>
      </c>
      <c r="U10" s="34" t="s">
        <v>36</v>
      </c>
      <c r="V10" s="34"/>
    </row>
    <row r="11" spans="2:22">
      <c r="B11" s="21" t="s">
        <v>47</v>
      </c>
      <c r="C11" s="33" t="s">
        <v>28</v>
      </c>
      <c r="D11" s="29">
        <v>43315</v>
      </c>
      <c r="F11" s="46"/>
      <c r="G11" s="46"/>
      <c r="H11" s="46"/>
      <c r="I11" s="46"/>
      <c r="J11" s="46"/>
      <c r="L11" s="22">
        <v>1858502</v>
      </c>
      <c r="M11" s="16" t="s">
        <v>2107</v>
      </c>
      <c r="N11" s="32" t="s">
        <v>2100</v>
      </c>
      <c r="O11" s="51" t="s">
        <v>2101</v>
      </c>
      <c r="P11" s="34"/>
      <c r="Q11" s="38"/>
      <c r="R11" s="35" t="s">
        <v>33</v>
      </c>
      <c r="S11" s="35" t="s">
        <v>94</v>
      </c>
      <c r="T11" s="35" t="s">
        <v>35</v>
      </c>
      <c r="U11" s="34" t="s">
        <v>36</v>
      </c>
      <c r="V11" s="34"/>
    </row>
    <row r="12" spans="2:22">
      <c r="B12" s="21" t="s">
        <v>47</v>
      </c>
      <c r="C12" s="33" t="s">
        <v>28</v>
      </c>
      <c r="D12" s="29">
        <v>43343</v>
      </c>
      <c r="F12" s="46"/>
      <c r="G12" s="46"/>
      <c r="H12" s="46"/>
      <c r="I12" s="46"/>
      <c r="J12" s="46"/>
      <c r="L12" s="22">
        <v>1360303</v>
      </c>
      <c r="M12" s="16" t="s">
        <v>2108</v>
      </c>
      <c r="N12" s="32" t="s">
        <v>2100</v>
      </c>
      <c r="O12" s="51" t="s">
        <v>2101</v>
      </c>
      <c r="P12" s="34"/>
      <c r="Q12" s="38"/>
      <c r="R12" s="35" t="s">
        <v>33</v>
      </c>
      <c r="S12" s="35" t="s">
        <v>94</v>
      </c>
      <c r="T12" s="35" t="s">
        <v>35</v>
      </c>
      <c r="U12" s="34" t="s">
        <v>36</v>
      </c>
      <c r="V12" s="34"/>
    </row>
    <row r="13" spans="2:22">
      <c r="B13" s="21" t="s">
        <v>47</v>
      </c>
      <c r="C13" s="33" t="s">
        <v>28</v>
      </c>
      <c r="D13" s="29">
        <v>43343</v>
      </c>
      <c r="F13" s="46"/>
      <c r="G13" s="46"/>
      <c r="H13" s="46"/>
      <c r="I13" s="46"/>
      <c r="J13" s="46"/>
      <c r="L13" s="22">
        <v>1499804</v>
      </c>
      <c r="M13" s="16" t="s">
        <v>2109</v>
      </c>
      <c r="N13" s="32" t="s">
        <v>2100</v>
      </c>
      <c r="O13" s="51" t="s">
        <v>2101</v>
      </c>
      <c r="P13" s="34"/>
      <c r="Q13" s="38"/>
      <c r="R13" s="35" t="s">
        <v>33</v>
      </c>
      <c r="S13" s="35" t="s">
        <v>94</v>
      </c>
      <c r="T13" s="35" t="s">
        <v>35</v>
      </c>
      <c r="U13" s="34" t="s">
        <v>36</v>
      </c>
      <c r="V13" s="34"/>
    </row>
    <row r="14" spans="2:22">
      <c r="B14" s="21" t="s">
        <v>47</v>
      </c>
      <c r="C14" s="33" t="s">
        <v>28</v>
      </c>
      <c r="D14" s="29">
        <v>43343</v>
      </c>
      <c r="F14" s="46"/>
      <c r="G14" s="46"/>
      <c r="H14" s="46"/>
      <c r="I14" s="46"/>
      <c r="J14" s="46"/>
      <c r="L14" s="22">
        <v>1360304</v>
      </c>
      <c r="M14" s="16" t="s">
        <v>2110</v>
      </c>
      <c r="N14" s="32" t="s">
        <v>2100</v>
      </c>
      <c r="O14" s="51" t="s">
        <v>2101</v>
      </c>
      <c r="P14" s="34"/>
      <c r="Q14" s="38"/>
      <c r="R14" s="35" t="s">
        <v>33</v>
      </c>
      <c r="S14" s="35" t="s">
        <v>94</v>
      </c>
      <c r="T14" s="35" t="s">
        <v>35</v>
      </c>
      <c r="U14" s="34" t="s">
        <v>36</v>
      </c>
      <c r="V14" s="34"/>
    </row>
    <row r="15" spans="2:22">
      <c r="B15" s="21" t="s">
        <v>47</v>
      </c>
      <c r="C15" s="33" t="s">
        <v>28</v>
      </c>
      <c r="D15" s="29">
        <v>43343</v>
      </c>
      <c r="F15" s="46"/>
      <c r="G15" s="46"/>
      <c r="H15" s="46"/>
      <c r="I15" s="46"/>
      <c r="J15" s="46"/>
      <c r="L15" s="22">
        <v>1499803</v>
      </c>
      <c r="M15" s="16" t="s">
        <v>2111</v>
      </c>
      <c r="N15" s="32" t="s">
        <v>2100</v>
      </c>
      <c r="O15" s="51" t="s">
        <v>2101</v>
      </c>
      <c r="P15" s="34"/>
      <c r="Q15" s="38"/>
      <c r="R15" s="35" t="s">
        <v>33</v>
      </c>
      <c r="S15" s="35" t="s">
        <v>94</v>
      </c>
      <c r="T15" s="35" t="s">
        <v>35</v>
      </c>
      <c r="U15" s="34" t="s">
        <v>36</v>
      </c>
      <c r="V15" s="34"/>
    </row>
    <row r="16" spans="2:22">
      <c r="B16" s="21" t="s">
        <v>47</v>
      </c>
      <c r="C16" s="33" t="s">
        <v>28</v>
      </c>
      <c r="D16" s="29">
        <v>43343</v>
      </c>
      <c r="F16" s="46"/>
      <c r="G16" s="46"/>
      <c r="H16" s="46"/>
      <c r="I16" s="46"/>
      <c r="J16" s="46"/>
      <c r="L16" s="22">
        <v>1360302</v>
      </c>
      <c r="M16" s="16" t="s">
        <v>2112</v>
      </c>
      <c r="N16" s="32" t="s">
        <v>2100</v>
      </c>
      <c r="O16" s="51" t="s">
        <v>2101</v>
      </c>
      <c r="P16" s="34"/>
      <c r="Q16" s="38"/>
      <c r="R16" s="35" t="s">
        <v>33</v>
      </c>
      <c r="S16" s="35" t="s">
        <v>94</v>
      </c>
      <c r="T16" s="35" t="s">
        <v>35</v>
      </c>
      <c r="U16" s="34" t="s">
        <v>36</v>
      </c>
      <c r="V16" s="34"/>
    </row>
    <row r="17" spans="2:22">
      <c r="B17" s="21" t="s">
        <v>47</v>
      </c>
      <c r="C17" s="33" t="s">
        <v>28</v>
      </c>
      <c r="D17" s="29">
        <v>43343</v>
      </c>
      <c r="F17" s="46"/>
      <c r="G17" s="46"/>
      <c r="H17" s="46"/>
      <c r="I17" s="46"/>
      <c r="J17" s="46"/>
      <c r="L17" s="22">
        <v>1499802</v>
      </c>
      <c r="M17" s="16" t="s">
        <v>2113</v>
      </c>
      <c r="N17" s="32" t="s">
        <v>2100</v>
      </c>
      <c r="O17" s="51" t="s">
        <v>2101</v>
      </c>
      <c r="P17" s="34"/>
      <c r="Q17" s="38"/>
      <c r="R17" s="35" t="s">
        <v>33</v>
      </c>
      <c r="S17" s="35" t="s">
        <v>94</v>
      </c>
      <c r="T17" s="35" t="s">
        <v>35</v>
      </c>
      <c r="U17" s="34" t="s">
        <v>36</v>
      </c>
      <c r="V17" s="34"/>
    </row>
    <row r="18" spans="2:22">
      <c r="B18" s="21" t="s">
        <v>47</v>
      </c>
      <c r="C18" s="33" t="s">
        <v>28</v>
      </c>
      <c r="D18" s="29">
        <v>43364</v>
      </c>
      <c r="F18" s="46"/>
      <c r="G18" s="46"/>
      <c r="H18" s="46"/>
      <c r="I18" s="46"/>
      <c r="J18" s="46"/>
      <c r="L18" s="22">
        <v>1586603</v>
      </c>
      <c r="M18" s="16" t="s">
        <v>2114</v>
      </c>
      <c r="N18" s="32" t="s">
        <v>2100</v>
      </c>
      <c r="O18" s="51" t="s">
        <v>2101</v>
      </c>
      <c r="P18" s="34"/>
      <c r="Q18" s="38"/>
      <c r="R18" s="35" t="s">
        <v>33</v>
      </c>
      <c r="S18" s="35" t="s">
        <v>94</v>
      </c>
      <c r="T18" s="35" t="s">
        <v>35</v>
      </c>
      <c r="U18" s="34" t="s">
        <v>36</v>
      </c>
      <c r="V18" s="34"/>
    </row>
    <row r="19" spans="2:22">
      <c r="B19" s="21" t="s">
        <v>47</v>
      </c>
      <c r="C19" s="33" t="s">
        <v>28</v>
      </c>
      <c r="D19" s="29">
        <v>43364</v>
      </c>
      <c r="F19" s="46"/>
      <c r="G19" s="46"/>
      <c r="H19" s="46"/>
      <c r="I19" s="46"/>
      <c r="J19" s="46"/>
      <c r="L19" s="22">
        <v>959623</v>
      </c>
      <c r="M19" s="16" t="s">
        <v>2115</v>
      </c>
      <c r="N19" s="32" t="s">
        <v>2100</v>
      </c>
      <c r="O19" s="51" t="s">
        <v>2101</v>
      </c>
      <c r="P19" s="34"/>
      <c r="Q19" s="38"/>
      <c r="R19" s="35" t="s">
        <v>33</v>
      </c>
      <c r="S19" s="35" t="s">
        <v>94</v>
      </c>
      <c r="T19" s="35" t="s">
        <v>35</v>
      </c>
      <c r="U19" s="34" t="s">
        <v>36</v>
      </c>
      <c r="V19" s="34"/>
    </row>
    <row r="20" spans="2:22">
      <c r="B20" s="21" t="s">
        <v>47</v>
      </c>
      <c r="C20" s="33" t="s">
        <v>28</v>
      </c>
      <c r="D20" s="29">
        <v>43364</v>
      </c>
      <c r="F20" s="46"/>
      <c r="G20" s="46"/>
      <c r="H20" s="46"/>
      <c r="I20" s="46"/>
      <c r="J20" s="46"/>
      <c r="L20" s="22">
        <v>102415</v>
      </c>
      <c r="M20" s="16" t="s">
        <v>2116</v>
      </c>
      <c r="N20" s="32" t="s">
        <v>2100</v>
      </c>
      <c r="O20" s="51" t="s">
        <v>2101</v>
      </c>
      <c r="P20" s="34"/>
      <c r="Q20" s="38"/>
      <c r="R20" s="35" t="s">
        <v>33</v>
      </c>
      <c r="S20" s="35" t="s">
        <v>94</v>
      </c>
      <c r="T20" s="35" t="s">
        <v>35</v>
      </c>
      <c r="U20" s="34" t="s">
        <v>36</v>
      </c>
      <c r="V20" s="34"/>
    </row>
    <row r="21" spans="2:22">
      <c r="B21" s="21" t="s">
        <v>47</v>
      </c>
      <c r="C21" s="33" t="s">
        <v>28</v>
      </c>
      <c r="D21" s="29">
        <v>43364</v>
      </c>
      <c r="F21" s="46"/>
      <c r="G21" s="46"/>
      <c r="H21" s="46"/>
      <c r="I21" s="46"/>
      <c r="J21" s="46"/>
      <c r="L21" s="22">
        <v>1030213</v>
      </c>
      <c r="M21" s="16" t="s">
        <v>2117</v>
      </c>
      <c r="N21" s="32" t="s">
        <v>2100</v>
      </c>
      <c r="O21" s="51" t="s">
        <v>2101</v>
      </c>
      <c r="P21" s="34"/>
      <c r="Q21" s="38"/>
      <c r="R21" s="35" t="s">
        <v>33</v>
      </c>
      <c r="S21" s="35" t="s">
        <v>94</v>
      </c>
      <c r="T21" s="35" t="s">
        <v>35</v>
      </c>
      <c r="U21" s="34" t="s">
        <v>36</v>
      </c>
      <c r="V21" s="34"/>
    </row>
    <row r="22" spans="2:22">
      <c r="B22" s="21" t="s">
        <v>47</v>
      </c>
      <c r="C22" s="33" t="s">
        <v>28</v>
      </c>
      <c r="D22" s="29">
        <v>43364</v>
      </c>
      <c r="F22" s="46"/>
      <c r="G22" s="46"/>
      <c r="H22" s="46"/>
      <c r="I22" s="46"/>
      <c r="J22" s="46"/>
      <c r="L22" s="22">
        <v>1030107</v>
      </c>
      <c r="M22" s="16" t="s">
        <v>2118</v>
      </c>
      <c r="N22" s="32" t="s">
        <v>2100</v>
      </c>
      <c r="O22" s="51" t="s">
        <v>2101</v>
      </c>
      <c r="P22" s="34"/>
      <c r="Q22" s="38"/>
      <c r="R22" s="35" t="s">
        <v>33</v>
      </c>
      <c r="S22" s="35" t="s">
        <v>94</v>
      </c>
      <c r="T22" s="35" t="s">
        <v>35</v>
      </c>
      <c r="U22" s="34" t="s">
        <v>36</v>
      </c>
      <c r="V22" s="34"/>
    </row>
    <row r="23" spans="2:22">
      <c r="B23" s="21" t="s">
        <v>47</v>
      </c>
      <c r="C23" s="33" t="s">
        <v>28</v>
      </c>
      <c r="D23" s="29">
        <v>43364</v>
      </c>
      <c r="F23" s="46"/>
      <c r="G23" s="46"/>
      <c r="H23" s="46"/>
      <c r="I23" s="46"/>
      <c r="J23" s="46"/>
      <c r="L23" s="22">
        <v>1030022</v>
      </c>
      <c r="M23" s="16" t="s">
        <v>2119</v>
      </c>
      <c r="N23" s="32" t="s">
        <v>2100</v>
      </c>
      <c r="O23" s="51" t="s">
        <v>2101</v>
      </c>
      <c r="P23" s="34"/>
      <c r="Q23" s="38"/>
      <c r="R23" s="35" t="s">
        <v>33</v>
      </c>
      <c r="S23" s="35" t="s">
        <v>94</v>
      </c>
      <c r="T23" s="35" t="s">
        <v>35</v>
      </c>
      <c r="U23" s="34" t="s">
        <v>36</v>
      </c>
      <c r="V23" s="34"/>
    </row>
    <row r="24" spans="2:22">
      <c r="B24" s="21" t="s">
        <v>47</v>
      </c>
      <c r="C24" s="33" t="s">
        <v>28</v>
      </c>
      <c r="D24" s="29">
        <v>43469</v>
      </c>
      <c r="F24" s="46"/>
      <c r="G24" s="46"/>
      <c r="H24" s="46"/>
      <c r="I24" s="46"/>
      <c r="J24" s="46"/>
      <c r="L24" s="22">
        <v>1971402</v>
      </c>
      <c r="M24" s="16" t="s">
        <v>2120</v>
      </c>
      <c r="N24" s="32" t="s">
        <v>2100</v>
      </c>
      <c r="O24" s="51" t="s">
        <v>2101</v>
      </c>
      <c r="P24" s="34"/>
      <c r="Q24" s="38"/>
      <c r="R24" s="35" t="s">
        <v>33</v>
      </c>
      <c r="S24" s="35" t="s">
        <v>94</v>
      </c>
      <c r="T24" s="35" t="s">
        <v>35</v>
      </c>
      <c r="U24" s="34" t="s">
        <v>36</v>
      </c>
      <c r="V24" s="34"/>
    </row>
    <row r="25" spans="2:22">
      <c r="B25" s="21" t="s">
        <v>47</v>
      </c>
      <c r="C25" s="33" t="s">
        <v>28</v>
      </c>
      <c r="D25" s="29">
        <v>43469</v>
      </c>
      <c r="F25" s="46"/>
      <c r="G25" s="46"/>
      <c r="H25" s="46"/>
      <c r="I25" s="46"/>
      <c r="J25" s="46"/>
      <c r="L25" s="22">
        <v>307040</v>
      </c>
      <c r="M25" s="16" t="s">
        <v>2121</v>
      </c>
      <c r="N25" s="32" t="s">
        <v>2100</v>
      </c>
      <c r="O25" s="51" t="s">
        <v>2101</v>
      </c>
      <c r="P25" s="34"/>
      <c r="Q25" s="38"/>
      <c r="R25" s="35" t="s">
        <v>33</v>
      </c>
      <c r="S25" s="35" t="s">
        <v>94</v>
      </c>
      <c r="T25" s="35" t="s">
        <v>35</v>
      </c>
      <c r="U25" s="34" t="s">
        <v>36</v>
      </c>
      <c r="V25" s="34"/>
    </row>
    <row r="26" spans="2:22">
      <c r="B26" s="21" t="s">
        <v>47</v>
      </c>
      <c r="C26" s="33" t="s">
        <v>28</v>
      </c>
      <c r="D26" s="29">
        <v>43469</v>
      </c>
      <c r="F26" s="46"/>
      <c r="G26" s="46"/>
      <c r="H26" s="46"/>
      <c r="I26" s="46"/>
      <c r="J26" s="46"/>
      <c r="L26" s="22">
        <v>1971401</v>
      </c>
      <c r="M26" s="16" t="s">
        <v>2122</v>
      </c>
      <c r="N26" s="32" t="s">
        <v>2100</v>
      </c>
      <c r="O26" s="51" t="s">
        <v>2101</v>
      </c>
      <c r="P26" s="34"/>
      <c r="Q26" s="38"/>
      <c r="R26" s="35" t="s">
        <v>33</v>
      </c>
      <c r="S26" s="35" t="s">
        <v>94</v>
      </c>
      <c r="T26" s="35" t="s">
        <v>35</v>
      </c>
      <c r="U26" s="34" t="s">
        <v>36</v>
      </c>
      <c r="V26" s="34"/>
    </row>
    <row r="27" spans="2:22">
      <c r="B27" s="21" t="s">
        <v>47</v>
      </c>
      <c r="C27" s="33" t="s">
        <v>28</v>
      </c>
      <c r="D27" s="29">
        <v>43469</v>
      </c>
      <c r="F27" s="46"/>
      <c r="G27" s="46"/>
      <c r="H27" s="46"/>
      <c r="I27" s="46"/>
      <c r="J27" s="46"/>
      <c r="L27" s="22">
        <v>1360302</v>
      </c>
      <c r="M27" s="16" t="s">
        <v>2123</v>
      </c>
      <c r="N27" s="32" t="s">
        <v>2100</v>
      </c>
      <c r="O27" s="51" t="s">
        <v>2101</v>
      </c>
      <c r="P27" s="34"/>
      <c r="Q27" s="38"/>
      <c r="R27" s="35" t="s">
        <v>33</v>
      </c>
      <c r="S27" s="35" t="s">
        <v>94</v>
      </c>
      <c r="T27" s="35" t="s">
        <v>35</v>
      </c>
      <c r="U27" s="34" t="s">
        <v>36</v>
      </c>
      <c r="V27" s="34"/>
    </row>
    <row r="28" spans="2:22">
      <c r="B28" s="21" t="s">
        <v>47</v>
      </c>
      <c r="C28" s="33" t="s">
        <v>28</v>
      </c>
      <c r="D28" s="29">
        <v>43469</v>
      </c>
      <c r="F28" s="46"/>
      <c r="G28" s="46"/>
      <c r="H28" s="46"/>
      <c r="I28" s="46"/>
      <c r="J28" s="46"/>
      <c r="L28" s="22">
        <v>1360303</v>
      </c>
      <c r="M28" s="16" t="s">
        <v>2124</v>
      </c>
      <c r="N28" s="32" t="s">
        <v>2100</v>
      </c>
      <c r="O28" s="51" t="s">
        <v>2101</v>
      </c>
      <c r="P28" s="34"/>
      <c r="Q28" s="38"/>
      <c r="R28" s="35" t="s">
        <v>33</v>
      </c>
      <c r="S28" s="35" t="s">
        <v>94</v>
      </c>
      <c r="T28" s="35" t="s">
        <v>35</v>
      </c>
      <c r="U28" s="34" t="s">
        <v>36</v>
      </c>
      <c r="V28" s="34"/>
    </row>
    <row r="29" spans="2:22">
      <c r="B29" s="21" t="s">
        <v>47</v>
      </c>
      <c r="C29" s="33" t="s">
        <v>28</v>
      </c>
      <c r="D29" s="29">
        <v>43469</v>
      </c>
      <c r="F29" s="46"/>
      <c r="G29" s="46"/>
      <c r="H29" s="46"/>
      <c r="I29" s="46"/>
      <c r="J29" s="46"/>
      <c r="L29" s="22">
        <v>1985902</v>
      </c>
      <c r="M29" s="16" t="s">
        <v>2125</v>
      </c>
      <c r="N29" s="32" t="s">
        <v>2100</v>
      </c>
      <c r="O29" s="51" t="s">
        <v>2101</v>
      </c>
      <c r="P29" s="34"/>
      <c r="Q29" s="38"/>
      <c r="R29" s="35" t="s">
        <v>33</v>
      </c>
      <c r="S29" s="35" t="s">
        <v>94</v>
      </c>
      <c r="T29" s="35" t="s">
        <v>35</v>
      </c>
      <c r="U29" s="34" t="s">
        <v>36</v>
      </c>
      <c r="V29" s="34"/>
    </row>
    <row r="30" spans="2:22">
      <c r="B30" s="21" t="s">
        <v>47</v>
      </c>
      <c r="C30" s="33" t="s">
        <v>28</v>
      </c>
      <c r="D30" s="29">
        <v>43469</v>
      </c>
      <c r="F30" s="46"/>
      <c r="G30" s="46"/>
      <c r="H30" s="46"/>
      <c r="I30" s="46"/>
      <c r="J30" s="46"/>
      <c r="L30" s="22">
        <v>1986001</v>
      </c>
      <c r="M30" s="16" t="s">
        <v>2126</v>
      </c>
      <c r="N30" s="32" t="s">
        <v>2100</v>
      </c>
      <c r="O30" s="51" t="s">
        <v>2101</v>
      </c>
      <c r="P30" s="34"/>
      <c r="Q30" s="38"/>
      <c r="R30" s="35" t="s">
        <v>33</v>
      </c>
      <c r="S30" s="35" t="s">
        <v>94</v>
      </c>
      <c r="T30" s="35" t="s">
        <v>35</v>
      </c>
      <c r="U30" s="34" t="s">
        <v>36</v>
      </c>
      <c r="V30" s="34"/>
    </row>
    <row r="31" spans="2:22">
      <c r="B31" s="21" t="s">
        <v>47</v>
      </c>
      <c r="C31" s="33" t="s">
        <v>28</v>
      </c>
      <c r="D31" s="29">
        <v>43469</v>
      </c>
      <c r="F31" s="46"/>
      <c r="G31" s="46"/>
      <c r="H31" s="46"/>
      <c r="I31" s="46"/>
      <c r="J31" s="46"/>
      <c r="L31" s="22">
        <v>1985901</v>
      </c>
      <c r="M31" s="16" t="s">
        <v>2127</v>
      </c>
      <c r="N31" s="32" t="s">
        <v>2100</v>
      </c>
      <c r="O31" s="51" t="s">
        <v>2101</v>
      </c>
      <c r="P31" s="34"/>
      <c r="Q31" s="38"/>
      <c r="R31" s="35" t="s">
        <v>33</v>
      </c>
      <c r="S31" s="35" t="s">
        <v>94</v>
      </c>
      <c r="T31" s="35" t="s">
        <v>35</v>
      </c>
      <c r="U31" s="34" t="s">
        <v>36</v>
      </c>
      <c r="V31" s="34"/>
    </row>
    <row r="32" spans="2:22">
      <c r="B32" s="21" t="s">
        <v>47</v>
      </c>
      <c r="C32" s="33" t="s">
        <v>28</v>
      </c>
      <c r="D32" s="29">
        <v>43655</v>
      </c>
      <c r="F32" s="46"/>
      <c r="G32" s="46"/>
      <c r="H32" s="46"/>
      <c r="I32" s="46"/>
      <c r="J32" s="46"/>
      <c r="L32" s="22">
        <v>694214</v>
      </c>
      <c r="M32" s="16" t="s">
        <v>2128</v>
      </c>
      <c r="N32" s="32" t="s">
        <v>2100</v>
      </c>
      <c r="O32" s="53" t="s">
        <v>2101</v>
      </c>
      <c r="P32" s="34"/>
      <c r="Q32" s="34"/>
      <c r="R32" s="28" t="s">
        <v>33</v>
      </c>
      <c r="S32" s="28" t="s">
        <v>94</v>
      </c>
      <c r="T32" s="28" t="s">
        <v>35</v>
      </c>
      <c r="U32" s="34" t="s">
        <v>36</v>
      </c>
      <c r="V32" s="34"/>
    </row>
    <row r="33" spans="2:22">
      <c r="B33" s="21" t="s">
        <v>47</v>
      </c>
      <c r="C33" s="33" t="s">
        <v>28</v>
      </c>
      <c r="D33" s="29">
        <v>43655</v>
      </c>
      <c r="F33" s="46"/>
      <c r="G33" s="46"/>
      <c r="H33" s="46"/>
      <c r="I33" s="46"/>
      <c r="J33" s="46"/>
      <c r="L33" s="22">
        <v>564306</v>
      </c>
      <c r="M33" s="16" t="s">
        <v>2129</v>
      </c>
      <c r="N33" s="32" t="s">
        <v>2100</v>
      </c>
      <c r="O33" s="53" t="s">
        <v>2101</v>
      </c>
      <c r="P33" s="34"/>
      <c r="Q33" s="34"/>
      <c r="R33" s="28" t="s">
        <v>33</v>
      </c>
      <c r="S33" s="28" t="s">
        <v>94</v>
      </c>
      <c r="T33" s="28" t="s">
        <v>35</v>
      </c>
      <c r="U33" s="34" t="s">
        <v>36</v>
      </c>
      <c r="V33" s="34"/>
    </row>
    <row r="34" spans="2:22">
      <c r="B34" s="21" t="s">
        <v>47</v>
      </c>
      <c r="C34" s="33" t="s">
        <v>28</v>
      </c>
      <c r="D34" s="29">
        <v>43655</v>
      </c>
      <c r="F34" s="46"/>
      <c r="G34" s="46"/>
      <c r="H34" s="46"/>
      <c r="I34" s="46"/>
      <c r="J34" s="46"/>
      <c r="L34" s="22">
        <v>603707</v>
      </c>
      <c r="M34" s="16" t="s">
        <v>2130</v>
      </c>
      <c r="N34" s="32" t="s">
        <v>2100</v>
      </c>
      <c r="O34" s="53" t="s">
        <v>2101</v>
      </c>
      <c r="P34" s="34"/>
      <c r="Q34" s="34"/>
      <c r="R34" s="28" t="s">
        <v>33</v>
      </c>
      <c r="S34" s="28" t="s">
        <v>94</v>
      </c>
      <c r="T34" s="28" t="s">
        <v>35</v>
      </c>
      <c r="U34" s="34" t="s">
        <v>36</v>
      </c>
      <c r="V34" s="34"/>
    </row>
    <row r="35" spans="2:22">
      <c r="B35" s="21" t="s">
        <v>47</v>
      </c>
      <c r="C35" s="33" t="s">
        <v>28</v>
      </c>
      <c r="D35" s="29">
        <v>43655</v>
      </c>
      <c r="F35" s="46"/>
      <c r="G35" s="46"/>
      <c r="H35" s="46"/>
      <c r="I35" s="46"/>
      <c r="J35" s="46"/>
      <c r="L35" s="22">
        <v>604004</v>
      </c>
      <c r="M35" s="16" t="s">
        <v>2131</v>
      </c>
      <c r="N35" s="32" t="s">
        <v>2100</v>
      </c>
      <c r="O35" s="53" t="s">
        <v>2101</v>
      </c>
      <c r="P35" s="34"/>
      <c r="Q35" s="34"/>
      <c r="R35" s="28" t="s">
        <v>33</v>
      </c>
      <c r="S35" s="28" t="s">
        <v>94</v>
      </c>
      <c r="T35" s="28" t="s">
        <v>35</v>
      </c>
      <c r="U35" s="34" t="s">
        <v>36</v>
      </c>
      <c r="V35" s="34"/>
    </row>
    <row r="36" spans="2:22">
      <c r="B36" s="21" t="s">
        <v>47</v>
      </c>
      <c r="C36" s="33" t="s">
        <v>28</v>
      </c>
      <c r="D36" s="29">
        <v>43655</v>
      </c>
      <c r="F36" s="46"/>
      <c r="G36" s="46"/>
      <c r="H36" s="46"/>
      <c r="I36" s="46"/>
      <c r="J36" s="46"/>
      <c r="L36" s="22">
        <v>859008</v>
      </c>
      <c r="M36" s="16" t="s">
        <v>2132</v>
      </c>
      <c r="N36" s="32" t="s">
        <v>2100</v>
      </c>
      <c r="O36" s="53" t="s">
        <v>2101</v>
      </c>
      <c r="P36" s="34"/>
      <c r="Q36" s="34"/>
      <c r="R36" s="28" t="s">
        <v>33</v>
      </c>
      <c r="S36" s="28" t="s">
        <v>92</v>
      </c>
      <c r="T36" s="28" t="s">
        <v>35</v>
      </c>
      <c r="U36" s="34" t="s">
        <v>102</v>
      </c>
      <c r="V36" s="34"/>
    </row>
    <row r="37" spans="2:22">
      <c r="B37" s="21" t="s">
        <v>47</v>
      </c>
      <c r="C37" s="33" t="s">
        <v>28</v>
      </c>
      <c r="D37" s="29">
        <v>43655</v>
      </c>
      <c r="F37" s="46"/>
      <c r="G37" s="46"/>
      <c r="H37" s="46"/>
      <c r="I37" s="46"/>
      <c r="J37" s="46"/>
      <c r="L37" s="22">
        <v>161207</v>
      </c>
      <c r="M37" s="16" t="s">
        <v>2133</v>
      </c>
      <c r="N37" s="32" t="s">
        <v>2100</v>
      </c>
      <c r="O37" s="53" t="s">
        <v>2101</v>
      </c>
      <c r="P37" s="34"/>
      <c r="Q37" s="34"/>
      <c r="R37" s="28" t="s">
        <v>33</v>
      </c>
      <c r="S37" s="28" t="s">
        <v>92</v>
      </c>
      <c r="T37" s="28" t="s">
        <v>35</v>
      </c>
      <c r="U37" s="34" t="s">
        <v>102</v>
      </c>
      <c r="V37" s="34"/>
    </row>
    <row r="38" spans="2:22">
      <c r="B38" s="21" t="s">
        <v>47</v>
      </c>
      <c r="C38" s="33" t="s">
        <v>28</v>
      </c>
      <c r="D38" s="29">
        <v>43655</v>
      </c>
      <c r="F38" s="46"/>
      <c r="G38" s="46"/>
      <c r="H38" s="46"/>
      <c r="I38" s="46"/>
      <c r="J38" s="46"/>
      <c r="L38" s="22">
        <v>248607</v>
      </c>
      <c r="M38" s="16" t="s">
        <v>2134</v>
      </c>
      <c r="N38" s="32" t="s">
        <v>2100</v>
      </c>
      <c r="O38" s="53" t="s">
        <v>2101</v>
      </c>
      <c r="P38" s="34"/>
      <c r="Q38" s="34"/>
      <c r="R38" s="28" t="s">
        <v>33</v>
      </c>
      <c r="S38" s="28" t="s">
        <v>94</v>
      </c>
      <c r="T38" s="28" t="s">
        <v>35</v>
      </c>
      <c r="U38" s="34" t="s">
        <v>36</v>
      </c>
      <c r="V38" s="34"/>
    </row>
    <row r="39" spans="2:22">
      <c r="B39" s="21" t="s">
        <v>47</v>
      </c>
      <c r="C39" s="33" t="s">
        <v>28</v>
      </c>
      <c r="D39" s="29">
        <v>43655</v>
      </c>
      <c r="F39" s="46"/>
      <c r="G39" s="46"/>
      <c r="H39" s="46"/>
      <c r="I39" s="46"/>
      <c r="J39" s="46"/>
      <c r="L39" s="22">
        <v>694106</v>
      </c>
      <c r="M39" s="16" t="s">
        <v>2135</v>
      </c>
      <c r="N39" s="32" t="s">
        <v>2100</v>
      </c>
      <c r="O39" s="53" t="s">
        <v>2101</v>
      </c>
      <c r="P39" s="34"/>
      <c r="Q39" s="34"/>
      <c r="R39" s="28" t="s">
        <v>33</v>
      </c>
      <c r="S39" s="28" t="s">
        <v>92</v>
      </c>
      <c r="T39" s="28" t="s">
        <v>35</v>
      </c>
      <c r="U39" s="34" t="s">
        <v>102</v>
      </c>
      <c r="V39" s="34"/>
    </row>
    <row r="40" spans="2:22">
      <c r="B40" s="21" t="s">
        <v>47</v>
      </c>
      <c r="C40" s="33" t="s">
        <v>28</v>
      </c>
      <c r="D40" s="29">
        <v>43655</v>
      </c>
      <c r="F40" s="46"/>
      <c r="G40" s="46"/>
      <c r="H40" s="46"/>
      <c r="I40" s="46"/>
      <c r="J40" s="46"/>
      <c r="L40" s="22">
        <v>1858505</v>
      </c>
      <c r="M40" s="16" t="s">
        <v>2136</v>
      </c>
      <c r="N40" s="32" t="s">
        <v>2100</v>
      </c>
      <c r="O40" s="53" t="s">
        <v>2101</v>
      </c>
      <c r="P40" s="34"/>
      <c r="Q40" s="34"/>
      <c r="R40" s="28" t="s">
        <v>33</v>
      </c>
      <c r="S40" s="28" t="s">
        <v>94</v>
      </c>
      <c r="T40" s="28" t="s">
        <v>35</v>
      </c>
      <c r="U40" s="34" t="s">
        <v>36</v>
      </c>
      <c r="V40" s="34"/>
    </row>
    <row r="41" spans="2:22">
      <c r="B41" s="21" t="s">
        <v>47</v>
      </c>
      <c r="C41" s="33" t="s">
        <v>28</v>
      </c>
      <c r="D41" s="29">
        <v>43655</v>
      </c>
      <c r="F41" s="46"/>
      <c r="G41" s="46"/>
      <c r="H41" s="46"/>
      <c r="I41" s="46"/>
      <c r="J41" s="46"/>
      <c r="L41" s="22">
        <v>1858605</v>
      </c>
      <c r="M41" s="16" t="s">
        <v>2137</v>
      </c>
      <c r="N41" s="32" t="s">
        <v>2100</v>
      </c>
      <c r="O41" s="53" t="s">
        <v>2101</v>
      </c>
      <c r="P41" s="34"/>
      <c r="Q41" s="34"/>
      <c r="R41" s="28" t="s">
        <v>33</v>
      </c>
      <c r="S41" s="28" t="s">
        <v>94</v>
      </c>
      <c r="T41" s="28" t="s">
        <v>35</v>
      </c>
      <c r="U41" s="34" t="s">
        <v>36</v>
      </c>
      <c r="V41" s="34"/>
    </row>
    <row r="42" spans="2:22">
      <c r="B42" s="21" t="s">
        <v>47</v>
      </c>
      <c r="C42" s="33" t="s">
        <v>28</v>
      </c>
      <c r="D42" s="29">
        <v>43727</v>
      </c>
      <c r="F42" s="46"/>
      <c r="G42" s="46"/>
      <c r="L42" s="22">
        <v>11118</v>
      </c>
      <c r="M42" s="16" t="s">
        <v>2138</v>
      </c>
      <c r="N42" s="32" t="s">
        <v>2100</v>
      </c>
      <c r="V42" s="34"/>
    </row>
    <row r="43" spans="2:22">
      <c r="B43" s="21" t="s">
        <v>47</v>
      </c>
      <c r="C43" s="33" t="s">
        <v>28</v>
      </c>
      <c r="D43" s="29">
        <v>43727</v>
      </c>
      <c r="F43" s="46"/>
      <c r="G43" s="46"/>
      <c r="L43" s="22">
        <v>379905</v>
      </c>
      <c r="M43" s="16" t="s">
        <v>2139</v>
      </c>
      <c r="N43" s="32" t="s">
        <v>2100</v>
      </c>
      <c r="V43" s="34"/>
    </row>
    <row r="44" spans="2:22">
      <c r="B44" s="21" t="s">
        <v>47</v>
      </c>
      <c r="C44" s="33" t="s">
        <v>28</v>
      </c>
      <c r="D44" s="29">
        <v>43727</v>
      </c>
      <c r="F44" s="46"/>
      <c r="G44" s="46"/>
      <c r="L44" s="22">
        <v>694107</v>
      </c>
      <c r="M44" s="16" t="s">
        <v>2140</v>
      </c>
      <c r="N44" s="32" t="s">
        <v>2100</v>
      </c>
      <c r="V44" s="34"/>
    </row>
    <row r="45" spans="2:22">
      <c r="B45" s="21" t="s">
        <v>47</v>
      </c>
      <c r="C45" s="33" t="s">
        <v>28</v>
      </c>
      <c r="D45" s="29">
        <v>43727</v>
      </c>
      <c r="F45" s="46"/>
      <c r="G45" s="46"/>
      <c r="L45" s="22">
        <v>694108</v>
      </c>
      <c r="M45" s="16" t="s">
        <v>2141</v>
      </c>
      <c r="N45" s="32" t="s">
        <v>2100</v>
      </c>
      <c r="V45" s="34"/>
    </row>
    <row r="46" spans="2:22">
      <c r="B46" s="21" t="s">
        <v>47</v>
      </c>
      <c r="C46" s="33" t="s">
        <v>28</v>
      </c>
      <c r="D46" s="29">
        <v>43727</v>
      </c>
      <c r="F46" s="46"/>
      <c r="G46" s="46"/>
      <c r="L46" s="22">
        <v>859009</v>
      </c>
      <c r="M46" s="16" t="s">
        <v>2142</v>
      </c>
      <c r="N46" s="32" t="s">
        <v>2100</v>
      </c>
      <c r="V46" s="34"/>
    </row>
    <row r="47" spans="2:22">
      <c r="B47" s="21" t="s">
        <v>47</v>
      </c>
      <c r="C47" s="33" t="s">
        <v>28</v>
      </c>
      <c r="D47" s="29">
        <v>43727</v>
      </c>
      <c r="F47" s="46"/>
      <c r="G47" s="46"/>
      <c r="L47" s="22">
        <v>859010</v>
      </c>
      <c r="M47" s="16" t="s">
        <v>2143</v>
      </c>
      <c r="N47" s="32" t="s">
        <v>2100</v>
      </c>
      <c r="V47" s="34"/>
    </row>
    <row r="48" spans="2:22">
      <c r="B48" s="21" t="s">
        <v>47</v>
      </c>
      <c r="C48" s="33" t="s">
        <v>28</v>
      </c>
      <c r="D48" s="29">
        <v>43727</v>
      </c>
      <c r="F48" s="46"/>
      <c r="G48" s="46"/>
      <c r="L48" s="22">
        <v>515004</v>
      </c>
      <c r="M48" s="16" t="s">
        <v>2144</v>
      </c>
      <c r="N48" s="32" t="s">
        <v>2100</v>
      </c>
      <c r="V48" s="34"/>
    </row>
    <row r="49" spans="2:22">
      <c r="B49" s="21" t="s">
        <v>47</v>
      </c>
      <c r="C49" s="33" t="s">
        <v>28</v>
      </c>
      <c r="D49" s="29">
        <v>43727</v>
      </c>
      <c r="F49" s="46"/>
      <c r="G49" s="46"/>
      <c r="L49" s="22">
        <v>161407</v>
      </c>
      <c r="M49" s="16" t="s">
        <v>2145</v>
      </c>
      <c r="N49" s="32" t="s">
        <v>2100</v>
      </c>
      <c r="V49" s="34"/>
    </row>
    <row r="50" spans="2:22">
      <c r="B50" s="21" t="s">
        <v>47</v>
      </c>
      <c r="C50" s="33" t="s">
        <v>28</v>
      </c>
      <c r="D50" s="29">
        <v>43727</v>
      </c>
      <c r="F50" s="46"/>
      <c r="G50" s="46"/>
      <c r="L50" s="22">
        <v>1147503</v>
      </c>
      <c r="M50" s="16" t="s">
        <v>2146</v>
      </c>
      <c r="N50" s="32" t="s">
        <v>2100</v>
      </c>
      <c r="V50" s="34"/>
    </row>
    <row r="51" spans="2:22">
      <c r="B51" s="21" t="s">
        <v>47</v>
      </c>
      <c r="C51" s="33" t="s">
        <v>28</v>
      </c>
      <c r="D51" s="29">
        <v>43727</v>
      </c>
      <c r="F51" s="46"/>
      <c r="G51" s="46"/>
      <c r="L51" s="22">
        <v>913207</v>
      </c>
      <c r="M51" s="16" t="s">
        <v>2147</v>
      </c>
      <c r="N51" s="32" t="s">
        <v>2100</v>
      </c>
      <c r="V51" s="34"/>
    </row>
    <row r="52" spans="2:22">
      <c r="B52" s="21" t="s">
        <v>47</v>
      </c>
      <c r="C52" s="33" t="s">
        <v>28</v>
      </c>
      <c r="D52" s="29">
        <v>43727</v>
      </c>
      <c r="F52" s="46"/>
      <c r="G52" s="46"/>
      <c r="L52" s="39">
        <v>1147002</v>
      </c>
      <c r="M52" s="16" t="s">
        <v>2148</v>
      </c>
      <c r="N52" s="32" t="s">
        <v>2100</v>
      </c>
      <c r="V52" s="34"/>
    </row>
    <row r="53" spans="2:22">
      <c r="B53" s="21" t="s">
        <v>47</v>
      </c>
      <c r="C53" s="33" t="s">
        <v>28</v>
      </c>
      <c r="D53" s="57">
        <v>43756</v>
      </c>
      <c r="F53" s="46"/>
      <c r="G53" s="46"/>
      <c r="L53" s="39">
        <v>694109</v>
      </c>
      <c r="M53" s="16" t="s">
        <v>2149</v>
      </c>
      <c r="N53" s="32" t="s">
        <v>2100</v>
      </c>
      <c r="O53" s="34"/>
      <c r="P53" s="34"/>
      <c r="Q53" s="34"/>
      <c r="R53" s="34"/>
      <c r="S53" s="34"/>
      <c r="T53" s="34"/>
      <c r="U53" s="34"/>
      <c r="V53" s="34"/>
    </row>
    <row r="54" spans="2:22">
      <c r="B54" s="21" t="s">
        <v>47</v>
      </c>
      <c r="C54" s="33" t="s">
        <v>28</v>
      </c>
      <c r="D54" s="57">
        <v>43756</v>
      </c>
      <c r="F54" s="46"/>
      <c r="G54" s="46"/>
      <c r="L54" s="39">
        <v>859011</v>
      </c>
      <c r="M54" s="16" t="s">
        <v>2150</v>
      </c>
      <c r="N54" s="32" t="s">
        <v>2100</v>
      </c>
      <c r="O54" s="34"/>
      <c r="P54" s="34"/>
      <c r="Q54" s="34"/>
      <c r="R54" s="34"/>
      <c r="S54" s="34"/>
      <c r="T54" s="34"/>
      <c r="U54" s="34"/>
      <c r="V54" s="34"/>
    </row>
    <row r="55" spans="2:22">
      <c r="B55" s="21" t="s">
        <v>47</v>
      </c>
      <c r="C55" s="33" t="s">
        <v>28</v>
      </c>
      <c r="D55" s="57">
        <v>43847</v>
      </c>
      <c r="F55" s="46"/>
      <c r="G55" s="46"/>
      <c r="L55" s="22">
        <v>2041001</v>
      </c>
      <c r="M55" s="56" t="s">
        <v>2151</v>
      </c>
      <c r="N55" s="32" t="s">
        <v>2100</v>
      </c>
      <c r="V55" s="34"/>
    </row>
    <row r="56" spans="2:22">
      <c r="B56" s="21" t="s">
        <v>47</v>
      </c>
      <c r="C56" s="33" t="s">
        <v>28</v>
      </c>
      <c r="D56" s="57">
        <v>43847</v>
      </c>
      <c r="F56" s="46"/>
      <c r="G56" s="46"/>
      <c r="L56" s="22">
        <v>1920802</v>
      </c>
      <c r="M56" s="56" t="s">
        <v>2152</v>
      </c>
      <c r="N56" s="32" t="s">
        <v>2100</v>
      </c>
      <c r="V56" s="34"/>
    </row>
    <row r="57" spans="2:22">
      <c r="B57" s="21" t="s">
        <v>47</v>
      </c>
      <c r="C57" s="33" t="s">
        <v>28</v>
      </c>
      <c r="D57" s="57">
        <v>43861</v>
      </c>
      <c r="F57" s="46"/>
      <c r="G57" s="46"/>
      <c r="L57" s="22">
        <v>2113701</v>
      </c>
      <c r="M57" s="56" t="s">
        <v>2153</v>
      </c>
      <c r="N57" s="32" t="s">
        <v>2100</v>
      </c>
      <c r="V57" s="34"/>
    </row>
    <row r="58" spans="2:22">
      <c r="B58" s="21" t="s">
        <v>47</v>
      </c>
      <c r="C58" s="33" t="s">
        <v>28</v>
      </c>
      <c r="D58" s="57">
        <v>43861</v>
      </c>
      <c r="F58" s="46"/>
      <c r="G58" s="46"/>
      <c r="L58" s="39">
        <v>2041001</v>
      </c>
      <c r="M58" s="56" t="s">
        <v>2154</v>
      </c>
      <c r="N58" s="32" t="s">
        <v>2100</v>
      </c>
      <c r="V58" s="34"/>
    </row>
    <row r="59" spans="2:22">
      <c r="B59" s="21" t="s">
        <v>47</v>
      </c>
      <c r="C59" s="33" t="s">
        <v>28</v>
      </c>
      <c r="D59" s="57">
        <v>43987</v>
      </c>
      <c r="F59" s="46"/>
      <c r="G59" s="46"/>
      <c r="L59" s="39">
        <v>175794</v>
      </c>
      <c r="M59" s="56" t="s">
        <v>2155</v>
      </c>
      <c r="N59" s="32" t="s">
        <v>2100</v>
      </c>
      <c r="V59" s="34"/>
    </row>
    <row r="60" spans="2:22">
      <c r="B60" s="21" t="s">
        <v>47</v>
      </c>
      <c r="C60" s="33" t="s">
        <v>28</v>
      </c>
      <c r="D60" s="57">
        <v>43987</v>
      </c>
      <c r="F60" s="46"/>
      <c r="G60" s="46"/>
      <c r="L60" s="39">
        <v>2010902</v>
      </c>
      <c r="M60" s="56" t="s">
        <v>2156</v>
      </c>
      <c r="N60" s="32" t="s">
        <v>2100</v>
      </c>
      <c r="V60" s="34"/>
    </row>
    <row r="61" spans="2:22">
      <c r="B61" s="21" t="s">
        <v>47</v>
      </c>
      <c r="C61" s="33" t="s">
        <v>28</v>
      </c>
      <c r="D61" s="57">
        <v>43987</v>
      </c>
      <c r="F61" s="46"/>
      <c r="G61" s="46"/>
      <c r="L61" s="39">
        <v>2011002</v>
      </c>
      <c r="M61" s="56" t="s">
        <v>2157</v>
      </c>
      <c r="N61" s="32" t="s">
        <v>2100</v>
      </c>
      <c r="V61" s="34"/>
    </row>
    <row r="62" spans="2:22">
      <c r="B62" s="21" t="s">
        <v>47</v>
      </c>
      <c r="C62" s="33" t="s">
        <v>28</v>
      </c>
      <c r="D62" s="57">
        <v>43987</v>
      </c>
      <c r="F62" s="46"/>
      <c r="G62" s="46"/>
      <c r="L62" s="82">
        <v>1325101</v>
      </c>
      <c r="M62" s="56" t="s">
        <v>2158</v>
      </c>
      <c r="N62" s="32" t="s">
        <v>2100</v>
      </c>
      <c r="V62" s="34"/>
    </row>
    <row r="63" spans="2:22">
      <c r="B63" s="21" t="s">
        <v>47</v>
      </c>
      <c r="C63" s="33" t="s">
        <v>28</v>
      </c>
      <c r="D63" s="57">
        <v>43987</v>
      </c>
      <c r="F63" s="46"/>
      <c r="G63" s="46"/>
      <c r="L63" s="82">
        <v>1325116</v>
      </c>
      <c r="M63" s="56" t="s">
        <v>2159</v>
      </c>
      <c r="N63" s="32" t="s">
        <v>2100</v>
      </c>
      <c r="V63" s="34"/>
    </row>
    <row r="64" spans="2:22">
      <c r="B64" s="21" t="s">
        <v>47</v>
      </c>
      <c r="C64" s="33" t="s">
        <v>28</v>
      </c>
      <c r="D64" s="57">
        <v>43987</v>
      </c>
      <c r="F64" s="46"/>
      <c r="G64" s="46"/>
      <c r="L64" s="39">
        <v>1324934</v>
      </c>
      <c r="M64" s="56" t="s">
        <v>2160</v>
      </c>
      <c r="N64" s="32" t="s">
        <v>2100</v>
      </c>
      <c r="V64" s="34"/>
    </row>
    <row r="65" spans="2:22">
      <c r="B65" s="21" t="s">
        <v>47</v>
      </c>
      <c r="C65" s="127" t="s">
        <v>2161</v>
      </c>
      <c r="D65" s="57">
        <v>43987</v>
      </c>
      <c r="F65" s="46"/>
      <c r="G65" s="46"/>
      <c r="L65" s="122">
        <v>5571</v>
      </c>
      <c r="M65" s="124" t="s">
        <v>2162</v>
      </c>
      <c r="N65" s="32" t="s">
        <v>2100</v>
      </c>
      <c r="V65" s="34"/>
    </row>
    <row r="66" spans="2:22">
      <c r="B66" s="21" t="s">
        <v>47</v>
      </c>
      <c r="C66" s="127" t="s">
        <v>2161</v>
      </c>
      <c r="D66" s="57">
        <v>43987</v>
      </c>
      <c r="F66" s="46"/>
      <c r="G66" s="46"/>
      <c r="L66" s="122">
        <v>5579</v>
      </c>
      <c r="M66" s="124" t="s">
        <v>2163</v>
      </c>
      <c r="N66" s="32" t="s">
        <v>2100</v>
      </c>
      <c r="V66" s="34"/>
    </row>
    <row r="67" spans="2:22">
      <c r="B67" s="21" t="s">
        <v>47</v>
      </c>
      <c r="C67" s="127" t="s">
        <v>2161</v>
      </c>
      <c r="D67" s="57">
        <v>43987</v>
      </c>
      <c r="F67" s="46"/>
      <c r="G67" s="46"/>
      <c r="L67" s="122">
        <v>225157</v>
      </c>
      <c r="M67" s="124" t="s">
        <v>2164</v>
      </c>
      <c r="N67" s="32" t="s">
        <v>2100</v>
      </c>
      <c r="V67" s="34"/>
    </row>
    <row r="68" spans="2:22">
      <c r="B68" s="21" t="s">
        <v>47</v>
      </c>
      <c r="C68" s="33" t="s">
        <v>28</v>
      </c>
      <c r="D68" s="57">
        <v>43987</v>
      </c>
      <c r="F68" s="46"/>
      <c r="G68" s="46"/>
      <c r="L68" s="82">
        <v>1324835</v>
      </c>
      <c r="M68" s="56" t="s">
        <v>2165</v>
      </c>
      <c r="N68" s="32" t="s">
        <v>2100</v>
      </c>
      <c r="V68" s="34"/>
    </row>
    <row r="69" spans="2:22">
      <c r="B69" s="21" t="s">
        <v>47</v>
      </c>
      <c r="C69" s="33" t="s">
        <v>28</v>
      </c>
      <c r="D69" s="57">
        <v>43987</v>
      </c>
      <c r="F69" s="46"/>
      <c r="G69" s="46"/>
      <c r="L69" s="289">
        <v>1636904</v>
      </c>
      <c r="M69" s="93" t="s">
        <v>2166</v>
      </c>
      <c r="N69" s="94" t="s">
        <v>2100</v>
      </c>
      <c r="V69" s="95"/>
    </row>
    <row r="70" spans="2:22">
      <c r="B70" s="21" t="s">
        <v>47</v>
      </c>
      <c r="C70" s="100" t="s">
        <v>28</v>
      </c>
      <c r="D70" s="47">
        <v>44008</v>
      </c>
      <c r="F70" s="46"/>
      <c r="G70" s="46"/>
      <c r="L70" s="39">
        <v>175794</v>
      </c>
      <c r="M70" s="16" t="s">
        <v>2155</v>
      </c>
      <c r="N70" s="32" t="s">
        <v>2100</v>
      </c>
      <c r="O70" s="34"/>
      <c r="P70" s="34"/>
      <c r="Q70" s="34"/>
      <c r="R70" s="96"/>
      <c r="S70" s="96"/>
      <c r="T70" s="34"/>
      <c r="U70" s="34"/>
      <c r="V70" s="34"/>
    </row>
    <row r="71" spans="2:22">
      <c r="B71" s="21" t="s">
        <v>47</v>
      </c>
      <c r="C71" s="100" t="s">
        <v>28</v>
      </c>
      <c r="D71" s="81">
        <v>44008</v>
      </c>
      <c r="F71" s="46"/>
      <c r="G71" s="46"/>
      <c r="L71" s="82">
        <v>592078</v>
      </c>
      <c r="M71" s="78" t="s">
        <v>2167</v>
      </c>
      <c r="N71" s="101" t="s">
        <v>2100</v>
      </c>
      <c r="O71" s="34"/>
      <c r="P71" s="34"/>
      <c r="Q71" s="34"/>
      <c r="R71" s="96"/>
      <c r="S71" s="96"/>
      <c r="T71" s="34"/>
      <c r="U71" s="34"/>
      <c r="V71" s="34"/>
    </row>
    <row r="72" spans="2:22">
      <c r="B72" s="21" t="s">
        <v>47</v>
      </c>
      <c r="C72" s="100" t="s">
        <v>28</v>
      </c>
      <c r="D72" s="47">
        <v>44015</v>
      </c>
      <c r="F72" s="46"/>
      <c r="G72" s="46"/>
      <c r="L72" s="39">
        <v>1326201</v>
      </c>
      <c r="M72" s="16" t="s">
        <v>2168</v>
      </c>
      <c r="N72" s="32" t="s">
        <v>2100</v>
      </c>
      <c r="O72" s="34"/>
      <c r="P72" s="34"/>
      <c r="Q72" s="34"/>
      <c r="R72" s="96"/>
      <c r="S72" s="96"/>
      <c r="T72" s="34"/>
      <c r="U72" s="34"/>
      <c r="V72" s="34"/>
    </row>
    <row r="73" spans="2:22">
      <c r="B73" s="21" t="s">
        <v>47</v>
      </c>
      <c r="C73" s="100" t="s">
        <v>28</v>
      </c>
      <c r="D73" s="47">
        <v>44099</v>
      </c>
      <c r="F73" s="46"/>
      <c r="G73" s="46"/>
      <c r="L73" s="39">
        <v>1111305</v>
      </c>
      <c r="M73" s="16" t="s">
        <v>2169</v>
      </c>
      <c r="N73" s="32" t="s">
        <v>2100</v>
      </c>
      <c r="O73" s="34"/>
      <c r="P73" s="34"/>
      <c r="Q73" s="34"/>
      <c r="R73" s="96"/>
      <c r="S73" s="96"/>
      <c r="T73" s="34"/>
      <c r="U73" s="34"/>
      <c r="V73" s="34"/>
    </row>
    <row r="74" spans="2:22">
      <c r="B74" s="21" t="s">
        <v>47</v>
      </c>
      <c r="C74" s="100" t="s">
        <v>28</v>
      </c>
      <c r="D74" s="47">
        <v>44099</v>
      </c>
      <c r="F74" s="46"/>
      <c r="G74" s="46"/>
      <c r="L74" s="39">
        <v>14604</v>
      </c>
      <c r="M74" s="16" t="s">
        <v>2170</v>
      </c>
      <c r="N74" s="32" t="s">
        <v>2100</v>
      </c>
      <c r="O74" s="34"/>
      <c r="P74" s="34"/>
      <c r="Q74" s="34"/>
      <c r="R74" s="96"/>
      <c r="S74" s="96"/>
      <c r="T74" s="34"/>
      <c r="U74" s="34"/>
      <c r="V74" s="34"/>
    </row>
    <row r="75" spans="2:22">
      <c r="B75" s="21" t="s">
        <v>47</v>
      </c>
      <c r="C75" s="100" t="s">
        <v>28</v>
      </c>
      <c r="D75" s="47">
        <v>44099</v>
      </c>
      <c r="F75" s="46"/>
      <c r="G75" s="46"/>
      <c r="L75" s="39">
        <v>517402</v>
      </c>
      <c r="M75" s="16" t="s">
        <v>2171</v>
      </c>
      <c r="N75" s="32" t="s">
        <v>2100</v>
      </c>
      <c r="O75" s="34"/>
      <c r="P75" s="34"/>
      <c r="Q75" s="34"/>
      <c r="R75" s="96"/>
      <c r="S75" s="96"/>
      <c r="T75" s="34"/>
      <c r="U75" s="34"/>
      <c r="V75" s="34"/>
    </row>
    <row r="76" spans="2:22">
      <c r="B76" s="21" t="s">
        <v>47</v>
      </c>
      <c r="C76" s="100" t="s">
        <v>28</v>
      </c>
      <c r="D76" s="47">
        <v>44099</v>
      </c>
      <c r="F76" s="46"/>
      <c r="G76" s="46"/>
      <c r="L76" s="39">
        <v>1550701</v>
      </c>
      <c r="M76" s="16" t="s">
        <v>2172</v>
      </c>
      <c r="N76" s="32" t="s">
        <v>2100</v>
      </c>
      <c r="O76" s="34"/>
      <c r="P76" s="34"/>
      <c r="Q76" s="34"/>
      <c r="R76" s="96"/>
      <c r="S76" s="96"/>
      <c r="T76" s="34"/>
      <c r="U76" s="34"/>
      <c r="V76" s="34"/>
    </row>
    <row r="77" spans="2:22">
      <c r="B77" s="21" t="s">
        <v>47</v>
      </c>
      <c r="C77" s="100" t="s">
        <v>28</v>
      </c>
      <c r="D77" s="47">
        <v>44099</v>
      </c>
      <c r="F77" s="46"/>
      <c r="G77" s="46"/>
      <c r="L77" s="39">
        <v>225011</v>
      </c>
      <c r="M77" s="16" t="s">
        <v>2173</v>
      </c>
      <c r="N77" s="32" t="s">
        <v>2100</v>
      </c>
      <c r="O77" s="34"/>
      <c r="P77" s="34"/>
      <c r="Q77" s="34"/>
      <c r="R77" s="96"/>
      <c r="S77" s="96"/>
      <c r="T77" s="34"/>
      <c r="U77" s="34"/>
      <c r="V77" s="34"/>
    </row>
    <row r="78" spans="2:22">
      <c r="B78" s="21" t="s">
        <v>47</v>
      </c>
      <c r="C78" s="100" t="s">
        <v>28</v>
      </c>
      <c r="D78" s="47">
        <v>44099</v>
      </c>
      <c r="F78" s="46"/>
      <c r="G78" s="46"/>
      <c r="L78" s="39">
        <v>225305</v>
      </c>
      <c r="M78" s="16" t="s">
        <v>2174</v>
      </c>
      <c r="N78" s="32" t="s">
        <v>2100</v>
      </c>
      <c r="O78" s="34"/>
      <c r="P78" s="34"/>
      <c r="Q78" s="34"/>
      <c r="R78" s="96"/>
      <c r="S78" s="96"/>
      <c r="T78" s="34"/>
      <c r="U78" s="34"/>
      <c r="V78" s="34"/>
    </row>
    <row r="79" spans="2:22">
      <c r="B79" s="21" t="s">
        <v>47</v>
      </c>
      <c r="C79" s="100" t="s">
        <v>28</v>
      </c>
      <c r="D79" s="47">
        <v>44155</v>
      </c>
      <c r="F79" s="46"/>
      <c r="G79" s="46"/>
      <c r="L79" s="39">
        <v>25235</v>
      </c>
      <c r="M79" s="16" t="s">
        <v>2175</v>
      </c>
      <c r="N79" s="32" t="s">
        <v>2100</v>
      </c>
      <c r="V79" s="34"/>
    </row>
    <row r="80" spans="2:22">
      <c r="B80" s="21" t="s">
        <v>47</v>
      </c>
      <c r="C80" s="100" t="s">
        <v>28</v>
      </c>
      <c r="D80" s="47">
        <v>44155</v>
      </c>
      <c r="F80" s="46"/>
      <c r="G80" s="46"/>
      <c r="L80" s="39">
        <v>25227</v>
      </c>
      <c r="M80" s="16" t="s">
        <v>2176</v>
      </c>
      <c r="N80" s="32" t="s">
        <v>2100</v>
      </c>
      <c r="V80" s="34"/>
    </row>
    <row r="81" spans="2:22">
      <c r="B81" s="21" t="s">
        <v>47</v>
      </c>
      <c r="C81" s="100" t="s">
        <v>28</v>
      </c>
      <c r="D81" s="47">
        <v>44155</v>
      </c>
      <c r="F81" s="46"/>
      <c r="G81" s="46"/>
      <c r="L81" s="39">
        <v>511909</v>
      </c>
      <c r="M81" s="16" t="s">
        <v>2177</v>
      </c>
      <c r="N81" s="32" t="s">
        <v>2100</v>
      </c>
      <c r="V81" s="34"/>
    </row>
    <row r="82" spans="2:22">
      <c r="B82" s="21" t="s">
        <v>47</v>
      </c>
      <c r="C82" s="100" t="s">
        <v>28</v>
      </c>
      <c r="D82" s="47">
        <v>44155</v>
      </c>
      <c r="F82" s="46"/>
      <c r="G82" s="46"/>
      <c r="L82" s="39">
        <v>25448</v>
      </c>
      <c r="M82" s="16" t="s">
        <v>2178</v>
      </c>
      <c r="N82" s="32" t="s">
        <v>2100</v>
      </c>
      <c r="V82" s="34"/>
    </row>
    <row r="83" spans="2:22">
      <c r="B83" s="21" t="s">
        <v>47</v>
      </c>
      <c r="C83" s="100" t="s">
        <v>28</v>
      </c>
      <c r="D83" s="47">
        <v>44155</v>
      </c>
      <c r="F83" s="46"/>
      <c r="G83" s="46"/>
      <c r="L83" s="106">
        <v>25427</v>
      </c>
      <c r="M83" s="16" t="s">
        <v>2179</v>
      </c>
      <c r="N83" s="32" t="s">
        <v>2100</v>
      </c>
      <c r="V83" s="34"/>
    </row>
    <row r="84" spans="2:22">
      <c r="B84" s="21" t="s">
        <v>47</v>
      </c>
      <c r="C84" s="100" t="s">
        <v>28</v>
      </c>
      <c r="D84" s="47">
        <v>44155</v>
      </c>
      <c r="F84" s="46"/>
      <c r="G84" s="46"/>
      <c r="L84" s="39">
        <v>511965</v>
      </c>
      <c r="M84" s="16" t="s">
        <v>2180</v>
      </c>
      <c r="N84" s="32" t="s">
        <v>2100</v>
      </c>
      <c r="V84" s="34"/>
    </row>
    <row r="85" spans="2:22">
      <c r="B85" s="21" t="s">
        <v>47</v>
      </c>
      <c r="C85" s="100" t="s">
        <v>28</v>
      </c>
      <c r="D85" s="81">
        <v>44169</v>
      </c>
      <c r="F85" s="46"/>
      <c r="G85" s="46"/>
      <c r="L85" s="82">
        <v>25295</v>
      </c>
      <c r="M85" s="78" t="s">
        <v>2181</v>
      </c>
      <c r="N85" s="101" t="s">
        <v>2100</v>
      </c>
      <c r="O85" s="118"/>
      <c r="P85" s="118"/>
      <c r="Q85" s="118"/>
      <c r="R85" s="119"/>
      <c r="S85" s="119"/>
      <c r="T85" s="118"/>
      <c r="U85" s="118"/>
      <c r="V85" s="38"/>
    </row>
    <row r="86" spans="2:22">
      <c r="B86" s="21" t="s">
        <v>47</v>
      </c>
      <c r="C86" s="100" t="s">
        <v>28</v>
      </c>
      <c r="D86" s="81">
        <v>44169</v>
      </c>
      <c r="F86" s="46"/>
      <c r="G86" s="46"/>
      <c r="L86" s="82">
        <v>511966</v>
      </c>
      <c r="M86" s="78" t="s">
        <v>2182</v>
      </c>
      <c r="N86" s="125" t="s">
        <v>2100</v>
      </c>
      <c r="O86" s="118"/>
      <c r="P86" s="118"/>
      <c r="Q86" s="118"/>
      <c r="R86" s="119"/>
      <c r="S86" s="119"/>
      <c r="T86" s="118"/>
      <c r="U86" s="118"/>
      <c r="V86" s="126"/>
    </row>
    <row r="87" spans="2:22">
      <c r="B87" s="21" t="s">
        <v>47</v>
      </c>
      <c r="C87" s="46" t="s">
        <v>28</v>
      </c>
      <c r="D87" s="47">
        <v>44239</v>
      </c>
      <c r="F87" s="46"/>
      <c r="G87" s="46"/>
      <c r="L87" s="39">
        <v>564322</v>
      </c>
      <c r="M87" s="16" t="s">
        <v>2183</v>
      </c>
      <c r="N87" s="125" t="s">
        <v>2100</v>
      </c>
      <c r="O87" s="34"/>
      <c r="P87" s="34"/>
      <c r="Q87" s="34"/>
      <c r="R87" s="96"/>
      <c r="S87" s="96"/>
      <c r="T87" s="34"/>
      <c r="U87" s="34"/>
      <c r="V87" s="34"/>
    </row>
    <row r="88" spans="2:22">
      <c r="B88" s="21" t="s">
        <v>47</v>
      </c>
      <c r="C88" s="46" t="s">
        <v>28</v>
      </c>
      <c r="D88" s="47">
        <v>44239</v>
      </c>
      <c r="F88" s="46"/>
      <c r="G88" s="46"/>
      <c r="L88" s="39">
        <v>603758</v>
      </c>
      <c r="M88" s="16" t="s">
        <v>2184</v>
      </c>
      <c r="N88" s="125" t="s">
        <v>2100</v>
      </c>
      <c r="O88" s="34"/>
      <c r="P88" s="34"/>
      <c r="Q88" s="34"/>
      <c r="R88" s="96"/>
      <c r="S88" s="96"/>
      <c r="T88" s="34"/>
      <c r="U88" s="34"/>
      <c r="V88" s="34"/>
    </row>
    <row r="89" spans="2:22">
      <c r="B89" s="21" t="s">
        <v>47</v>
      </c>
      <c r="C89" s="46" t="s">
        <v>28</v>
      </c>
      <c r="D89" s="47">
        <v>44239</v>
      </c>
      <c r="F89" s="46"/>
      <c r="G89" s="46"/>
      <c r="L89" s="39">
        <v>913208</v>
      </c>
      <c r="M89" s="16" t="s">
        <v>2185</v>
      </c>
      <c r="N89" s="125" t="s">
        <v>2100</v>
      </c>
      <c r="O89" s="34"/>
      <c r="P89" s="34"/>
      <c r="Q89" s="34"/>
      <c r="R89" s="96"/>
      <c r="S89" s="96"/>
      <c r="T89" s="34"/>
      <c r="U89" s="34"/>
      <c r="V89" s="34"/>
    </row>
    <row r="90" spans="2:22">
      <c r="B90" s="21" t="s">
        <v>47</v>
      </c>
      <c r="C90" s="123" t="s">
        <v>293</v>
      </c>
      <c r="D90" s="47">
        <v>44239</v>
      </c>
      <c r="F90" s="46"/>
      <c r="G90" s="46"/>
      <c r="L90" s="82">
        <v>68101</v>
      </c>
      <c r="M90" s="16" t="s">
        <v>2186</v>
      </c>
      <c r="N90" s="125" t="s">
        <v>2100</v>
      </c>
      <c r="O90" s="34"/>
      <c r="P90" s="34"/>
      <c r="Q90" s="34"/>
      <c r="R90" s="96"/>
      <c r="S90" s="96"/>
      <c r="T90" s="34"/>
      <c r="U90" s="34"/>
      <c r="V90" s="34"/>
    </row>
    <row r="91" spans="2:22">
      <c r="B91" s="21" t="s">
        <v>47</v>
      </c>
      <c r="C91" s="46" t="s">
        <v>2161</v>
      </c>
      <c r="D91" s="47">
        <v>44239</v>
      </c>
      <c r="F91" s="46"/>
      <c r="G91" s="46"/>
      <c r="L91" s="39">
        <v>68001</v>
      </c>
      <c r="M91" s="16" t="s">
        <v>2187</v>
      </c>
      <c r="N91" s="125" t="s">
        <v>2100</v>
      </c>
      <c r="O91" s="95"/>
      <c r="P91" s="95"/>
      <c r="Q91" s="95"/>
      <c r="R91" s="132"/>
      <c r="S91" s="132"/>
      <c r="T91" s="95"/>
      <c r="U91" s="95"/>
      <c r="V91" s="95"/>
    </row>
    <row r="92" spans="2:22">
      <c r="B92" s="21" t="s">
        <v>47</v>
      </c>
      <c r="C92" s="46" t="s">
        <v>28</v>
      </c>
      <c r="D92" s="47">
        <v>44253</v>
      </c>
      <c r="F92" s="46"/>
      <c r="G92" s="46"/>
      <c r="L92" s="39">
        <v>2231901</v>
      </c>
      <c r="M92" s="16" t="s">
        <v>2188</v>
      </c>
      <c r="N92" s="32" t="s">
        <v>2100</v>
      </c>
      <c r="O92" s="34"/>
      <c r="P92" s="34"/>
      <c r="Q92" s="34"/>
      <c r="R92" s="96"/>
      <c r="S92" s="96"/>
      <c r="T92" s="34"/>
      <c r="U92" s="34"/>
      <c r="V92" s="34"/>
    </row>
    <row r="93" spans="2:22">
      <c r="B93" s="21" t="s">
        <v>47</v>
      </c>
      <c r="C93" s="46" t="s">
        <v>28</v>
      </c>
      <c r="D93" s="47">
        <v>44253</v>
      </c>
      <c r="F93" s="46"/>
      <c r="G93" s="46"/>
      <c r="L93" s="39">
        <v>2231801</v>
      </c>
      <c r="M93" s="16" t="s">
        <v>2189</v>
      </c>
      <c r="N93" s="32" t="s">
        <v>2100</v>
      </c>
      <c r="O93" s="34"/>
      <c r="P93" s="34"/>
      <c r="Q93" s="34"/>
      <c r="R93" s="96"/>
      <c r="S93" s="96"/>
      <c r="T93" s="34"/>
      <c r="U93" s="34"/>
      <c r="V93" s="34"/>
    </row>
    <row r="94" spans="2:22">
      <c r="B94" s="21" t="s">
        <v>47</v>
      </c>
      <c r="C94" s="46" t="s">
        <v>28</v>
      </c>
      <c r="D94" s="47">
        <v>44253</v>
      </c>
      <c r="F94" s="46"/>
      <c r="G94" s="46"/>
      <c r="L94" s="39">
        <v>2231701</v>
      </c>
      <c r="M94" s="16" t="s">
        <v>2190</v>
      </c>
      <c r="N94" s="32" t="s">
        <v>2100</v>
      </c>
      <c r="O94" s="34"/>
      <c r="P94" s="34"/>
      <c r="Q94" s="34"/>
      <c r="R94" s="96"/>
      <c r="S94" s="96"/>
      <c r="T94" s="34"/>
      <c r="U94" s="34"/>
      <c r="V94" s="34"/>
    </row>
    <row r="95" spans="2:22">
      <c r="B95" s="21" t="s">
        <v>47</v>
      </c>
      <c r="C95" s="46" t="s">
        <v>28</v>
      </c>
      <c r="D95" s="47">
        <v>44253</v>
      </c>
      <c r="F95" s="46"/>
      <c r="G95" s="46"/>
      <c r="L95" s="39">
        <v>2231601</v>
      </c>
      <c r="M95" s="16" t="s">
        <v>2191</v>
      </c>
      <c r="N95" s="32" t="s">
        <v>2100</v>
      </c>
      <c r="O95" s="34"/>
      <c r="P95" s="34"/>
      <c r="Q95" s="34"/>
      <c r="R95" s="96"/>
      <c r="S95" s="96"/>
      <c r="T95" s="34"/>
      <c r="U95" s="34"/>
      <c r="V95" s="34"/>
    </row>
    <row r="96" spans="2:22">
      <c r="B96" s="21" t="s">
        <v>47</v>
      </c>
      <c r="C96" s="46" t="s">
        <v>28</v>
      </c>
      <c r="D96" s="47">
        <v>44281</v>
      </c>
      <c r="F96" s="46"/>
      <c r="G96" s="46"/>
      <c r="L96" s="39">
        <v>517476</v>
      </c>
      <c r="M96" s="16" t="s">
        <v>2192</v>
      </c>
      <c r="N96" s="32" t="s">
        <v>2100</v>
      </c>
      <c r="O96" s="34"/>
      <c r="P96" s="34"/>
      <c r="Q96" s="34"/>
      <c r="R96" s="96"/>
      <c r="S96" s="96"/>
      <c r="T96" s="34"/>
      <c r="U96" s="34"/>
      <c r="V96" s="34"/>
    </row>
    <row r="97" spans="2:22">
      <c r="B97" s="21" t="s">
        <v>47</v>
      </c>
      <c r="C97" s="46" t="s">
        <v>28</v>
      </c>
      <c r="D97" s="47">
        <v>44281</v>
      </c>
      <c r="F97" s="46"/>
      <c r="G97" s="46"/>
      <c r="L97" s="39">
        <v>10420</v>
      </c>
      <c r="M97" s="16" t="s">
        <v>2193</v>
      </c>
      <c r="N97" s="32" t="s">
        <v>2100</v>
      </c>
      <c r="O97" s="34"/>
      <c r="P97" s="34"/>
      <c r="Q97" s="34"/>
      <c r="R97" s="96"/>
      <c r="S97" s="96"/>
      <c r="T97" s="34"/>
      <c r="U97" s="34"/>
      <c r="V97" s="34"/>
    </row>
    <row r="98" spans="2:22">
      <c r="B98" s="21" t="s">
        <v>47</v>
      </c>
      <c r="C98" s="46" t="s">
        <v>28</v>
      </c>
      <c r="D98" s="47">
        <v>44281</v>
      </c>
      <c r="F98" s="46"/>
      <c r="G98" s="46"/>
      <c r="L98" s="39">
        <v>1188058</v>
      </c>
      <c r="M98" s="16" t="s">
        <v>2194</v>
      </c>
      <c r="N98" s="32" t="s">
        <v>2100</v>
      </c>
      <c r="O98" s="34"/>
      <c r="P98" s="34"/>
      <c r="Q98" s="34"/>
      <c r="R98" s="96"/>
      <c r="S98" s="96"/>
      <c r="T98" s="34"/>
      <c r="U98" s="34"/>
      <c r="V98" s="34"/>
    </row>
    <row r="99" spans="2:22">
      <c r="B99" s="135" t="s">
        <v>47</v>
      </c>
      <c r="C99" s="136" t="s">
        <v>28</v>
      </c>
      <c r="D99" s="137">
        <v>44281</v>
      </c>
      <c r="F99" s="136"/>
      <c r="G99" s="136"/>
      <c r="L99" s="39">
        <v>14694</v>
      </c>
      <c r="M99" s="16" t="s">
        <v>2195</v>
      </c>
      <c r="N99" s="32" t="s">
        <v>2100</v>
      </c>
      <c r="O99" s="34"/>
      <c r="P99" s="34"/>
      <c r="Q99" s="34"/>
      <c r="R99" s="96"/>
      <c r="S99" s="96"/>
      <c r="T99" s="34"/>
      <c r="U99" s="34"/>
      <c r="V99" s="34"/>
    </row>
    <row r="100" spans="2:22">
      <c r="B100" s="135" t="s">
        <v>47</v>
      </c>
      <c r="C100" s="136" t="s">
        <v>28</v>
      </c>
      <c r="D100" s="137">
        <v>44281</v>
      </c>
      <c r="F100" s="46"/>
      <c r="G100" s="46"/>
      <c r="L100" s="39">
        <v>609222</v>
      </c>
      <c r="M100" s="16" t="s">
        <v>2196</v>
      </c>
      <c r="N100" s="32" t="s">
        <v>2100</v>
      </c>
      <c r="O100" s="34"/>
      <c r="P100" s="34"/>
      <c r="Q100" s="34"/>
      <c r="R100" s="96"/>
      <c r="S100" s="96"/>
      <c r="T100" s="34"/>
      <c r="U100" s="34"/>
      <c r="V100" s="34"/>
    </row>
    <row r="101" spans="2:22">
      <c r="B101" s="135" t="s">
        <v>47</v>
      </c>
      <c r="C101" s="136" t="s">
        <v>28</v>
      </c>
      <c r="D101" s="137">
        <v>44281</v>
      </c>
      <c r="F101" s="46"/>
      <c r="G101" s="46"/>
      <c r="L101" s="39">
        <v>25279</v>
      </c>
      <c r="M101" s="16" t="s">
        <v>2197</v>
      </c>
      <c r="N101" s="32" t="s">
        <v>2100</v>
      </c>
      <c r="O101" s="34"/>
      <c r="P101" s="34"/>
      <c r="Q101" s="34"/>
      <c r="R101" s="96"/>
      <c r="S101" s="96"/>
      <c r="T101" s="34"/>
      <c r="U101" s="34"/>
      <c r="V101" s="34"/>
    </row>
    <row r="102" spans="2:22">
      <c r="B102" s="135" t="s">
        <v>47</v>
      </c>
      <c r="C102" s="136" t="s">
        <v>28</v>
      </c>
      <c r="D102" s="137">
        <v>44281</v>
      </c>
      <c r="F102" s="46"/>
      <c r="G102" s="46"/>
      <c r="L102" s="39">
        <v>25278</v>
      </c>
      <c r="M102" s="16" t="s">
        <v>2198</v>
      </c>
      <c r="N102" s="32" t="s">
        <v>2100</v>
      </c>
      <c r="O102" s="34"/>
      <c r="P102" s="34"/>
      <c r="Q102" s="34"/>
      <c r="R102" s="96"/>
      <c r="S102" s="96"/>
      <c r="T102" s="34"/>
      <c r="U102" s="34"/>
      <c r="V102" s="34"/>
    </row>
    <row r="103" spans="2:22">
      <c r="B103" s="21" t="s">
        <v>47</v>
      </c>
      <c r="C103" s="46" t="s">
        <v>28</v>
      </c>
      <c r="D103" s="47">
        <v>44281</v>
      </c>
      <c r="F103" s="46"/>
      <c r="G103" s="46"/>
      <c r="L103" s="39">
        <v>1188050</v>
      </c>
      <c r="M103" s="16" t="s">
        <v>2199</v>
      </c>
      <c r="N103" s="32" t="s">
        <v>2100</v>
      </c>
      <c r="O103" s="34"/>
      <c r="P103" s="34"/>
      <c r="Q103" s="34"/>
      <c r="R103" s="96"/>
      <c r="S103" s="96"/>
      <c r="T103" s="34"/>
      <c r="U103" s="34"/>
      <c r="V103" s="34"/>
    </row>
    <row r="104" spans="2:22">
      <c r="B104" s="135" t="s">
        <v>47</v>
      </c>
      <c r="C104" s="136" t="s">
        <v>28</v>
      </c>
      <c r="D104" s="137">
        <v>44295</v>
      </c>
      <c r="F104" s="46"/>
      <c r="G104" s="46"/>
      <c r="L104" s="39">
        <v>502618</v>
      </c>
      <c r="M104" s="16" t="s">
        <v>2200</v>
      </c>
      <c r="N104" s="32" t="s">
        <v>2100</v>
      </c>
      <c r="O104" s="34"/>
      <c r="P104" s="34"/>
      <c r="Q104" s="34"/>
      <c r="R104" s="96"/>
      <c r="S104" s="96"/>
      <c r="T104" s="34"/>
      <c r="U104" s="34"/>
      <c r="V104" s="34"/>
    </row>
    <row r="105" spans="2:22">
      <c r="B105" s="135" t="s">
        <v>47</v>
      </c>
      <c r="C105" s="46" t="s">
        <v>28</v>
      </c>
      <c r="D105" s="47">
        <v>44295</v>
      </c>
      <c r="F105" s="46"/>
      <c r="G105" s="46"/>
      <c r="L105" s="39">
        <v>502617</v>
      </c>
      <c r="M105" s="16" t="s">
        <v>2201</v>
      </c>
      <c r="N105" s="32" t="s">
        <v>2100</v>
      </c>
      <c r="O105" s="34"/>
      <c r="P105" s="34"/>
      <c r="Q105" s="34"/>
      <c r="R105" s="96"/>
      <c r="S105" s="96"/>
      <c r="T105" s="34"/>
      <c r="U105" s="34"/>
      <c r="V105" s="34"/>
    </row>
    <row r="106" spans="2:22">
      <c r="B106" s="21" t="s">
        <v>47</v>
      </c>
      <c r="C106" s="46" t="s">
        <v>28</v>
      </c>
      <c r="D106" s="47">
        <v>44295</v>
      </c>
      <c r="F106" s="46"/>
      <c r="G106" s="46"/>
      <c r="L106" s="39">
        <v>517402</v>
      </c>
      <c r="M106" s="16" t="s">
        <v>2171</v>
      </c>
      <c r="N106" s="32" t="s">
        <v>2100</v>
      </c>
      <c r="O106" s="34"/>
      <c r="P106" s="34"/>
      <c r="Q106" s="34"/>
      <c r="R106" s="96"/>
      <c r="S106" s="96"/>
      <c r="T106" s="34"/>
      <c r="U106" s="34"/>
      <c r="V106" s="34"/>
    </row>
    <row r="107" spans="2:22">
      <c r="B107" s="21" t="s">
        <v>47</v>
      </c>
      <c r="C107" s="46" t="s">
        <v>28</v>
      </c>
      <c r="D107" s="47">
        <v>44302</v>
      </c>
      <c r="F107" s="46"/>
      <c r="G107" s="46"/>
      <c r="L107" s="39">
        <v>517479</v>
      </c>
      <c r="M107" s="16" t="s">
        <v>2202</v>
      </c>
      <c r="N107" s="32" t="s">
        <v>2100</v>
      </c>
      <c r="O107" s="34"/>
      <c r="P107" s="34"/>
      <c r="Q107" s="34"/>
      <c r="R107" s="96"/>
      <c r="S107" s="96"/>
      <c r="T107" s="34"/>
      <c r="U107" s="34"/>
      <c r="V107" s="34"/>
    </row>
    <row r="108" spans="2:22">
      <c r="B108" s="21" t="s">
        <v>47</v>
      </c>
      <c r="C108" s="46" t="s">
        <v>28</v>
      </c>
      <c r="D108" s="47">
        <v>44323</v>
      </c>
      <c r="F108" s="46"/>
      <c r="G108" s="46"/>
      <c r="L108" s="39">
        <v>1188041</v>
      </c>
      <c r="M108" s="16" t="s">
        <v>2203</v>
      </c>
      <c r="N108" s="32" t="s">
        <v>2100</v>
      </c>
      <c r="O108" s="34"/>
      <c r="P108" s="34"/>
      <c r="Q108" s="34"/>
      <c r="R108" s="96"/>
      <c r="S108" s="96"/>
      <c r="T108" s="34"/>
      <c r="U108" s="34"/>
      <c r="V108" s="34"/>
    </row>
    <row r="109" spans="2:22">
      <c r="B109" s="21" t="s">
        <v>47</v>
      </c>
      <c r="C109" s="46" t="s">
        <v>28</v>
      </c>
      <c r="D109" s="47">
        <v>44323</v>
      </c>
      <c r="F109" s="46"/>
      <c r="G109" s="46"/>
      <c r="L109" s="39" t="s">
        <v>2204</v>
      </c>
      <c r="M109" s="16" t="s">
        <v>2205</v>
      </c>
      <c r="N109" s="32" t="s">
        <v>2100</v>
      </c>
      <c r="O109" s="34"/>
      <c r="P109" s="34"/>
      <c r="Q109" s="34"/>
      <c r="R109" s="96"/>
      <c r="S109" s="96"/>
      <c r="T109" s="34"/>
      <c r="U109" s="34"/>
      <c r="V109" s="34"/>
    </row>
    <row r="110" spans="2:22">
      <c r="B110" s="21" t="s">
        <v>47</v>
      </c>
      <c r="C110" s="46" t="s">
        <v>28</v>
      </c>
      <c r="D110" s="47">
        <v>44344</v>
      </c>
      <c r="F110" s="46"/>
      <c r="G110" s="46"/>
      <c r="L110" s="39">
        <v>225038</v>
      </c>
      <c r="M110" s="16" t="s">
        <v>2206</v>
      </c>
      <c r="N110" s="32" t="s">
        <v>2100</v>
      </c>
      <c r="O110" s="34"/>
      <c r="P110" s="34"/>
      <c r="Q110" s="34"/>
      <c r="R110" s="96"/>
      <c r="S110" s="96"/>
      <c r="T110" s="34"/>
      <c r="U110" s="34"/>
      <c r="V110" s="34"/>
    </row>
    <row r="111" spans="2:22">
      <c r="B111" s="21" t="s">
        <v>47</v>
      </c>
      <c r="C111" s="46" t="s">
        <v>28</v>
      </c>
      <c r="D111" s="47">
        <v>44344</v>
      </c>
      <c r="F111" s="46"/>
      <c r="G111" s="46"/>
      <c r="L111" s="39">
        <v>25264</v>
      </c>
      <c r="M111" s="16" t="s">
        <v>2207</v>
      </c>
      <c r="N111" s="32" t="s">
        <v>2100</v>
      </c>
      <c r="O111" s="34"/>
      <c r="P111" s="34"/>
      <c r="Q111" s="34"/>
      <c r="R111" s="96"/>
      <c r="S111" s="96"/>
      <c r="T111" s="34"/>
      <c r="U111" s="34"/>
      <c r="V111" s="34"/>
    </row>
    <row r="112" spans="2:22">
      <c r="B112" s="21" t="s">
        <v>47</v>
      </c>
      <c r="C112" s="46" t="s">
        <v>28</v>
      </c>
      <c r="D112" s="47">
        <v>44344</v>
      </c>
      <c r="F112" s="46"/>
      <c r="G112" s="46"/>
      <c r="L112" s="39">
        <v>25228</v>
      </c>
      <c r="M112" s="16" t="s">
        <v>2208</v>
      </c>
      <c r="N112" s="32" t="s">
        <v>2100</v>
      </c>
      <c r="O112" s="34"/>
      <c r="P112" s="34"/>
      <c r="Q112" s="34"/>
      <c r="R112" s="96"/>
      <c r="S112" s="96"/>
      <c r="T112" s="34"/>
      <c r="U112" s="34"/>
      <c r="V112" s="34"/>
    </row>
    <row r="113" spans="2:22">
      <c r="B113" s="21" t="s">
        <v>47</v>
      </c>
      <c r="C113" s="46" t="s">
        <v>28</v>
      </c>
      <c r="D113" s="47">
        <v>44344</v>
      </c>
      <c r="F113" s="46"/>
      <c r="G113" s="46"/>
      <c r="L113" s="39">
        <v>1188015</v>
      </c>
      <c r="M113" s="16" t="s">
        <v>2209</v>
      </c>
      <c r="N113" s="32" t="s">
        <v>2100</v>
      </c>
      <c r="O113" s="34"/>
      <c r="P113" s="34"/>
      <c r="Q113" s="34"/>
      <c r="R113" s="96"/>
      <c r="S113" s="96"/>
      <c r="T113" s="34"/>
      <c r="U113" s="34"/>
      <c r="V113" s="34"/>
    </row>
    <row r="114" spans="2:22">
      <c r="B114" s="21" t="s">
        <v>47</v>
      </c>
      <c r="C114" s="123" t="s">
        <v>293</v>
      </c>
      <c r="D114" s="47">
        <v>44372</v>
      </c>
      <c r="F114" s="46"/>
      <c r="G114" s="46"/>
      <c r="L114" s="39">
        <v>913209</v>
      </c>
      <c r="M114" s="16" t="s">
        <v>2210</v>
      </c>
      <c r="N114" s="32" t="s">
        <v>2100</v>
      </c>
      <c r="O114" s="34"/>
      <c r="P114" s="34"/>
      <c r="Q114" s="34"/>
      <c r="R114" s="96"/>
      <c r="S114" s="96"/>
      <c r="T114" s="34"/>
      <c r="U114" s="34"/>
      <c r="V114" s="34"/>
    </row>
    <row r="115" spans="2:22">
      <c r="B115" s="21" t="s">
        <v>47</v>
      </c>
      <c r="C115" s="123" t="s">
        <v>293</v>
      </c>
      <c r="D115" s="47">
        <v>44372</v>
      </c>
      <c r="F115" s="46"/>
      <c r="G115" s="46"/>
      <c r="L115" s="39">
        <v>359204</v>
      </c>
      <c r="M115" s="16" t="s">
        <v>2211</v>
      </c>
      <c r="N115" s="32" t="s">
        <v>2100</v>
      </c>
      <c r="O115" s="34"/>
      <c r="P115" s="34"/>
      <c r="Q115" s="34"/>
      <c r="R115" s="96"/>
      <c r="S115" s="96"/>
      <c r="T115" s="34"/>
      <c r="U115" s="34"/>
      <c r="V115" s="34"/>
    </row>
    <row r="116" spans="2:22">
      <c r="B116" s="21" t="s">
        <v>47</v>
      </c>
      <c r="C116" s="46" t="s">
        <v>28</v>
      </c>
      <c r="D116" s="47">
        <v>44393</v>
      </c>
      <c r="F116" s="46"/>
      <c r="G116" s="46"/>
      <c r="L116" s="39">
        <v>1188064</v>
      </c>
      <c r="M116" s="16" t="s">
        <v>2212</v>
      </c>
      <c r="N116" s="32" t="s">
        <v>2100</v>
      </c>
      <c r="O116" s="34"/>
      <c r="P116" s="34"/>
      <c r="Q116" s="34"/>
      <c r="R116" s="96"/>
      <c r="S116" s="96"/>
      <c r="T116" s="34"/>
      <c r="U116" s="34"/>
      <c r="V116" s="34"/>
    </row>
    <row r="117" spans="2:22">
      <c r="B117" s="21" t="s">
        <v>47</v>
      </c>
      <c r="C117" s="46" t="s">
        <v>28</v>
      </c>
      <c r="D117" s="47">
        <v>44393</v>
      </c>
      <c r="F117" s="46"/>
      <c r="G117" s="46"/>
      <c r="L117" s="39">
        <v>609275</v>
      </c>
      <c r="M117" s="16" t="s">
        <v>2213</v>
      </c>
      <c r="N117" s="32" t="s">
        <v>2100</v>
      </c>
      <c r="O117" s="34"/>
      <c r="P117" s="34"/>
      <c r="Q117" s="34"/>
      <c r="R117" s="96"/>
      <c r="S117" s="96"/>
      <c r="T117" s="34"/>
      <c r="U117" s="34"/>
      <c r="V117" s="34"/>
    </row>
    <row r="118" spans="2:22">
      <c r="B118" s="21" t="s">
        <v>47</v>
      </c>
      <c r="C118" s="123" t="s">
        <v>293</v>
      </c>
      <c r="D118" s="47">
        <v>44435</v>
      </c>
      <c r="F118" s="46"/>
      <c r="G118" s="46"/>
      <c r="L118" s="39">
        <v>517464</v>
      </c>
      <c r="M118" s="16" t="s">
        <v>2214</v>
      </c>
      <c r="N118" s="32" t="s">
        <v>2100</v>
      </c>
      <c r="O118" s="34"/>
      <c r="P118" s="34"/>
      <c r="Q118" s="34"/>
      <c r="R118" s="96"/>
      <c r="S118" s="96"/>
      <c r="T118" s="34"/>
      <c r="U118" s="34"/>
      <c r="V118" s="34"/>
    </row>
    <row r="119" spans="2:22">
      <c r="B119" s="21" t="s">
        <v>47</v>
      </c>
      <c r="C119" s="123" t="s">
        <v>293</v>
      </c>
      <c r="D119" s="47">
        <v>44435</v>
      </c>
      <c r="F119" s="46"/>
      <c r="G119" s="46"/>
      <c r="L119" s="39">
        <v>225331</v>
      </c>
      <c r="M119" s="16" t="s">
        <v>2215</v>
      </c>
      <c r="N119" s="32" t="s">
        <v>2100</v>
      </c>
      <c r="O119" s="34"/>
      <c r="P119" s="34"/>
      <c r="Q119" s="34"/>
      <c r="R119" s="96"/>
      <c r="S119" s="96"/>
      <c r="T119" s="34"/>
      <c r="U119" s="34"/>
      <c r="V119" s="34"/>
    </row>
    <row r="120" spans="2:22">
      <c r="B120" s="21" t="s">
        <v>47</v>
      </c>
      <c r="C120" s="46" t="s">
        <v>28</v>
      </c>
      <c r="D120" s="47">
        <v>44449</v>
      </c>
      <c r="F120" s="46"/>
      <c r="G120" s="46"/>
      <c r="L120" s="39">
        <v>517482</v>
      </c>
      <c r="M120" s="16" t="s">
        <v>2216</v>
      </c>
      <c r="N120" s="32" t="s">
        <v>2100</v>
      </c>
      <c r="O120" s="34"/>
      <c r="P120" s="34"/>
      <c r="Q120" s="34"/>
      <c r="R120" s="96"/>
      <c r="S120" s="96"/>
      <c r="T120" s="34"/>
      <c r="U120" s="34"/>
      <c r="V120" s="34"/>
    </row>
    <row r="121" spans="2:22">
      <c r="B121" s="21" t="s">
        <v>47</v>
      </c>
      <c r="C121" s="46" t="s">
        <v>28</v>
      </c>
      <c r="D121" s="47">
        <v>44449</v>
      </c>
      <c r="F121" s="46"/>
      <c r="G121" s="46"/>
      <c r="L121" s="39">
        <v>225340</v>
      </c>
      <c r="M121" s="16" t="s">
        <v>2217</v>
      </c>
      <c r="N121" s="32" t="s">
        <v>2100</v>
      </c>
      <c r="O121" s="34"/>
      <c r="P121" s="34"/>
      <c r="Q121" s="34"/>
      <c r="R121" s="96"/>
      <c r="S121" s="96"/>
      <c r="T121" s="34"/>
      <c r="U121" s="34"/>
      <c r="V121" s="34"/>
    </row>
    <row r="122" spans="2:22">
      <c r="B122" s="21" t="s">
        <v>47</v>
      </c>
      <c r="C122" s="46" t="s">
        <v>28</v>
      </c>
      <c r="D122" s="47">
        <v>44512</v>
      </c>
      <c r="F122" s="46"/>
      <c r="G122" s="46"/>
      <c r="L122" s="39">
        <v>150824</v>
      </c>
      <c r="M122" s="16" t="s">
        <v>2218</v>
      </c>
      <c r="N122" s="32" t="s">
        <v>2100</v>
      </c>
      <c r="O122" s="34"/>
      <c r="P122" s="34"/>
      <c r="Q122" s="34"/>
      <c r="R122" s="96"/>
      <c r="S122" s="96"/>
      <c r="T122" s="34"/>
      <c r="U122" s="34"/>
      <c r="V122" s="34"/>
    </row>
    <row r="123" spans="2:22">
      <c r="B123" s="21" t="s">
        <v>47</v>
      </c>
      <c r="C123" s="46" t="s">
        <v>28</v>
      </c>
      <c r="D123" s="47">
        <v>44512</v>
      </c>
      <c r="F123" s="46"/>
      <c r="G123" s="46"/>
      <c r="L123" s="39">
        <v>223215</v>
      </c>
      <c r="M123" s="16" t="s">
        <v>2219</v>
      </c>
      <c r="N123" s="32" t="s">
        <v>2100</v>
      </c>
      <c r="O123" s="34"/>
      <c r="P123" s="34"/>
      <c r="Q123" s="34"/>
      <c r="R123" s="96"/>
      <c r="S123" s="96"/>
      <c r="T123" s="34"/>
      <c r="U123" s="34"/>
      <c r="V123" s="34"/>
    </row>
    <row r="124" spans="2:22">
      <c r="B124" s="21" t="s">
        <v>47</v>
      </c>
      <c r="C124" s="46" t="s">
        <v>28</v>
      </c>
      <c r="D124" s="47">
        <v>44512</v>
      </c>
      <c r="F124" s="46"/>
      <c r="G124" s="46"/>
      <c r="L124" s="39">
        <v>179502</v>
      </c>
      <c r="M124" s="16" t="s">
        <v>2220</v>
      </c>
      <c r="N124" s="32" t="s">
        <v>2100</v>
      </c>
      <c r="O124" s="34"/>
      <c r="P124" s="34"/>
      <c r="Q124" s="34"/>
      <c r="R124" s="96"/>
      <c r="S124" s="96"/>
      <c r="T124" s="34"/>
      <c r="U124" s="34"/>
      <c r="V124" s="34"/>
    </row>
    <row r="125" spans="2:22">
      <c r="B125" s="21" t="s">
        <v>47</v>
      </c>
      <c r="C125" s="46" t="s">
        <v>28</v>
      </c>
      <c r="D125" s="47">
        <v>44512</v>
      </c>
      <c r="F125" s="46"/>
      <c r="G125" s="46"/>
      <c r="L125" s="39">
        <v>511616</v>
      </c>
      <c r="M125" s="16" t="s">
        <v>2221</v>
      </c>
      <c r="N125" s="32" t="s">
        <v>2100</v>
      </c>
      <c r="O125" s="34"/>
      <c r="P125" s="34"/>
      <c r="Q125" s="34"/>
      <c r="R125" s="96"/>
      <c r="S125" s="96"/>
      <c r="T125" s="34"/>
      <c r="U125" s="34"/>
      <c r="V125" s="34"/>
    </row>
    <row r="126" spans="2:22">
      <c r="B126" s="21" t="s">
        <v>47</v>
      </c>
      <c r="C126" s="46" t="s">
        <v>28</v>
      </c>
      <c r="D126" s="47">
        <v>44512</v>
      </c>
      <c r="F126" s="46"/>
      <c r="G126" s="46"/>
      <c r="L126" s="39">
        <v>684614</v>
      </c>
      <c r="M126" s="16" t="s">
        <v>2222</v>
      </c>
      <c r="N126" s="32" t="s">
        <v>2100</v>
      </c>
      <c r="O126" s="34"/>
      <c r="P126" s="34"/>
      <c r="Q126" s="34"/>
      <c r="R126" s="96"/>
      <c r="S126" s="96"/>
      <c r="T126" s="34"/>
      <c r="U126" s="34"/>
      <c r="V126" s="34"/>
    </row>
    <row r="127" spans="2:22">
      <c r="B127" s="21" t="s">
        <v>47</v>
      </c>
      <c r="C127" s="46" t="s">
        <v>28</v>
      </c>
      <c r="D127" s="47">
        <v>44512</v>
      </c>
      <c r="F127" s="46"/>
      <c r="G127" s="46"/>
      <c r="L127" s="39">
        <v>807017</v>
      </c>
      <c r="M127" s="16" t="s">
        <v>2223</v>
      </c>
      <c r="N127" s="32" t="s">
        <v>2100</v>
      </c>
      <c r="O127" s="34"/>
      <c r="P127" s="34"/>
      <c r="Q127" s="34"/>
      <c r="R127" s="96"/>
      <c r="S127" s="96"/>
      <c r="T127" s="34"/>
      <c r="U127" s="34"/>
      <c r="V127" s="34"/>
    </row>
    <row r="128" spans="2:22">
      <c r="B128" s="21" t="s">
        <v>47</v>
      </c>
      <c r="C128" s="46" t="s">
        <v>28</v>
      </c>
      <c r="D128" s="47">
        <v>44512</v>
      </c>
      <c r="F128" s="46"/>
      <c r="G128" s="46"/>
      <c r="L128" s="39">
        <v>859012</v>
      </c>
      <c r="M128" s="16" t="s">
        <v>2224</v>
      </c>
      <c r="N128" s="32" t="s">
        <v>2100</v>
      </c>
      <c r="O128" s="34"/>
      <c r="P128" s="34"/>
      <c r="Q128" s="34"/>
      <c r="R128" s="96"/>
      <c r="S128" s="96"/>
      <c r="T128" s="34"/>
      <c r="U128" s="34"/>
      <c r="V128" s="34"/>
    </row>
    <row r="129" spans="2:22">
      <c r="B129" s="21" t="s">
        <v>47</v>
      </c>
      <c r="C129" s="46" t="s">
        <v>28</v>
      </c>
      <c r="D129" s="47">
        <v>44512</v>
      </c>
      <c r="F129" s="46"/>
      <c r="G129" s="46"/>
      <c r="L129" s="39">
        <v>694110</v>
      </c>
      <c r="M129" s="16" t="s">
        <v>2225</v>
      </c>
      <c r="N129" s="32" t="s">
        <v>2100</v>
      </c>
      <c r="O129" s="34"/>
      <c r="P129" s="34"/>
      <c r="Q129" s="34"/>
      <c r="R129" s="96"/>
      <c r="S129" s="96"/>
      <c r="T129" s="34"/>
      <c r="U129" s="34"/>
      <c r="V129" s="34"/>
    </row>
    <row r="130" spans="2:22">
      <c r="B130" s="21" t="s">
        <v>47</v>
      </c>
      <c r="C130" s="46" t="s">
        <v>28</v>
      </c>
      <c r="D130" s="47">
        <v>44512</v>
      </c>
      <c r="F130" s="46"/>
      <c r="G130" s="46"/>
      <c r="L130" s="39">
        <v>1021707</v>
      </c>
      <c r="M130" s="16" t="s">
        <v>2226</v>
      </c>
      <c r="N130" s="32" t="s">
        <v>2100</v>
      </c>
      <c r="O130" s="34"/>
      <c r="P130" s="34"/>
      <c r="Q130" s="34"/>
      <c r="R130" s="96"/>
      <c r="S130" s="96"/>
      <c r="T130" s="34"/>
      <c r="U130" s="34"/>
      <c r="V130" s="34"/>
    </row>
    <row r="131" spans="2:22">
      <c r="B131" s="21" t="s">
        <v>47</v>
      </c>
      <c r="C131" s="46" t="s">
        <v>28</v>
      </c>
      <c r="D131" s="47">
        <v>44512</v>
      </c>
      <c r="F131" s="46"/>
      <c r="G131" s="46"/>
      <c r="L131" s="39">
        <v>248608</v>
      </c>
      <c r="M131" s="16" t="s">
        <v>2227</v>
      </c>
      <c r="N131" s="32" t="s">
        <v>2100</v>
      </c>
      <c r="O131" s="34"/>
      <c r="P131" s="34"/>
      <c r="Q131" s="34"/>
      <c r="R131" s="96"/>
      <c r="S131" s="96"/>
      <c r="T131" s="34"/>
      <c r="U131" s="34"/>
      <c r="V131" s="34"/>
    </row>
    <row r="132" spans="2:22">
      <c r="B132" s="21" t="s">
        <v>47</v>
      </c>
      <c r="C132" s="46" t="s">
        <v>28</v>
      </c>
      <c r="D132" s="47">
        <v>44512</v>
      </c>
      <c r="F132" s="46"/>
      <c r="G132" s="46"/>
      <c r="L132" s="39">
        <v>1556504</v>
      </c>
      <c r="M132" s="16" t="s">
        <v>2228</v>
      </c>
      <c r="N132" s="32" t="s">
        <v>2100</v>
      </c>
      <c r="O132" s="34"/>
      <c r="P132" s="34"/>
      <c r="Q132" s="34"/>
      <c r="R132" s="96"/>
      <c r="S132" s="96"/>
      <c r="T132" s="34"/>
      <c r="U132" s="34"/>
      <c r="V132" s="34"/>
    </row>
    <row r="133" spans="2:22">
      <c r="B133" s="21" t="s">
        <v>47</v>
      </c>
      <c r="C133" s="46" t="s">
        <v>28</v>
      </c>
      <c r="D133" s="47">
        <v>44512</v>
      </c>
      <c r="F133" s="46"/>
      <c r="G133" s="46"/>
      <c r="L133" s="39">
        <v>26504</v>
      </c>
      <c r="M133" s="16" t="s">
        <v>2229</v>
      </c>
      <c r="N133" s="32" t="s">
        <v>2100</v>
      </c>
      <c r="O133" s="34"/>
      <c r="P133" s="34"/>
      <c r="Q133" s="34"/>
      <c r="R133" s="96"/>
      <c r="S133" s="96"/>
      <c r="T133" s="34"/>
      <c r="U133" s="34"/>
      <c r="V133" s="34"/>
    </row>
    <row r="134" spans="2:22">
      <c r="B134" s="21" t="s">
        <v>47</v>
      </c>
      <c r="C134" s="46" t="s">
        <v>28</v>
      </c>
      <c r="D134" s="47">
        <v>44512</v>
      </c>
      <c r="F134" s="46"/>
      <c r="G134" s="46"/>
      <c r="L134" s="39">
        <v>1756303</v>
      </c>
      <c r="M134" s="16" t="s">
        <v>2230</v>
      </c>
      <c r="N134" s="32" t="s">
        <v>2100</v>
      </c>
      <c r="O134" s="34"/>
      <c r="P134" s="34"/>
      <c r="Q134" s="34"/>
      <c r="R134" s="96"/>
      <c r="S134" s="96"/>
      <c r="T134" s="34"/>
      <c r="U134" s="34"/>
      <c r="V134" s="34"/>
    </row>
    <row r="135" spans="2:22">
      <c r="B135" s="21" t="s">
        <v>47</v>
      </c>
      <c r="C135" s="46" t="s">
        <v>28</v>
      </c>
      <c r="D135" s="47">
        <v>44512</v>
      </c>
      <c r="F135" s="46"/>
      <c r="G135" s="46"/>
      <c r="L135" s="39">
        <v>1756903</v>
      </c>
      <c r="M135" s="16" t="s">
        <v>2231</v>
      </c>
      <c r="N135" s="32" t="s">
        <v>2100</v>
      </c>
      <c r="O135" s="34"/>
      <c r="P135" s="34"/>
      <c r="Q135" s="34"/>
      <c r="R135" s="96"/>
      <c r="S135" s="96"/>
      <c r="T135" s="34"/>
      <c r="U135" s="34"/>
      <c r="V135" s="34"/>
    </row>
    <row r="136" spans="2:22">
      <c r="B136" s="21" t="s">
        <v>47</v>
      </c>
      <c r="C136" s="46" t="s">
        <v>28</v>
      </c>
      <c r="D136" s="47">
        <v>44512</v>
      </c>
      <c r="F136" s="46"/>
      <c r="G136" s="46"/>
      <c r="L136" s="39">
        <v>1971403</v>
      </c>
      <c r="M136" s="16" t="s">
        <v>2232</v>
      </c>
      <c r="N136" s="32" t="s">
        <v>2100</v>
      </c>
      <c r="O136" s="34"/>
      <c r="P136" s="34"/>
      <c r="Q136" s="34"/>
      <c r="R136" s="96"/>
      <c r="S136" s="96"/>
      <c r="T136" s="34"/>
      <c r="U136" s="34"/>
      <c r="V136" s="34"/>
    </row>
    <row r="137" spans="2:22">
      <c r="B137" s="21" t="s">
        <v>47</v>
      </c>
      <c r="C137" s="46" t="s">
        <v>28</v>
      </c>
      <c r="D137" s="47">
        <v>44512</v>
      </c>
      <c r="F137" s="46"/>
      <c r="G137" s="46"/>
      <c r="L137" s="39">
        <v>2318301</v>
      </c>
      <c r="M137" s="16" t="s">
        <v>2233</v>
      </c>
      <c r="N137" s="32" t="s">
        <v>2100</v>
      </c>
      <c r="O137" s="34"/>
      <c r="P137" s="34"/>
      <c r="Q137" s="34"/>
      <c r="R137" s="96"/>
      <c r="S137" s="96"/>
      <c r="T137" s="34"/>
      <c r="U137" s="34"/>
      <c r="V137" s="34"/>
    </row>
    <row r="138" spans="2:22">
      <c r="B138" s="21" t="s">
        <v>47</v>
      </c>
      <c r="C138" s="112" t="s">
        <v>28</v>
      </c>
      <c r="D138" s="149">
        <v>44512</v>
      </c>
      <c r="E138" s="150"/>
      <c r="F138" s="112"/>
      <c r="G138" s="112"/>
      <c r="H138" s="150"/>
      <c r="I138" s="150"/>
      <c r="J138" s="150"/>
      <c r="K138" s="150"/>
      <c r="L138" s="106">
        <v>2318201</v>
      </c>
      <c r="M138" s="115" t="s">
        <v>2234</v>
      </c>
      <c r="N138" s="32" t="s">
        <v>2100</v>
      </c>
      <c r="O138" s="34"/>
      <c r="P138" s="34"/>
      <c r="Q138" s="34"/>
      <c r="R138" s="96"/>
      <c r="S138" s="96"/>
      <c r="T138" s="34"/>
      <c r="U138" s="34"/>
      <c r="V138" s="34"/>
    </row>
    <row r="139" spans="2:22">
      <c r="B139" s="21" t="s">
        <v>47</v>
      </c>
      <c r="C139" s="112" t="s">
        <v>28</v>
      </c>
      <c r="D139" s="149">
        <v>44596</v>
      </c>
      <c r="E139" s="150"/>
      <c r="F139" s="112"/>
      <c r="G139" s="112"/>
      <c r="H139" s="150"/>
      <c r="I139" s="150"/>
      <c r="J139" s="150"/>
      <c r="K139" s="150"/>
      <c r="L139" s="106">
        <v>225345</v>
      </c>
      <c r="M139" s="115" t="s">
        <v>2235</v>
      </c>
      <c r="N139" s="32" t="s">
        <v>2100</v>
      </c>
      <c r="O139" s="34"/>
      <c r="P139" s="34"/>
      <c r="Q139" s="34"/>
      <c r="R139" s="96"/>
      <c r="S139" s="96"/>
      <c r="T139" s="34"/>
      <c r="U139" s="34"/>
      <c r="V139" s="34"/>
    </row>
    <row r="140" spans="2:22">
      <c r="B140" s="21" t="s">
        <v>47</v>
      </c>
      <c r="C140" s="112" t="s">
        <v>28</v>
      </c>
      <c r="D140" s="149">
        <v>44596</v>
      </c>
      <c r="E140" s="150"/>
      <c r="F140" s="112"/>
      <c r="G140" s="112"/>
      <c r="H140" s="150"/>
      <c r="I140" s="150"/>
      <c r="J140" s="150"/>
      <c r="K140" s="150"/>
      <c r="L140" s="106">
        <v>517488</v>
      </c>
      <c r="M140" s="115" t="s">
        <v>2236</v>
      </c>
      <c r="N140" s="32" t="s">
        <v>2100</v>
      </c>
      <c r="O140" s="34"/>
      <c r="P140" s="34"/>
      <c r="Q140" s="34"/>
      <c r="R140" s="96"/>
      <c r="S140" s="96"/>
      <c r="T140" s="34"/>
      <c r="U140" s="34"/>
      <c r="V140" s="34"/>
    </row>
    <row r="141" spans="2:22">
      <c r="B141" s="21" t="s">
        <v>47</v>
      </c>
      <c r="C141" s="112" t="s">
        <v>28</v>
      </c>
      <c r="D141" s="149">
        <v>44596</v>
      </c>
      <c r="E141" s="150"/>
      <c r="F141" s="112"/>
      <c r="G141" s="112"/>
      <c r="H141" s="150"/>
      <c r="I141" s="150"/>
      <c r="J141" s="150"/>
      <c r="K141" s="150"/>
      <c r="L141" s="106">
        <v>1288302</v>
      </c>
      <c r="M141" s="115" t="s">
        <v>2237</v>
      </c>
      <c r="N141" s="32" t="s">
        <v>2100</v>
      </c>
      <c r="O141" s="34"/>
      <c r="P141" s="34"/>
      <c r="Q141" s="34"/>
      <c r="R141" s="96"/>
      <c r="S141" s="96"/>
      <c r="T141" s="34"/>
      <c r="U141" s="34"/>
      <c r="V141" s="34"/>
    </row>
    <row r="142" spans="2:22">
      <c r="B142" s="21" t="s">
        <v>47</v>
      </c>
      <c r="C142" s="112" t="s">
        <v>28</v>
      </c>
      <c r="D142" s="149">
        <v>44596</v>
      </c>
      <c r="E142" s="150"/>
      <c r="F142" s="112"/>
      <c r="G142" s="112"/>
      <c r="H142" s="150"/>
      <c r="I142" s="150"/>
      <c r="J142" s="150"/>
      <c r="K142" s="150"/>
      <c r="L142" s="106">
        <v>1326205</v>
      </c>
      <c r="M142" s="115" t="s">
        <v>2238</v>
      </c>
      <c r="N142" s="32" t="s">
        <v>2100</v>
      </c>
      <c r="O142" s="34"/>
      <c r="P142" s="34"/>
      <c r="Q142" s="34"/>
      <c r="R142" s="96"/>
      <c r="S142" s="96"/>
      <c r="T142" s="34"/>
      <c r="U142" s="34"/>
      <c r="V142" s="34"/>
    </row>
    <row r="143" spans="2:22">
      <c r="B143" s="21" t="s">
        <v>47</v>
      </c>
      <c r="C143" s="112" t="s">
        <v>28</v>
      </c>
      <c r="D143" s="149">
        <v>44596</v>
      </c>
      <c r="E143" s="150"/>
      <c r="F143" s="112"/>
      <c r="G143" s="112"/>
      <c r="H143" s="150"/>
      <c r="I143" s="150"/>
      <c r="J143" s="150"/>
      <c r="K143" s="150"/>
      <c r="L143" s="106">
        <v>1461302</v>
      </c>
      <c r="M143" s="115" t="s">
        <v>2239</v>
      </c>
      <c r="N143" s="32" t="s">
        <v>2100</v>
      </c>
      <c r="O143" s="34"/>
      <c r="P143" s="34"/>
      <c r="Q143" s="34"/>
      <c r="R143" s="96"/>
      <c r="S143" s="96"/>
      <c r="T143" s="34"/>
      <c r="U143" s="34"/>
      <c r="V143" s="34"/>
    </row>
    <row r="144" spans="2:22">
      <c r="B144" s="21" t="s">
        <v>47</v>
      </c>
      <c r="C144" s="112" t="s">
        <v>28</v>
      </c>
      <c r="D144" s="149">
        <v>44596</v>
      </c>
      <c r="E144" s="150"/>
      <c r="F144" s="112"/>
      <c r="G144" s="112"/>
      <c r="H144" s="150"/>
      <c r="I144" s="150"/>
      <c r="J144" s="150"/>
      <c r="K144" s="150"/>
      <c r="L144" s="106">
        <v>1461402</v>
      </c>
      <c r="M144" s="115" t="s">
        <v>2240</v>
      </c>
      <c r="N144" s="32" t="s">
        <v>2100</v>
      </c>
      <c r="O144" s="34"/>
      <c r="P144" s="34"/>
      <c r="Q144" s="34"/>
      <c r="R144" s="96"/>
      <c r="S144" s="96"/>
      <c r="T144" s="34"/>
      <c r="U144" s="34"/>
      <c r="V144" s="34"/>
    </row>
    <row r="145" spans="2:22">
      <c r="B145" s="21" t="s">
        <v>47</v>
      </c>
      <c r="C145" s="112" t="s">
        <v>28</v>
      </c>
      <c r="D145" s="149">
        <v>44596</v>
      </c>
      <c r="E145" s="150"/>
      <c r="F145" s="112"/>
      <c r="G145" s="112"/>
      <c r="H145" s="150"/>
      <c r="I145" s="150"/>
      <c r="J145" s="150"/>
      <c r="K145" s="150"/>
      <c r="L145" s="106">
        <v>1188067</v>
      </c>
      <c r="M145" s="115" t="s">
        <v>2241</v>
      </c>
      <c r="N145" s="32" t="s">
        <v>2100</v>
      </c>
      <c r="O145" s="34"/>
      <c r="P145" s="34"/>
      <c r="Q145" s="34"/>
      <c r="R145" s="96"/>
      <c r="S145" s="96"/>
      <c r="T145" s="34"/>
      <c r="U145" s="34"/>
      <c r="V145" s="34"/>
    </row>
    <row r="146" spans="2:22">
      <c r="B146" s="21" t="s">
        <v>47</v>
      </c>
      <c r="C146" s="112" t="s">
        <v>28</v>
      </c>
      <c r="D146" s="149">
        <v>44596</v>
      </c>
      <c r="E146" s="150"/>
      <c r="F146" s="112"/>
      <c r="G146" s="112"/>
      <c r="H146" s="150"/>
      <c r="I146" s="150"/>
      <c r="J146" s="150"/>
      <c r="K146" s="150"/>
      <c r="L146" s="106">
        <v>1180838</v>
      </c>
      <c r="M146" s="115" t="s">
        <v>2242</v>
      </c>
      <c r="N146" s="32" t="s">
        <v>2100</v>
      </c>
      <c r="O146" s="34"/>
      <c r="P146" s="34"/>
      <c r="Q146" s="34"/>
      <c r="R146" s="96"/>
      <c r="S146" s="96"/>
      <c r="T146" s="34"/>
      <c r="U146" s="34"/>
      <c r="V146" s="34"/>
    </row>
    <row r="147" spans="2:22">
      <c r="B147" s="21" t="s">
        <v>47</v>
      </c>
      <c r="C147" s="112" t="s">
        <v>28</v>
      </c>
      <c r="D147" s="149">
        <v>44596</v>
      </c>
      <c r="E147" s="150"/>
      <c r="F147" s="112"/>
      <c r="G147" s="112"/>
      <c r="H147" s="150"/>
      <c r="I147" s="150"/>
      <c r="J147" s="150"/>
      <c r="K147" s="150"/>
      <c r="L147" s="106">
        <v>1180840</v>
      </c>
      <c r="M147" s="115" t="s">
        <v>2243</v>
      </c>
      <c r="N147" s="32" t="s">
        <v>2100</v>
      </c>
      <c r="O147" s="34"/>
      <c r="P147" s="34"/>
      <c r="Q147" s="34"/>
      <c r="R147" s="96"/>
      <c r="S147" s="96"/>
      <c r="T147" s="34"/>
      <c r="U147" s="34"/>
      <c r="V147" s="34"/>
    </row>
    <row r="148" spans="2:22">
      <c r="B148" s="21" t="s">
        <v>47</v>
      </c>
      <c r="C148" s="112" t="s">
        <v>28</v>
      </c>
      <c r="D148" s="149">
        <v>44596</v>
      </c>
      <c r="E148" s="150"/>
      <c r="F148" s="112"/>
      <c r="G148" s="112"/>
      <c r="H148" s="150"/>
      <c r="I148" s="150"/>
      <c r="J148" s="150"/>
      <c r="K148" s="150"/>
      <c r="L148" s="290">
        <v>1257223</v>
      </c>
      <c r="M148" s="115" t="s">
        <v>2244</v>
      </c>
      <c r="N148" s="32" t="s">
        <v>2100</v>
      </c>
      <c r="O148" s="34"/>
      <c r="P148" s="34"/>
      <c r="Q148" s="34"/>
      <c r="R148" s="96"/>
      <c r="S148" s="96"/>
      <c r="T148" s="34"/>
      <c r="U148" s="34"/>
      <c r="V148" s="34"/>
    </row>
    <row r="149" spans="2:22">
      <c r="B149" s="21" t="s">
        <v>47</v>
      </c>
      <c r="C149" s="112" t="s">
        <v>28</v>
      </c>
      <c r="D149" s="149">
        <v>44603</v>
      </c>
      <c r="E149" s="150"/>
      <c r="F149" s="112"/>
      <c r="G149" s="112"/>
      <c r="H149" s="150"/>
      <c r="I149" s="150"/>
      <c r="J149" s="150"/>
      <c r="K149" s="150"/>
      <c r="L149" s="106">
        <v>517489</v>
      </c>
      <c r="M149" s="115" t="s">
        <v>2245</v>
      </c>
      <c r="N149" s="32" t="s">
        <v>2100</v>
      </c>
      <c r="O149" s="34"/>
      <c r="P149" s="34"/>
      <c r="Q149" s="34"/>
      <c r="R149" s="96"/>
      <c r="S149" s="96"/>
      <c r="T149" s="34"/>
      <c r="U149" s="34"/>
      <c r="V149" s="34"/>
    </row>
    <row r="150" spans="2:22">
      <c r="B150" s="21" t="s">
        <v>47</v>
      </c>
      <c r="C150" s="112" t="s">
        <v>28</v>
      </c>
      <c r="D150" s="149">
        <v>44603</v>
      </c>
      <c r="E150" s="150"/>
      <c r="F150" s="112"/>
      <c r="G150" s="112"/>
      <c r="H150" s="150"/>
      <c r="I150" s="150"/>
      <c r="J150" s="150"/>
      <c r="K150" s="150"/>
      <c r="L150" s="106">
        <v>1007503</v>
      </c>
      <c r="M150" s="115" t="s">
        <v>2246</v>
      </c>
      <c r="N150" s="32" t="s">
        <v>2100</v>
      </c>
      <c r="O150" s="34"/>
      <c r="P150" s="34"/>
      <c r="Q150" s="34"/>
      <c r="R150" s="96"/>
      <c r="S150" s="96"/>
      <c r="T150" s="34"/>
      <c r="U150" s="34"/>
      <c r="V150" s="34"/>
    </row>
    <row r="151" spans="2:22">
      <c r="B151" s="21" t="s">
        <v>47</v>
      </c>
      <c r="C151" s="112" t="s">
        <v>28</v>
      </c>
      <c r="D151" s="149">
        <v>44624</v>
      </c>
      <c r="E151" s="150"/>
      <c r="F151" s="112"/>
      <c r="G151" s="112"/>
      <c r="H151" s="150"/>
      <c r="I151" s="150"/>
      <c r="J151" s="150"/>
      <c r="K151" s="150"/>
      <c r="L151" s="106">
        <v>2383201</v>
      </c>
      <c r="M151" s="115" t="s">
        <v>2247</v>
      </c>
      <c r="N151" s="32" t="s">
        <v>2100</v>
      </c>
      <c r="O151" s="34"/>
      <c r="P151" s="34"/>
      <c r="Q151" s="34"/>
      <c r="R151" s="96"/>
      <c r="S151" s="96"/>
      <c r="T151" s="34"/>
      <c r="U151" s="34"/>
      <c r="V151" s="34"/>
    </row>
    <row r="152" spans="2:22">
      <c r="B152" s="21" t="s">
        <v>47</v>
      </c>
      <c r="C152" s="112" t="s">
        <v>28</v>
      </c>
      <c r="D152" s="149">
        <v>44624</v>
      </c>
      <c r="E152" s="150"/>
      <c r="F152" s="112"/>
      <c r="G152" s="112"/>
      <c r="H152" s="150"/>
      <c r="I152" s="150"/>
      <c r="J152" s="150"/>
      <c r="K152" s="150"/>
      <c r="L152" s="106">
        <v>2383401</v>
      </c>
      <c r="M152" s="115" t="s">
        <v>2248</v>
      </c>
      <c r="N152" s="32" t="s">
        <v>2100</v>
      </c>
      <c r="O152" s="34"/>
      <c r="P152" s="34"/>
      <c r="Q152" s="34"/>
      <c r="R152" s="96"/>
      <c r="S152" s="96"/>
      <c r="T152" s="34"/>
      <c r="U152" s="34"/>
      <c r="V152" s="34"/>
    </row>
    <row r="153" spans="2:22">
      <c r="B153" s="21" t="s">
        <v>47</v>
      </c>
      <c r="C153" s="112" t="s">
        <v>28</v>
      </c>
      <c r="D153" s="149">
        <v>44624</v>
      </c>
      <c r="E153" s="150"/>
      <c r="F153" s="112"/>
      <c r="G153" s="112"/>
      <c r="H153" s="150"/>
      <c r="I153" s="150"/>
      <c r="J153" s="150"/>
      <c r="K153" s="150"/>
      <c r="L153" s="106">
        <v>2383501</v>
      </c>
      <c r="M153" s="115" t="s">
        <v>2249</v>
      </c>
      <c r="N153" s="32" t="s">
        <v>2100</v>
      </c>
      <c r="O153" s="34"/>
      <c r="P153" s="34"/>
      <c r="Q153" s="34"/>
      <c r="R153" s="96"/>
      <c r="S153" s="96"/>
      <c r="T153" s="34"/>
      <c r="U153" s="34"/>
      <c r="V153" s="34"/>
    </row>
    <row r="154" spans="2:22">
      <c r="B154" s="21" t="s">
        <v>47</v>
      </c>
      <c r="C154" s="112" t="s">
        <v>28</v>
      </c>
      <c r="D154" s="149">
        <v>44631</v>
      </c>
      <c r="E154" s="150"/>
      <c r="F154" s="112"/>
      <c r="G154" s="112"/>
      <c r="H154" s="150"/>
      <c r="I154" s="150"/>
      <c r="J154" s="150"/>
      <c r="K154" s="150"/>
      <c r="L154" s="106">
        <v>2383601</v>
      </c>
      <c r="M154" s="115" t="s">
        <v>2250</v>
      </c>
      <c r="N154" s="32" t="s">
        <v>2100</v>
      </c>
      <c r="O154" s="34"/>
      <c r="P154" s="34"/>
      <c r="Q154" s="34"/>
      <c r="R154" s="96"/>
      <c r="S154" s="96"/>
      <c r="T154" s="34"/>
      <c r="U154" s="34"/>
      <c r="V154" s="34"/>
    </row>
    <row r="155" spans="2:22">
      <c r="B155" s="21" t="s">
        <v>47</v>
      </c>
      <c r="C155" s="112" t="s">
        <v>28</v>
      </c>
      <c r="D155" s="149">
        <v>44631</v>
      </c>
      <c r="E155" s="150"/>
      <c r="F155" s="112"/>
      <c r="G155" s="112"/>
      <c r="H155" s="150"/>
      <c r="I155" s="150"/>
      <c r="J155" s="150"/>
      <c r="K155" s="150"/>
      <c r="L155" s="106">
        <v>2383701</v>
      </c>
      <c r="M155" s="115" t="s">
        <v>2251</v>
      </c>
      <c r="N155" s="32" t="s">
        <v>2100</v>
      </c>
      <c r="O155" s="34"/>
      <c r="P155" s="34"/>
      <c r="Q155" s="34"/>
      <c r="R155" s="96"/>
      <c r="S155" s="96"/>
      <c r="T155" s="34"/>
      <c r="U155" s="34"/>
      <c r="V155" s="34"/>
    </row>
    <row r="156" spans="2:22">
      <c r="B156" s="21" t="s">
        <v>47</v>
      </c>
      <c r="C156" s="112" t="s">
        <v>28</v>
      </c>
      <c r="D156" s="149">
        <v>44631</v>
      </c>
      <c r="E156" s="150"/>
      <c r="F156" s="112"/>
      <c r="G156" s="112"/>
      <c r="H156" s="150"/>
      <c r="I156" s="150"/>
      <c r="J156" s="150"/>
      <c r="K156" s="150"/>
      <c r="L156" s="106">
        <v>2383801</v>
      </c>
      <c r="M156" s="115" t="s">
        <v>2252</v>
      </c>
      <c r="N156" s="32" t="s">
        <v>2100</v>
      </c>
      <c r="O156" s="34"/>
      <c r="P156" s="34"/>
      <c r="Q156" s="34"/>
      <c r="R156" s="96"/>
      <c r="S156" s="96"/>
      <c r="T156" s="34"/>
      <c r="U156" s="34"/>
      <c r="V156" s="34"/>
    </row>
    <row r="157" spans="2:22">
      <c r="B157" s="21" t="s">
        <v>47</v>
      </c>
      <c r="C157" s="112" t="s">
        <v>28</v>
      </c>
      <c r="D157" s="47">
        <v>44638</v>
      </c>
      <c r="F157" s="46"/>
      <c r="G157" s="46"/>
      <c r="L157" s="39">
        <v>1133111</v>
      </c>
      <c r="M157" s="16" t="s">
        <v>2253</v>
      </c>
      <c r="N157" s="32" t="s">
        <v>2100</v>
      </c>
      <c r="O157" s="39"/>
      <c r="P157" s="39"/>
      <c r="Q157" s="39"/>
      <c r="R157" s="96"/>
      <c r="S157" s="96"/>
      <c r="T157" s="39"/>
      <c r="U157" s="39"/>
      <c r="V157" s="39"/>
    </row>
    <row r="158" spans="2:22">
      <c r="B158" s="21" t="s">
        <v>47</v>
      </c>
      <c r="C158" s="112" t="s">
        <v>28</v>
      </c>
      <c r="D158" s="47">
        <v>44652</v>
      </c>
      <c r="F158" s="46"/>
      <c r="G158" s="46"/>
      <c r="L158" s="39">
        <v>1188011</v>
      </c>
      <c r="M158" s="16" t="s">
        <v>2254</v>
      </c>
      <c r="N158" s="32" t="s">
        <v>2100</v>
      </c>
      <c r="O158" s="34"/>
      <c r="P158" s="34"/>
      <c r="Q158" s="34"/>
      <c r="R158" s="96"/>
      <c r="S158" s="96"/>
      <c r="T158" s="34"/>
      <c r="U158" s="34"/>
      <c r="V158" s="34"/>
    </row>
    <row r="159" spans="2:22">
      <c r="B159" s="21" t="s">
        <v>47</v>
      </c>
      <c r="C159" s="112" t="s">
        <v>28</v>
      </c>
      <c r="D159" s="47">
        <v>44652</v>
      </c>
      <c r="F159" s="46"/>
      <c r="G159" s="46"/>
      <c r="L159" s="39">
        <v>609242</v>
      </c>
      <c r="M159" s="16" t="s">
        <v>2255</v>
      </c>
      <c r="N159" s="32" t="s">
        <v>2100</v>
      </c>
      <c r="O159" s="34"/>
      <c r="P159" s="34"/>
      <c r="Q159" s="34"/>
      <c r="R159" s="96"/>
      <c r="S159" s="96"/>
      <c r="T159" s="34"/>
      <c r="U159" s="34"/>
      <c r="V159" s="34"/>
    </row>
    <row r="160" spans="2:22">
      <c r="B160" s="21" t="s">
        <v>47</v>
      </c>
      <c r="C160" s="46" t="s">
        <v>28</v>
      </c>
      <c r="D160" s="47">
        <v>44673</v>
      </c>
      <c r="F160" s="46"/>
      <c r="G160" s="46"/>
      <c r="L160" s="39">
        <v>1180837</v>
      </c>
      <c r="M160" s="16" t="s">
        <v>2256</v>
      </c>
      <c r="N160" s="32" t="s">
        <v>2100</v>
      </c>
      <c r="O160" s="34"/>
      <c r="P160" s="34"/>
      <c r="Q160" s="34"/>
      <c r="R160" s="96"/>
      <c r="S160" s="96"/>
      <c r="T160" s="34"/>
      <c r="U160" s="34"/>
      <c r="V160" s="34"/>
    </row>
    <row r="161" spans="2:22">
      <c r="B161" s="21" t="s">
        <v>47</v>
      </c>
      <c r="C161" s="46" t="s">
        <v>28</v>
      </c>
      <c r="D161" s="47">
        <v>44673</v>
      </c>
      <c r="F161" s="46"/>
      <c r="G161" s="46"/>
      <c r="L161" s="39">
        <v>1257222</v>
      </c>
      <c r="M161" s="16" t="s">
        <v>2257</v>
      </c>
      <c r="N161" s="32" t="s">
        <v>2100</v>
      </c>
      <c r="O161" s="34"/>
      <c r="P161" s="34"/>
      <c r="Q161" s="34"/>
      <c r="R161" s="96"/>
      <c r="S161" s="96"/>
      <c r="T161" s="34"/>
      <c r="U161" s="34"/>
      <c r="V161" s="34"/>
    </row>
    <row r="162" spans="2:22">
      <c r="B162" s="21" t="s">
        <v>47</v>
      </c>
      <c r="C162" s="46" t="s">
        <v>28</v>
      </c>
      <c r="D162" s="47">
        <v>44701</v>
      </c>
      <c r="F162" s="46"/>
      <c r="G162" s="46"/>
      <c r="L162" s="39">
        <v>517483</v>
      </c>
      <c r="M162" s="16" t="s">
        <v>2258</v>
      </c>
      <c r="N162" s="32" t="s">
        <v>2100</v>
      </c>
      <c r="O162" s="34"/>
      <c r="P162" s="34"/>
      <c r="Q162" s="34"/>
      <c r="R162" s="96"/>
      <c r="S162" s="96"/>
      <c r="T162" s="34"/>
      <c r="U162" s="34"/>
      <c r="V162" s="34"/>
    </row>
    <row r="163" spans="2:22">
      <c r="B163" s="21" t="s">
        <v>47</v>
      </c>
      <c r="C163" s="46" t="s">
        <v>28</v>
      </c>
      <c r="D163" s="47">
        <v>44701</v>
      </c>
      <c r="F163" s="46"/>
      <c r="G163" s="46"/>
      <c r="L163" s="39">
        <v>225341</v>
      </c>
      <c r="M163" s="16" t="s">
        <v>2259</v>
      </c>
      <c r="N163" s="32" t="s">
        <v>2100</v>
      </c>
      <c r="O163" s="34"/>
      <c r="P163" s="34"/>
      <c r="Q163" s="34"/>
      <c r="R163" s="96"/>
      <c r="S163" s="96"/>
      <c r="T163" s="34"/>
      <c r="U163" s="34"/>
      <c r="V163" s="34"/>
    </row>
    <row r="164" spans="2:22">
      <c r="B164" s="21" t="s">
        <v>47</v>
      </c>
      <c r="C164" s="46" t="s">
        <v>28</v>
      </c>
      <c r="D164" s="47">
        <v>44722</v>
      </c>
      <c r="F164" s="46"/>
      <c r="G164" s="46"/>
      <c r="L164" s="39">
        <v>195773</v>
      </c>
      <c r="M164" s="77" t="s">
        <v>2260</v>
      </c>
      <c r="N164" s="32" t="s">
        <v>2100</v>
      </c>
      <c r="O164" s="34"/>
      <c r="P164" s="34"/>
      <c r="Q164" s="34"/>
      <c r="R164" s="96"/>
      <c r="S164" s="96"/>
      <c r="T164" s="34"/>
      <c r="U164" s="34"/>
      <c r="V164" s="34"/>
    </row>
    <row r="165" spans="2:22">
      <c r="B165" s="21" t="s">
        <v>47</v>
      </c>
      <c r="C165" s="46" t="s">
        <v>28</v>
      </c>
      <c r="D165" s="47">
        <v>44722</v>
      </c>
      <c r="F165" s="46"/>
      <c r="G165" s="46"/>
      <c r="L165" s="39">
        <v>256532</v>
      </c>
      <c r="M165" s="77" t="s">
        <v>2261</v>
      </c>
      <c r="N165" s="32" t="s">
        <v>2100</v>
      </c>
      <c r="O165" s="34"/>
      <c r="P165" s="34"/>
      <c r="Q165" s="34"/>
      <c r="R165" s="96"/>
      <c r="S165" s="96"/>
      <c r="T165" s="34"/>
      <c r="U165" s="34"/>
      <c r="V165" s="34"/>
    </row>
    <row r="166" spans="2:22">
      <c r="B166" s="21" t="s">
        <v>47</v>
      </c>
      <c r="C166" s="46" t="s">
        <v>28</v>
      </c>
      <c r="D166" s="47">
        <v>44722</v>
      </c>
      <c r="F166" s="46"/>
      <c r="G166" s="46"/>
      <c r="L166" s="39">
        <v>195793</v>
      </c>
      <c r="M166" s="77" t="s">
        <v>2262</v>
      </c>
      <c r="N166" s="32" t="s">
        <v>2100</v>
      </c>
      <c r="O166" s="34"/>
      <c r="P166" s="34"/>
      <c r="Q166" s="34"/>
      <c r="R166" s="96"/>
      <c r="S166" s="96"/>
      <c r="T166" s="34"/>
      <c r="U166" s="34"/>
      <c r="V166" s="34"/>
    </row>
    <row r="167" spans="2:22">
      <c r="B167" s="21" t="s">
        <v>47</v>
      </c>
      <c r="C167" s="112" t="s">
        <v>28</v>
      </c>
      <c r="D167" s="47">
        <v>44727</v>
      </c>
      <c r="F167" s="46"/>
      <c r="G167" s="46"/>
      <c r="L167" s="39">
        <v>2245504</v>
      </c>
      <c r="M167" s="77" t="s">
        <v>2263</v>
      </c>
      <c r="N167" s="32" t="s">
        <v>2100</v>
      </c>
      <c r="O167" s="34"/>
      <c r="P167" s="34"/>
      <c r="Q167" s="34"/>
      <c r="R167" s="96"/>
      <c r="S167" s="96"/>
      <c r="T167" s="34"/>
      <c r="U167" s="34"/>
      <c r="V167" s="34"/>
    </row>
    <row r="168" spans="2:22">
      <c r="B168" s="21" t="s">
        <v>47</v>
      </c>
      <c r="C168" s="112" t="s">
        <v>28</v>
      </c>
      <c r="D168" s="47">
        <v>44727</v>
      </c>
      <c r="F168" s="46"/>
      <c r="G168" s="46"/>
      <c r="L168" s="39">
        <v>2244601</v>
      </c>
      <c r="M168" s="77" t="s">
        <v>2264</v>
      </c>
      <c r="N168" s="32" t="s">
        <v>2100</v>
      </c>
      <c r="O168" s="34"/>
      <c r="P168" s="34"/>
      <c r="Q168" s="34"/>
      <c r="R168" s="96"/>
      <c r="S168" s="96"/>
      <c r="T168" s="34"/>
      <c r="U168" s="34"/>
      <c r="V168" s="34"/>
    </row>
    <row r="169" spans="2:22">
      <c r="B169" s="21" t="s">
        <v>47</v>
      </c>
      <c r="C169" s="112" t="s">
        <v>28</v>
      </c>
      <c r="D169" s="47">
        <v>44727</v>
      </c>
      <c r="F169" s="46"/>
      <c r="G169" s="46"/>
      <c r="L169" s="39">
        <v>2244603</v>
      </c>
      <c r="M169" s="77" t="s">
        <v>2265</v>
      </c>
      <c r="N169" s="32" t="s">
        <v>2100</v>
      </c>
      <c r="O169" s="34"/>
      <c r="P169" s="34"/>
      <c r="Q169" s="34"/>
      <c r="R169" s="96"/>
      <c r="S169" s="96"/>
      <c r="T169" s="34"/>
      <c r="U169" s="34"/>
      <c r="V169" s="34"/>
    </row>
    <row r="170" spans="2:22">
      <c r="B170" s="21" t="s">
        <v>47</v>
      </c>
      <c r="C170" s="46" t="s">
        <v>28</v>
      </c>
      <c r="D170" s="47">
        <v>44771</v>
      </c>
      <c r="F170" s="46"/>
      <c r="G170" s="46"/>
      <c r="L170" s="39">
        <v>1188075</v>
      </c>
      <c r="M170" s="77" t="s">
        <v>2266</v>
      </c>
      <c r="N170" s="32" t="s">
        <v>2100</v>
      </c>
      <c r="O170" s="34"/>
      <c r="P170" s="34"/>
      <c r="Q170" s="34"/>
      <c r="R170" s="96"/>
      <c r="S170" s="96"/>
      <c r="T170" s="34"/>
      <c r="U170" s="34"/>
      <c r="V170" s="34"/>
    </row>
    <row r="171" spans="2:22">
      <c r="B171" s="21" t="s">
        <v>47</v>
      </c>
      <c r="C171" s="46" t="s">
        <v>28</v>
      </c>
      <c r="D171" s="47">
        <v>44771</v>
      </c>
      <c r="F171" s="46"/>
      <c r="G171" s="46"/>
      <c r="L171" s="39">
        <v>609278</v>
      </c>
      <c r="M171" s="77" t="s">
        <v>2267</v>
      </c>
      <c r="N171" s="32" t="s">
        <v>2100</v>
      </c>
      <c r="O171" s="34"/>
      <c r="P171" s="34"/>
      <c r="Q171" s="34"/>
      <c r="R171" s="96"/>
      <c r="S171" s="96"/>
      <c r="T171" s="34"/>
      <c r="U171" s="34"/>
      <c r="V171" s="34"/>
    </row>
    <row r="172" spans="2:22">
      <c r="B172" s="21" t="s">
        <v>47</v>
      </c>
      <c r="C172" s="46" t="s">
        <v>28</v>
      </c>
      <c r="D172" s="47">
        <v>44855</v>
      </c>
      <c r="F172" s="46"/>
      <c r="G172" s="46"/>
      <c r="L172" s="39">
        <v>913211</v>
      </c>
      <c r="M172" s="77" t="s">
        <v>2268</v>
      </c>
      <c r="N172" s="32" t="s">
        <v>2100</v>
      </c>
      <c r="O172" s="34"/>
      <c r="P172" s="34"/>
      <c r="Q172" s="34"/>
      <c r="R172" s="96"/>
      <c r="S172" s="96"/>
      <c r="T172" s="34"/>
      <c r="U172" s="34"/>
      <c r="V172" s="34"/>
    </row>
    <row r="173" spans="2:22">
      <c r="B173" s="21" t="s">
        <v>47</v>
      </c>
      <c r="C173" s="46" t="s">
        <v>28</v>
      </c>
      <c r="D173" s="47">
        <v>44855</v>
      </c>
      <c r="F173" s="46"/>
      <c r="G173" s="46"/>
      <c r="L173" s="39">
        <v>913212</v>
      </c>
      <c r="M173" s="77" t="s">
        <v>2269</v>
      </c>
      <c r="N173" s="32" t="s">
        <v>2100</v>
      </c>
      <c r="O173" s="34"/>
      <c r="P173" s="34"/>
      <c r="Q173" s="34"/>
      <c r="R173" s="96"/>
      <c r="S173" s="96"/>
      <c r="T173" s="34"/>
      <c r="U173" s="34"/>
      <c r="V173" s="34"/>
    </row>
    <row r="174" spans="2:22">
      <c r="B174" s="21" t="s">
        <v>47</v>
      </c>
      <c r="C174" s="46" t="s">
        <v>28</v>
      </c>
      <c r="D174" s="47">
        <v>44855</v>
      </c>
      <c r="F174" s="46"/>
      <c r="G174" s="46"/>
      <c r="L174" s="39">
        <v>913213</v>
      </c>
      <c r="M174" s="77" t="s">
        <v>2270</v>
      </c>
      <c r="N174" s="32" t="s">
        <v>2100</v>
      </c>
      <c r="O174" s="34"/>
      <c r="P174" s="34"/>
      <c r="Q174" s="34"/>
      <c r="R174" s="96"/>
      <c r="S174" s="96"/>
      <c r="T174" s="34"/>
      <c r="U174" s="34"/>
      <c r="V174" s="34"/>
    </row>
    <row r="175" spans="2:22">
      <c r="B175" s="21" t="s">
        <v>47</v>
      </c>
      <c r="C175" s="46" t="s">
        <v>28</v>
      </c>
      <c r="D175" s="47">
        <v>44855</v>
      </c>
      <c r="F175" s="46"/>
      <c r="G175" s="46"/>
      <c r="L175" s="39">
        <v>603205</v>
      </c>
      <c r="M175" s="77" t="s">
        <v>2271</v>
      </c>
      <c r="N175" s="32" t="s">
        <v>2100</v>
      </c>
      <c r="O175" s="34"/>
      <c r="P175" s="34"/>
      <c r="Q175" s="34"/>
      <c r="R175" s="96"/>
      <c r="S175" s="96"/>
      <c r="T175" s="34"/>
      <c r="U175" s="34"/>
      <c r="V175" s="34"/>
    </row>
    <row r="176" spans="2:22">
      <c r="B176" s="21" t="s">
        <v>47</v>
      </c>
      <c r="C176" s="46" t="s">
        <v>28</v>
      </c>
      <c r="D176" s="47">
        <v>44855</v>
      </c>
      <c r="F176" s="46"/>
      <c r="G176" s="46"/>
      <c r="L176" s="39">
        <v>603605</v>
      </c>
      <c r="M176" s="77" t="s">
        <v>2272</v>
      </c>
      <c r="N176" s="32" t="s">
        <v>2100</v>
      </c>
      <c r="O176" s="34"/>
      <c r="P176" s="34"/>
      <c r="Q176" s="34"/>
      <c r="R176" s="96"/>
      <c r="S176" s="96"/>
      <c r="T176" s="34"/>
      <c r="U176" s="34"/>
      <c r="V176" s="34"/>
    </row>
    <row r="177" spans="2:22">
      <c r="B177" s="21" t="s">
        <v>47</v>
      </c>
      <c r="C177" s="46" t="s">
        <v>28</v>
      </c>
      <c r="D177" s="47">
        <v>44855</v>
      </c>
      <c r="F177" s="46"/>
      <c r="G177" s="46"/>
      <c r="L177" s="39">
        <v>604010</v>
      </c>
      <c r="M177" s="77" t="s">
        <v>2273</v>
      </c>
      <c r="N177" s="32" t="s">
        <v>2100</v>
      </c>
      <c r="O177" s="34"/>
      <c r="P177" s="34"/>
      <c r="Q177" s="34"/>
      <c r="R177" s="96"/>
      <c r="S177" s="96"/>
      <c r="T177" s="34"/>
      <c r="U177" s="34"/>
      <c r="V177" s="34"/>
    </row>
    <row r="178" spans="2:22">
      <c r="B178" s="21" t="s">
        <v>47</v>
      </c>
      <c r="C178" s="46" t="s">
        <v>28</v>
      </c>
      <c r="D178" s="47">
        <v>44855</v>
      </c>
      <c r="F178" s="46"/>
      <c r="G178" s="46"/>
      <c r="L178" s="39">
        <v>604011</v>
      </c>
      <c r="M178" s="77" t="s">
        <v>2274</v>
      </c>
      <c r="N178" s="32" t="s">
        <v>2100</v>
      </c>
      <c r="O178" s="34"/>
      <c r="P178" s="34"/>
      <c r="Q178" s="34"/>
      <c r="R178" s="96"/>
      <c r="S178" s="96"/>
      <c r="T178" s="34"/>
      <c r="U178" s="34"/>
      <c r="V178" s="34"/>
    </row>
    <row r="179" spans="2:22">
      <c r="B179" s="21" t="s">
        <v>47</v>
      </c>
      <c r="C179" s="46" t="s">
        <v>28</v>
      </c>
      <c r="D179" s="47">
        <v>44855</v>
      </c>
      <c r="F179" s="46"/>
      <c r="G179" s="46"/>
      <c r="L179" s="39">
        <v>604016</v>
      </c>
      <c r="M179" s="77" t="s">
        <v>2275</v>
      </c>
      <c r="N179" s="32" t="s">
        <v>2100</v>
      </c>
      <c r="O179" s="34"/>
      <c r="P179" s="34"/>
      <c r="Q179" s="34"/>
      <c r="R179" s="96"/>
      <c r="S179" s="96"/>
      <c r="T179" s="34"/>
      <c r="U179" s="34"/>
      <c r="V179" s="34"/>
    </row>
    <row r="180" spans="2:22">
      <c r="B180" s="21" t="s">
        <v>47</v>
      </c>
      <c r="C180" s="46" t="s">
        <v>28</v>
      </c>
      <c r="D180" s="47">
        <v>44855</v>
      </c>
      <c r="F180" s="46"/>
      <c r="G180" s="46"/>
      <c r="L180" s="39">
        <v>603714</v>
      </c>
      <c r="M180" s="77" t="s">
        <v>2276</v>
      </c>
      <c r="N180" s="32" t="s">
        <v>2100</v>
      </c>
      <c r="O180" s="34"/>
      <c r="P180" s="34"/>
      <c r="Q180" s="34"/>
      <c r="R180" s="96"/>
      <c r="S180" s="96"/>
      <c r="T180" s="34"/>
      <c r="U180" s="34"/>
      <c r="V180" s="34"/>
    </row>
    <row r="181" spans="2:22">
      <c r="B181" s="21" t="s">
        <v>47</v>
      </c>
      <c r="C181" s="46" t="s">
        <v>28</v>
      </c>
      <c r="D181" s="47">
        <v>44855</v>
      </c>
      <c r="F181" s="46"/>
      <c r="G181" s="46"/>
      <c r="L181" s="39">
        <v>603715</v>
      </c>
      <c r="M181" s="77" t="s">
        <v>2277</v>
      </c>
      <c r="N181" s="32" t="s">
        <v>2100</v>
      </c>
      <c r="O181" s="34"/>
      <c r="P181" s="34"/>
      <c r="Q181" s="34"/>
      <c r="R181" s="96"/>
      <c r="S181" s="96"/>
      <c r="T181" s="34"/>
      <c r="U181" s="34"/>
      <c r="V181" s="34"/>
    </row>
    <row r="182" spans="2:22">
      <c r="B182" s="21" t="s">
        <v>47</v>
      </c>
      <c r="C182" s="46" t="s">
        <v>28</v>
      </c>
      <c r="D182" s="47">
        <v>44855</v>
      </c>
      <c r="F182" s="46"/>
      <c r="G182" s="46"/>
      <c r="L182" s="39">
        <v>603716</v>
      </c>
      <c r="M182" s="77" t="s">
        <v>2278</v>
      </c>
      <c r="N182" s="32" t="s">
        <v>2100</v>
      </c>
      <c r="O182" s="34"/>
      <c r="P182" s="34"/>
      <c r="Q182" s="34"/>
      <c r="R182" s="96"/>
      <c r="S182" s="96"/>
      <c r="T182" s="34"/>
      <c r="U182" s="34"/>
      <c r="V182" s="34"/>
    </row>
    <row r="183" spans="2:22">
      <c r="B183" s="21" t="s">
        <v>47</v>
      </c>
      <c r="C183" s="46" t="s">
        <v>28</v>
      </c>
      <c r="D183" s="47">
        <v>44855</v>
      </c>
      <c r="F183" s="46"/>
      <c r="G183" s="46"/>
      <c r="L183" s="39">
        <v>604015</v>
      </c>
      <c r="M183" s="77" t="s">
        <v>2279</v>
      </c>
      <c r="N183" s="32" t="s">
        <v>2100</v>
      </c>
      <c r="O183" s="34"/>
      <c r="P183" s="34"/>
      <c r="Q183" s="34"/>
      <c r="R183" s="96"/>
      <c r="S183" s="96"/>
      <c r="T183" s="34"/>
      <c r="U183" s="34"/>
      <c r="V183" s="34"/>
    </row>
    <row r="184" spans="2:22">
      <c r="B184" s="21" t="s">
        <v>47</v>
      </c>
      <c r="C184" s="46" t="s">
        <v>28</v>
      </c>
      <c r="D184" s="47">
        <v>44855</v>
      </c>
      <c r="F184" s="46"/>
      <c r="G184" s="46"/>
      <c r="L184" s="39">
        <v>603717</v>
      </c>
      <c r="M184" s="77" t="s">
        <v>2280</v>
      </c>
      <c r="N184" s="32" t="s">
        <v>2100</v>
      </c>
      <c r="O184" s="34"/>
      <c r="P184" s="34"/>
      <c r="Q184" s="34"/>
      <c r="R184" s="96"/>
      <c r="S184" s="96"/>
      <c r="T184" s="34"/>
      <c r="U184" s="34"/>
      <c r="V184" s="34"/>
    </row>
    <row r="185" spans="2:22">
      <c r="B185" s="21" t="s">
        <v>47</v>
      </c>
      <c r="C185" s="46" t="s">
        <v>28</v>
      </c>
      <c r="D185" s="47">
        <v>44855</v>
      </c>
      <c r="F185" s="46"/>
      <c r="G185" s="46"/>
      <c r="L185" s="39">
        <v>913214</v>
      </c>
      <c r="M185" s="77" t="s">
        <v>2281</v>
      </c>
      <c r="N185" s="32" t="s">
        <v>2100</v>
      </c>
      <c r="O185" s="34"/>
      <c r="P185" s="34"/>
      <c r="Q185" s="34"/>
      <c r="R185" s="96"/>
      <c r="S185" s="96"/>
      <c r="T185" s="34"/>
      <c r="U185" s="34"/>
      <c r="V185" s="34"/>
    </row>
    <row r="186" spans="2:22">
      <c r="B186" s="21" t="s">
        <v>47</v>
      </c>
      <c r="C186" s="46" t="s">
        <v>28</v>
      </c>
      <c r="D186" s="47">
        <v>44855</v>
      </c>
      <c r="F186" s="46"/>
      <c r="G186" s="46"/>
      <c r="L186" s="39">
        <v>1985903</v>
      </c>
      <c r="M186" s="77" t="s">
        <v>2282</v>
      </c>
      <c r="N186" s="32" t="s">
        <v>2100</v>
      </c>
      <c r="O186" s="34"/>
      <c r="P186" s="34"/>
      <c r="Q186" s="34"/>
      <c r="R186" s="96"/>
      <c r="S186" s="96"/>
      <c r="T186" s="34"/>
      <c r="U186" s="34"/>
      <c r="V186" s="34"/>
    </row>
    <row r="187" spans="2:22">
      <c r="B187" s="21" t="s">
        <v>47</v>
      </c>
      <c r="C187" s="46" t="s">
        <v>28</v>
      </c>
      <c r="D187" s="47">
        <v>44855</v>
      </c>
      <c r="F187" s="46"/>
      <c r="G187" s="46"/>
      <c r="L187" s="39">
        <v>1147003</v>
      </c>
      <c r="M187" s="77" t="s">
        <v>2283</v>
      </c>
      <c r="N187" s="32" t="s">
        <v>2100</v>
      </c>
      <c r="O187" s="34"/>
      <c r="P187" s="34"/>
      <c r="Q187" s="34"/>
      <c r="R187" s="96"/>
      <c r="S187" s="96"/>
      <c r="T187" s="34"/>
      <c r="U187" s="34"/>
      <c r="V187" s="34"/>
    </row>
    <row r="188" spans="2:22">
      <c r="B188" s="21" t="s">
        <v>47</v>
      </c>
      <c r="C188" s="46" t="s">
        <v>28</v>
      </c>
      <c r="D188" s="47">
        <v>44855</v>
      </c>
      <c r="F188" s="46"/>
      <c r="G188" s="46"/>
      <c r="L188" s="39">
        <v>694202</v>
      </c>
      <c r="M188" s="77" t="s">
        <v>2284</v>
      </c>
      <c r="N188" s="32" t="s">
        <v>2100</v>
      </c>
      <c r="O188" s="34"/>
      <c r="P188" s="34"/>
      <c r="Q188" s="34"/>
      <c r="R188" s="96"/>
      <c r="S188" s="96"/>
      <c r="T188" s="34"/>
      <c r="U188" s="34"/>
      <c r="V188" s="34"/>
    </row>
    <row r="189" spans="2:22">
      <c r="B189" s="21" t="s">
        <v>47</v>
      </c>
      <c r="C189" s="46" t="s">
        <v>28</v>
      </c>
      <c r="D189" s="47">
        <v>44855</v>
      </c>
      <c r="F189" s="46"/>
      <c r="G189" s="46"/>
      <c r="L189" s="39">
        <v>564308</v>
      </c>
      <c r="M189" s="77" t="s">
        <v>2285</v>
      </c>
      <c r="N189" s="32" t="s">
        <v>2100</v>
      </c>
      <c r="O189" s="34"/>
      <c r="P189" s="34"/>
      <c r="Q189" s="34"/>
      <c r="R189" s="96"/>
      <c r="S189" s="96"/>
      <c r="T189" s="34"/>
      <c r="U189" s="34"/>
      <c r="V189" s="34"/>
    </row>
    <row r="190" spans="2:22">
      <c r="B190" s="21" t="s">
        <v>47</v>
      </c>
      <c r="C190" s="46" t="s">
        <v>28</v>
      </c>
      <c r="D190" s="47">
        <v>44855</v>
      </c>
      <c r="F190" s="46"/>
      <c r="G190" s="46"/>
      <c r="L190" s="39">
        <v>694203</v>
      </c>
      <c r="M190" s="77" t="s">
        <v>2286</v>
      </c>
      <c r="N190" s="32" t="s">
        <v>2100</v>
      </c>
      <c r="O190" s="34"/>
      <c r="P190" s="34"/>
      <c r="Q190" s="34"/>
      <c r="R190" s="96"/>
      <c r="S190" s="96"/>
      <c r="T190" s="34"/>
      <c r="U190" s="34"/>
      <c r="V190" s="34"/>
    </row>
    <row r="191" spans="2:22">
      <c r="B191" s="21" t="s">
        <v>47</v>
      </c>
      <c r="C191" s="46" t="s">
        <v>28</v>
      </c>
      <c r="D191" s="47">
        <v>44855</v>
      </c>
      <c r="F191" s="46"/>
      <c r="G191" s="46"/>
      <c r="L191" s="39">
        <v>564309</v>
      </c>
      <c r="M191" s="77" t="s">
        <v>2287</v>
      </c>
      <c r="N191" s="32" t="s">
        <v>2100</v>
      </c>
      <c r="O191" s="34"/>
      <c r="P191" s="34"/>
      <c r="Q191" s="34"/>
      <c r="R191" s="96"/>
      <c r="S191" s="96"/>
      <c r="T191" s="34"/>
      <c r="U191" s="34"/>
      <c r="V191" s="34"/>
    </row>
    <row r="192" spans="2:22">
      <c r="B192" s="21" t="s">
        <v>47</v>
      </c>
      <c r="C192" s="46" t="s">
        <v>28</v>
      </c>
      <c r="D192" s="47">
        <v>44855</v>
      </c>
      <c r="F192" s="46"/>
      <c r="G192" s="46"/>
      <c r="L192" s="39">
        <v>564310</v>
      </c>
      <c r="M192" s="77" t="s">
        <v>2288</v>
      </c>
      <c r="N192" s="32" t="s">
        <v>2100</v>
      </c>
      <c r="O192" s="34"/>
      <c r="P192" s="34"/>
      <c r="Q192" s="34"/>
      <c r="R192" s="96"/>
      <c r="S192" s="96"/>
      <c r="T192" s="34"/>
      <c r="U192" s="34"/>
      <c r="V192" s="34"/>
    </row>
    <row r="193" spans="2:22">
      <c r="B193" s="21" t="s">
        <v>47</v>
      </c>
      <c r="C193" s="46" t="s">
        <v>28</v>
      </c>
      <c r="D193" s="47">
        <v>44855</v>
      </c>
      <c r="F193" s="46"/>
      <c r="G193" s="46"/>
      <c r="L193" s="39">
        <v>1180832</v>
      </c>
      <c r="M193" s="77" t="s">
        <v>2289</v>
      </c>
      <c r="N193" s="32" t="s">
        <v>2100</v>
      </c>
      <c r="O193" s="34"/>
      <c r="P193" s="34"/>
      <c r="Q193" s="34"/>
      <c r="R193" s="96"/>
      <c r="S193" s="96"/>
      <c r="T193" s="34"/>
      <c r="U193" s="34"/>
      <c r="V193" s="34"/>
    </row>
    <row r="194" spans="2:22">
      <c r="B194" s="21" t="s">
        <v>47</v>
      </c>
      <c r="C194" s="46" t="s">
        <v>28</v>
      </c>
      <c r="D194" s="47">
        <v>44855</v>
      </c>
      <c r="F194" s="46"/>
      <c r="G194" s="46"/>
      <c r="L194" s="39">
        <v>1180833</v>
      </c>
      <c r="M194" s="77" t="s">
        <v>2290</v>
      </c>
      <c r="N194" s="32" t="s">
        <v>2100</v>
      </c>
      <c r="O194" s="34"/>
      <c r="P194" s="34"/>
      <c r="Q194" s="34"/>
      <c r="R194" s="96"/>
      <c r="S194" s="96"/>
      <c r="T194" s="34"/>
      <c r="U194" s="34"/>
      <c r="V194" s="34"/>
    </row>
    <row r="195" spans="2:22">
      <c r="B195" s="21" t="s">
        <v>47</v>
      </c>
      <c r="C195" s="46" t="s">
        <v>28</v>
      </c>
      <c r="D195" s="47">
        <v>44855</v>
      </c>
      <c r="F195" s="46"/>
      <c r="G195" s="46"/>
      <c r="L195" s="39">
        <v>1257225</v>
      </c>
      <c r="M195" s="77" t="s">
        <v>2291</v>
      </c>
      <c r="N195" s="32" t="s">
        <v>2100</v>
      </c>
      <c r="O195" s="34"/>
      <c r="P195" s="34"/>
      <c r="Q195" s="34"/>
      <c r="R195" s="96"/>
      <c r="S195" s="96"/>
      <c r="T195" s="34"/>
      <c r="U195" s="34"/>
      <c r="V195" s="34"/>
    </row>
    <row r="196" spans="2:22">
      <c r="B196" s="21" t="s">
        <v>47</v>
      </c>
      <c r="C196" s="46" t="s">
        <v>28</v>
      </c>
      <c r="D196" s="47">
        <v>44855</v>
      </c>
      <c r="F196" s="46"/>
      <c r="G196" s="46"/>
      <c r="L196" s="39">
        <v>1257226</v>
      </c>
      <c r="M196" s="77" t="s">
        <v>2292</v>
      </c>
      <c r="N196" s="32" t="s">
        <v>2100</v>
      </c>
      <c r="O196" s="34"/>
      <c r="P196" s="34"/>
      <c r="Q196" s="34"/>
      <c r="R196" s="96"/>
      <c r="S196" s="96"/>
      <c r="T196" s="34"/>
      <c r="U196" s="34"/>
      <c r="V196" s="34"/>
    </row>
    <row r="197" spans="2:22">
      <c r="B197" s="21" t="s">
        <v>47</v>
      </c>
      <c r="C197" s="46" t="s">
        <v>28</v>
      </c>
      <c r="D197" s="47">
        <v>44855</v>
      </c>
      <c r="F197" s="46"/>
      <c r="G197" s="46"/>
      <c r="L197" s="39">
        <v>1180834</v>
      </c>
      <c r="M197" s="77" t="s">
        <v>2293</v>
      </c>
      <c r="N197" s="32" t="s">
        <v>2100</v>
      </c>
      <c r="O197" s="34"/>
      <c r="P197" s="34"/>
      <c r="Q197" s="34"/>
      <c r="R197" s="96"/>
      <c r="S197" s="96"/>
      <c r="T197" s="34"/>
      <c r="U197" s="34"/>
      <c r="V197" s="34"/>
    </row>
    <row r="198" spans="2:22">
      <c r="B198" s="21" t="s">
        <v>47</v>
      </c>
      <c r="C198" s="46" t="s">
        <v>28</v>
      </c>
      <c r="D198" s="47">
        <v>44855</v>
      </c>
      <c r="F198" s="46"/>
      <c r="G198" s="46"/>
      <c r="L198" s="39">
        <v>2455901</v>
      </c>
      <c r="M198" s="77" t="s">
        <v>2294</v>
      </c>
      <c r="N198" s="32" t="s">
        <v>2100</v>
      </c>
      <c r="O198" s="34"/>
      <c r="P198" s="34"/>
      <c r="Q198" s="34"/>
      <c r="R198" s="96"/>
      <c r="S198" s="96"/>
      <c r="T198" s="34"/>
      <c r="U198" s="34"/>
      <c r="V198" s="34"/>
    </row>
    <row r="199" spans="2:22">
      <c r="B199" s="21" t="s">
        <v>47</v>
      </c>
      <c r="C199" s="46" t="s">
        <v>28</v>
      </c>
      <c r="D199" s="47">
        <v>44855</v>
      </c>
      <c r="F199" s="46"/>
      <c r="G199" s="46"/>
      <c r="L199" s="39">
        <v>2456101</v>
      </c>
      <c r="M199" s="77" t="s">
        <v>2295</v>
      </c>
      <c r="N199" s="32" t="s">
        <v>2100</v>
      </c>
      <c r="O199" s="34"/>
      <c r="P199" s="34"/>
      <c r="Q199" s="34"/>
      <c r="R199" s="96"/>
      <c r="S199" s="96"/>
      <c r="T199" s="34"/>
      <c r="U199" s="34"/>
      <c r="V199" s="34"/>
    </row>
    <row r="200" spans="2:22">
      <c r="B200" s="21" t="s">
        <v>47</v>
      </c>
      <c r="C200" s="46" t="s">
        <v>28</v>
      </c>
      <c r="D200" s="47">
        <v>44855</v>
      </c>
      <c r="F200" s="46"/>
      <c r="G200" s="46"/>
      <c r="L200" s="39">
        <v>2456102</v>
      </c>
      <c r="M200" s="77" t="s">
        <v>2296</v>
      </c>
      <c r="N200" s="32" t="s">
        <v>2100</v>
      </c>
      <c r="O200" s="34"/>
      <c r="P200" s="34"/>
      <c r="Q200" s="34"/>
      <c r="R200" s="96"/>
      <c r="S200" s="96"/>
      <c r="T200" s="34"/>
      <c r="U200" s="34"/>
      <c r="V200" s="34"/>
    </row>
    <row r="201" spans="2:22">
      <c r="B201" s="21" t="s">
        <v>47</v>
      </c>
      <c r="C201" s="46" t="s">
        <v>28</v>
      </c>
      <c r="D201" s="47">
        <v>44862</v>
      </c>
      <c r="F201" s="46"/>
      <c r="G201" s="46"/>
      <c r="L201" s="39">
        <v>524809</v>
      </c>
      <c r="M201" s="77" t="s">
        <v>2297</v>
      </c>
      <c r="N201" s="32" t="s">
        <v>2100</v>
      </c>
      <c r="O201" s="34"/>
      <c r="P201" s="34"/>
      <c r="Q201" s="34"/>
      <c r="R201" s="96"/>
      <c r="S201" s="96"/>
      <c r="T201" s="34"/>
      <c r="U201" s="34"/>
      <c r="V201" s="34"/>
    </row>
    <row r="202" spans="2:22">
      <c r="B202" s="21" t="s">
        <v>47</v>
      </c>
      <c r="C202" s="46" t="s">
        <v>28</v>
      </c>
      <c r="D202" s="47">
        <v>44862</v>
      </c>
      <c r="F202" s="46"/>
      <c r="G202" s="46"/>
      <c r="L202" s="39">
        <v>2444102</v>
      </c>
      <c r="M202" s="77" t="s">
        <v>2298</v>
      </c>
      <c r="N202" s="32" t="s">
        <v>2100</v>
      </c>
      <c r="O202" s="34"/>
      <c r="P202" s="34"/>
      <c r="Q202" s="34"/>
      <c r="R202" s="96"/>
      <c r="S202" s="96"/>
      <c r="T202" s="34"/>
      <c r="U202" s="34"/>
      <c r="V202" s="34"/>
    </row>
    <row r="203" spans="2:22">
      <c r="B203" s="21" t="s">
        <v>47</v>
      </c>
      <c r="C203" s="46" t="s">
        <v>28</v>
      </c>
      <c r="D203" s="47">
        <v>44862</v>
      </c>
      <c r="F203" s="46"/>
      <c r="G203" s="46"/>
      <c r="L203" s="39">
        <v>698442</v>
      </c>
      <c r="M203" s="77" t="s">
        <v>2299</v>
      </c>
      <c r="N203" s="32" t="s">
        <v>2100</v>
      </c>
      <c r="O203" s="34"/>
      <c r="P203" s="34"/>
      <c r="Q203" s="34"/>
      <c r="R203" s="96"/>
      <c r="S203" s="96"/>
      <c r="T203" s="34"/>
      <c r="U203" s="34"/>
      <c r="V203" s="34"/>
    </row>
    <row r="204" spans="2:22">
      <c r="B204" s="21" t="s">
        <v>47</v>
      </c>
      <c r="C204" s="46" t="s">
        <v>28</v>
      </c>
      <c r="D204" s="47">
        <v>44862</v>
      </c>
      <c r="F204" s="46"/>
      <c r="G204" s="46"/>
      <c r="L204" s="39">
        <v>142507</v>
      </c>
      <c r="M204" s="77" t="s">
        <v>2300</v>
      </c>
      <c r="N204" s="32" t="s">
        <v>2100</v>
      </c>
      <c r="O204" s="34"/>
      <c r="P204" s="34"/>
      <c r="Q204" s="34"/>
      <c r="R204" s="96"/>
      <c r="S204" s="96"/>
      <c r="T204" s="34"/>
      <c r="U204" s="34"/>
      <c r="V204" s="34"/>
    </row>
    <row r="205" spans="2:22">
      <c r="B205" s="21" t="s">
        <v>47</v>
      </c>
      <c r="C205" s="46" t="s">
        <v>28</v>
      </c>
      <c r="D205" s="47">
        <v>44869</v>
      </c>
      <c r="F205" s="46"/>
      <c r="G205" s="46"/>
      <c r="L205" s="39">
        <v>329603</v>
      </c>
      <c r="M205" s="77" t="s">
        <v>2301</v>
      </c>
      <c r="N205" s="32" t="s">
        <v>2100</v>
      </c>
      <c r="O205" s="77"/>
      <c r="P205" s="39"/>
      <c r="Q205" s="77"/>
      <c r="R205" s="39"/>
      <c r="S205" s="77"/>
      <c r="T205" s="39"/>
      <c r="U205" s="77"/>
      <c r="V205" s="39"/>
    </row>
    <row r="206" spans="2:22">
      <c r="B206" s="21" t="s">
        <v>47</v>
      </c>
      <c r="C206" s="46" t="s">
        <v>28</v>
      </c>
      <c r="D206" s="47">
        <v>44883</v>
      </c>
      <c r="F206" s="46"/>
      <c r="G206" s="46"/>
      <c r="L206" s="39">
        <v>1257224</v>
      </c>
      <c r="M206" s="77" t="s">
        <v>2302</v>
      </c>
      <c r="N206" s="32" t="s">
        <v>2100</v>
      </c>
      <c r="V206" s="34"/>
    </row>
    <row r="207" spans="2:22">
      <c r="B207" s="21" t="s">
        <v>47</v>
      </c>
      <c r="C207" s="46" t="s">
        <v>28</v>
      </c>
      <c r="D207" s="47">
        <v>44883</v>
      </c>
      <c r="F207" s="46"/>
      <c r="G207" s="46"/>
      <c r="L207" s="39">
        <v>1180839</v>
      </c>
      <c r="M207" s="77" t="s">
        <v>2303</v>
      </c>
      <c r="N207" s="32" t="s">
        <v>2100</v>
      </c>
      <c r="V207" s="34"/>
    </row>
    <row r="208" spans="2:22">
      <c r="B208" s="21" t="s">
        <v>47</v>
      </c>
      <c r="C208" s="46" t="s">
        <v>28</v>
      </c>
      <c r="D208" s="47">
        <v>44883</v>
      </c>
      <c r="F208" s="46"/>
      <c r="G208" s="46"/>
      <c r="L208" s="39">
        <v>603803</v>
      </c>
      <c r="M208" s="77" t="s">
        <v>2304</v>
      </c>
      <c r="N208" s="32" t="s">
        <v>2100</v>
      </c>
      <c r="V208" s="34"/>
    </row>
    <row r="209" spans="2:22">
      <c r="B209" s="21" t="s">
        <v>47</v>
      </c>
      <c r="C209" s="46" t="s">
        <v>28</v>
      </c>
      <c r="D209" s="47">
        <v>44883</v>
      </c>
      <c r="F209" s="46"/>
      <c r="G209" s="46"/>
      <c r="L209" s="39">
        <v>859701</v>
      </c>
      <c r="M209" s="155" t="s">
        <v>2305</v>
      </c>
      <c r="N209" s="94" t="s">
        <v>2100</v>
      </c>
      <c r="V209" s="95"/>
    </row>
    <row r="210" spans="2:22">
      <c r="B210" s="21" t="s">
        <v>47</v>
      </c>
      <c r="C210" s="46" t="s">
        <v>28</v>
      </c>
      <c r="D210" s="47">
        <v>44911</v>
      </c>
      <c r="F210" s="46"/>
      <c r="G210" s="46"/>
      <c r="L210" s="39">
        <v>1297103</v>
      </c>
      <c r="M210" s="77" t="s">
        <v>2306</v>
      </c>
      <c r="N210" s="94" t="s">
        <v>2100</v>
      </c>
      <c r="O210" s="34"/>
      <c r="P210" s="34"/>
      <c r="Q210" s="34"/>
      <c r="R210" s="96"/>
      <c r="S210" s="96"/>
      <c r="T210" s="34"/>
      <c r="U210" s="34"/>
      <c r="V210" s="34"/>
    </row>
    <row r="211" spans="2:22">
      <c r="B211" s="21" t="s">
        <v>47</v>
      </c>
      <c r="C211" s="46" t="s">
        <v>28</v>
      </c>
      <c r="D211" s="47">
        <v>44911</v>
      </c>
      <c r="F211" s="46"/>
      <c r="G211" s="46"/>
      <c r="L211" s="39">
        <v>1326103</v>
      </c>
      <c r="M211" s="77" t="s">
        <v>2307</v>
      </c>
      <c r="N211" s="32" t="s">
        <v>2100</v>
      </c>
      <c r="O211" s="34"/>
      <c r="P211" s="34"/>
      <c r="Q211" s="34"/>
      <c r="R211" s="96"/>
      <c r="S211" s="96"/>
      <c r="T211" s="34"/>
      <c r="U211" s="34"/>
      <c r="V211" s="34"/>
    </row>
    <row r="212" spans="2:22">
      <c r="B212" s="21" t="s">
        <v>47</v>
      </c>
      <c r="C212" s="46" t="s">
        <v>28</v>
      </c>
      <c r="D212" s="47">
        <v>44931</v>
      </c>
      <c r="F212" s="46"/>
      <c r="G212" s="46"/>
      <c r="L212" s="39">
        <v>592087</v>
      </c>
      <c r="M212" s="77" t="s">
        <v>2308</v>
      </c>
      <c r="N212" s="32" t="s">
        <v>2100</v>
      </c>
      <c r="V212" s="34"/>
    </row>
    <row r="213" spans="2:22">
      <c r="B213" s="21" t="s">
        <v>47</v>
      </c>
      <c r="C213" s="46" t="s">
        <v>28</v>
      </c>
      <c r="D213" s="47">
        <v>44931</v>
      </c>
      <c r="F213" s="46"/>
      <c r="G213" s="46"/>
      <c r="L213" s="128">
        <v>592088</v>
      </c>
      <c r="M213" s="77" t="s">
        <v>2309</v>
      </c>
      <c r="N213" s="32" t="s">
        <v>2100</v>
      </c>
      <c r="V213" s="34"/>
    </row>
    <row r="214" spans="2:22">
      <c r="B214" s="21" t="s">
        <v>47</v>
      </c>
      <c r="C214" s="46" t="s">
        <v>28</v>
      </c>
      <c r="D214" s="47">
        <v>44931</v>
      </c>
      <c r="F214" s="46"/>
      <c r="G214" s="46"/>
      <c r="L214" s="128">
        <v>298162</v>
      </c>
      <c r="M214" s="77" t="s">
        <v>2310</v>
      </c>
      <c r="N214" s="32" t="s">
        <v>2100</v>
      </c>
      <c r="V214" s="34"/>
    </row>
    <row r="215" spans="2:22">
      <c r="B215" s="21" t="s">
        <v>47</v>
      </c>
      <c r="C215" s="46" t="s">
        <v>28</v>
      </c>
      <c r="D215" s="47">
        <v>44931</v>
      </c>
      <c r="F215" s="46"/>
      <c r="G215" s="46"/>
      <c r="L215" s="128" t="s">
        <v>2311</v>
      </c>
      <c r="M215" s="155" t="s">
        <v>2312</v>
      </c>
      <c r="N215" s="94" t="s">
        <v>2100</v>
      </c>
      <c r="V215" s="95"/>
    </row>
    <row r="216" spans="2:22">
      <c r="B216" s="21" t="s">
        <v>47</v>
      </c>
      <c r="C216" s="46" t="s">
        <v>28</v>
      </c>
      <c r="D216" s="47">
        <v>44939</v>
      </c>
      <c r="F216" s="46"/>
      <c r="G216" s="46"/>
      <c r="L216" s="128">
        <v>1002629</v>
      </c>
      <c r="M216" s="16" t="s">
        <v>2313</v>
      </c>
      <c r="N216" s="94" t="s">
        <v>2100</v>
      </c>
      <c r="O216" s="34"/>
      <c r="P216" s="34"/>
      <c r="Q216" s="34"/>
      <c r="R216" s="96"/>
      <c r="S216" s="96"/>
      <c r="T216" s="34"/>
      <c r="U216" s="34"/>
      <c r="V216" s="34"/>
    </row>
    <row r="217" spans="2:22">
      <c r="B217" s="21" t="s">
        <v>47</v>
      </c>
      <c r="C217" s="46" t="s">
        <v>28</v>
      </c>
      <c r="D217" s="47">
        <v>44939</v>
      </c>
      <c r="F217" s="46"/>
      <c r="G217" s="46"/>
      <c r="L217" s="39">
        <v>1025225</v>
      </c>
      <c r="M217" s="16" t="s">
        <v>2314</v>
      </c>
      <c r="N217" s="32" t="s">
        <v>2100</v>
      </c>
      <c r="O217" s="34"/>
      <c r="P217" s="34"/>
      <c r="Q217" s="34"/>
      <c r="R217" s="96"/>
      <c r="S217" s="96"/>
      <c r="T217" s="34"/>
      <c r="U217" s="34"/>
      <c r="V217" s="34"/>
    </row>
    <row r="218" spans="2:22">
      <c r="B218" s="21" t="s">
        <v>47</v>
      </c>
      <c r="C218" s="112" t="s">
        <v>2161</v>
      </c>
      <c r="D218" s="47">
        <v>44974</v>
      </c>
      <c r="F218" s="46"/>
      <c r="G218" s="46"/>
      <c r="L218" s="91">
        <v>524812</v>
      </c>
      <c r="M218" s="92" t="s">
        <v>2315</v>
      </c>
      <c r="N218" s="32" t="s">
        <v>2100</v>
      </c>
      <c r="O218" s="34"/>
      <c r="P218" s="34"/>
      <c r="Q218" s="34"/>
      <c r="R218" s="96"/>
      <c r="S218" s="96"/>
      <c r="T218" s="34"/>
      <c r="U218" s="34"/>
      <c r="V218" s="34"/>
    </row>
    <row r="219" spans="2:22">
      <c r="B219" s="21" t="s">
        <v>47</v>
      </c>
      <c r="C219" s="112" t="s">
        <v>2161</v>
      </c>
      <c r="D219" s="47">
        <v>44974</v>
      </c>
      <c r="F219" s="46"/>
      <c r="G219" s="46"/>
      <c r="L219" s="91">
        <v>698443</v>
      </c>
      <c r="M219" s="92" t="s">
        <v>2316</v>
      </c>
      <c r="N219" s="32" t="s">
        <v>2100</v>
      </c>
      <c r="O219" s="39"/>
      <c r="P219" s="39"/>
      <c r="Q219" s="39"/>
      <c r="R219" s="96"/>
      <c r="S219" s="96"/>
      <c r="T219" s="39"/>
      <c r="U219" s="39"/>
      <c r="V219" s="39"/>
    </row>
    <row r="220" spans="2:22">
      <c r="B220" s="21" t="s">
        <v>47</v>
      </c>
      <c r="C220" s="46" t="s">
        <v>28</v>
      </c>
      <c r="D220" s="47">
        <v>44988</v>
      </c>
      <c r="F220" s="46"/>
      <c r="G220" s="46"/>
      <c r="L220" s="39">
        <v>1288202</v>
      </c>
      <c r="M220" s="16" t="s">
        <v>2317</v>
      </c>
      <c r="N220" s="32" t="s">
        <v>2100</v>
      </c>
      <c r="O220" s="39"/>
      <c r="P220" s="39"/>
      <c r="Q220" s="39"/>
      <c r="R220" s="96"/>
      <c r="S220" s="96"/>
      <c r="T220" s="39"/>
      <c r="U220" s="39"/>
      <c r="V220" s="39"/>
    </row>
    <row r="221" spans="2:22">
      <c r="B221" s="21" t="s">
        <v>47</v>
      </c>
      <c r="C221" s="46" t="s">
        <v>28</v>
      </c>
      <c r="D221" s="47">
        <v>44988</v>
      </c>
      <c r="F221" s="46"/>
      <c r="G221" s="46"/>
      <c r="L221" s="39">
        <v>1312315</v>
      </c>
      <c r="M221" s="16" t="s">
        <v>2318</v>
      </c>
      <c r="N221" s="32" t="s">
        <v>2100</v>
      </c>
      <c r="O221" s="39"/>
      <c r="P221" s="39"/>
      <c r="Q221" s="39"/>
      <c r="R221" s="96"/>
      <c r="S221" s="96"/>
      <c r="T221" s="39"/>
      <c r="U221" s="39"/>
      <c r="V221" s="39"/>
    </row>
    <row r="222" spans="2:22">
      <c r="B222" s="21" t="s">
        <v>47</v>
      </c>
      <c r="C222" s="46" t="s">
        <v>28</v>
      </c>
      <c r="D222" s="47">
        <v>44995</v>
      </c>
      <c r="F222" s="46"/>
      <c r="G222" s="46"/>
      <c r="L222" s="39">
        <v>2447501</v>
      </c>
      <c r="M222" s="16" t="s">
        <v>2319</v>
      </c>
      <c r="N222" s="32" t="s">
        <v>2100</v>
      </c>
      <c r="O222" s="34"/>
      <c r="P222" s="34"/>
      <c r="Q222" s="34"/>
      <c r="R222" s="96"/>
      <c r="S222" s="96"/>
      <c r="T222" s="34"/>
      <c r="U222" s="34"/>
      <c r="V222" s="34"/>
    </row>
    <row r="223" spans="2:22">
      <c r="B223" s="21" t="s">
        <v>47</v>
      </c>
      <c r="C223" s="46" t="s">
        <v>28</v>
      </c>
      <c r="D223" s="47">
        <v>45002</v>
      </c>
      <c r="F223" s="46"/>
      <c r="G223" s="46"/>
      <c r="L223" s="39">
        <v>2496301</v>
      </c>
      <c r="M223" s="16" t="s">
        <v>2320</v>
      </c>
      <c r="N223" s="32" t="s">
        <v>2100</v>
      </c>
      <c r="O223" s="39"/>
      <c r="P223" s="39"/>
      <c r="Q223" s="39"/>
      <c r="R223" s="96"/>
      <c r="S223" s="96"/>
      <c r="T223" s="39"/>
      <c r="U223" s="39"/>
      <c r="V223" s="39"/>
    </row>
    <row r="224" spans="2:22">
      <c r="B224" s="21" t="s">
        <v>47</v>
      </c>
      <c r="C224" s="46" t="s">
        <v>28</v>
      </c>
      <c r="D224" s="47">
        <v>45009</v>
      </c>
      <c r="F224" s="46"/>
      <c r="G224" s="46"/>
      <c r="L224" s="39">
        <v>1180842</v>
      </c>
      <c r="M224" s="16" t="s">
        <v>2321</v>
      </c>
      <c r="N224" s="32" t="s">
        <v>2100</v>
      </c>
      <c r="O224" s="34"/>
      <c r="P224" s="34"/>
      <c r="Q224" s="34"/>
      <c r="R224" s="96"/>
      <c r="S224" s="96"/>
      <c r="T224" s="34"/>
      <c r="U224" s="34"/>
      <c r="V224" s="34"/>
    </row>
    <row r="225" spans="2:22">
      <c r="B225" s="21" t="s">
        <v>47</v>
      </c>
      <c r="C225" s="46" t="s">
        <v>28</v>
      </c>
      <c r="D225" s="47">
        <v>45009</v>
      </c>
      <c r="F225" s="46"/>
      <c r="G225" s="46"/>
      <c r="L225" s="39">
        <v>1257228</v>
      </c>
      <c r="M225" s="16" t="s">
        <v>2322</v>
      </c>
      <c r="N225" s="32" t="s">
        <v>2100</v>
      </c>
      <c r="O225" s="34"/>
      <c r="P225" s="34"/>
      <c r="Q225" s="34"/>
      <c r="R225" s="96"/>
      <c r="S225" s="96"/>
      <c r="T225" s="34"/>
      <c r="U225" s="34"/>
      <c r="V225" s="34"/>
    </row>
    <row r="226" spans="2:22">
      <c r="B226" s="21" t="s">
        <v>47</v>
      </c>
      <c r="C226" s="46" t="s">
        <v>28</v>
      </c>
      <c r="D226" s="47">
        <v>45022</v>
      </c>
      <c r="F226" s="46"/>
      <c r="G226" s="46"/>
      <c r="L226" s="39">
        <v>2438802</v>
      </c>
      <c r="M226" s="16" t="s">
        <v>2323</v>
      </c>
      <c r="N226" s="32" t="s">
        <v>2100</v>
      </c>
      <c r="O226" s="39"/>
      <c r="P226" s="39"/>
      <c r="Q226" s="39"/>
      <c r="R226" s="96"/>
      <c r="S226" s="96"/>
      <c r="T226" s="39"/>
      <c r="U226" s="39"/>
      <c r="V226" s="39"/>
    </row>
    <row r="227" spans="2:22">
      <c r="B227" s="21" t="s">
        <v>47</v>
      </c>
      <c r="C227" s="46" t="s">
        <v>28</v>
      </c>
      <c r="D227" s="47">
        <v>45022</v>
      </c>
      <c r="F227" s="46"/>
      <c r="G227" s="46"/>
      <c r="L227" s="39">
        <v>2279302</v>
      </c>
      <c r="M227" s="16" t="s">
        <v>2324</v>
      </c>
      <c r="N227" s="32" t="s">
        <v>2100</v>
      </c>
      <c r="O227" s="39"/>
      <c r="P227" s="39"/>
      <c r="Q227" s="39"/>
      <c r="R227" s="96"/>
      <c r="S227" s="96"/>
      <c r="T227" s="39"/>
      <c r="U227" s="39"/>
      <c r="V227" s="39"/>
    </row>
    <row r="228" spans="2:22">
      <c r="B228" s="21" t="s">
        <v>47</v>
      </c>
      <c r="C228" s="46" t="s">
        <v>28</v>
      </c>
      <c r="D228" s="47">
        <v>45072</v>
      </c>
      <c r="F228" s="46"/>
      <c r="G228" s="46"/>
      <c r="L228" s="39">
        <v>2438803</v>
      </c>
      <c r="M228" s="16" t="s">
        <v>2325</v>
      </c>
      <c r="N228" s="32" t="s">
        <v>2100</v>
      </c>
      <c r="O228" s="34"/>
      <c r="P228" s="34"/>
      <c r="Q228" s="34"/>
      <c r="R228" s="96"/>
      <c r="S228" s="96"/>
      <c r="T228" s="34"/>
      <c r="U228" s="34"/>
      <c r="V228" s="34"/>
    </row>
    <row r="229" spans="2:22">
      <c r="B229" s="21" t="s">
        <v>47</v>
      </c>
      <c r="C229" s="46" t="s">
        <v>28</v>
      </c>
      <c r="D229" s="47">
        <v>45121</v>
      </c>
      <c r="F229" s="46"/>
      <c r="G229" s="46"/>
      <c r="L229" s="128">
        <v>1002630</v>
      </c>
      <c r="M229" s="140" t="s">
        <v>2326</v>
      </c>
      <c r="N229" s="94" t="s">
        <v>2100</v>
      </c>
      <c r="V229" s="95"/>
    </row>
    <row r="230" spans="2:22">
      <c r="B230" s="21" t="s">
        <v>47</v>
      </c>
      <c r="C230" s="46" t="s">
        <v>28</v>
      </c>
      <c r="D230" s="47">
        <v>45128</v>
      </c>
      <c r="F230" s="46"/>
      <c r="G230" s="46"/>
      <c r="L230" s="39">
        <v>2515601</v>
      </c>
      <c r="M230" s="16" t="s">
        <v>2327</v>
      </c>
      <c r="N230" s="32" t="s">
        <v>2100</v>
      </c>
      <c r="O230" s="34"/>
      <c r="P230" s="34"/>
      <c r="Q230" s="34"/>
      <c r="R230" s="96"/>
      <c r="S230" s="96"/>
      <c r="T230" s="34"/>
      <c r="U230" s="34"/>
      <c r="V230" s="34"/>
    </row>
    <row r="231" spans="2:22">
      <c r="B231" s="21" t="s">
        <v>47</v>
      </c>
      <c r="C231" s="46" t="s">
        <v>28</v>
      </c>
      <c r="D231" s="47">
        <v>45156</v>
      </c>
      <c r="F231" s="46"/>
      <c r="G231" s="46"/>
      <c r="L231" s="39">
        <v>225305</v>
      </c>
      <c r="M231" s="16" t="s">
        <v>2174</v>
      </c>
      <c r="N231" s="32" t="s">
        <v>2100</v>
      </c>
      <c r="O231" s="34"/>
      <c r="P231" s="34"/>
      <c r="Q231" s="34"/>
      <c r="R231" s="96"/>
      <c r="S231" s="96"/>
      <c r="T231" s="34"/>
      <c r="U231" s="34"/>
      <c r="V231" s="34"/>
    </row>
    <row r="232" spans="2:22">
      <c r="B232" s="21" t="s">
        <v>47</v>
      </c>
      <c r="C232" s="46" t="s">
        <v>28</v>
      </c>
      <c r="D232" s="47">
        <v>45156</v>
      </c>
      <c r="F232" s="46"/>
      <c r="G232" s="46"/>
      <c r="L232" s="39">
        <v>517402</v>
      </c>
      <c r="M232" s="16" t="s">
        <v>2171</v>
      </c>
      <c r="N232" s="32" t="s">
        <v>2100</v>
      </c>
      <c r="O232" s="34"/>
      <c r="P232" s="34"/>
      <c r="Q232" s="34"/>
      <c r="R232" s="96"/>
      <c r="S232" s="96"/>
      <c r="T232" s="34"/>
      <c r="U232" s="34"/>
      <c r="V232" s="34"/>
    </row>
    <row r="233" spans="2:22">
      <c r="B233" s="21" t="s">
        <v>47</v>
      </c>
      <c r="C233" s="46" t="s">
        <v>28</v>
      </c>
      <c r="D233" s="47">
        <v>45156</v>
      </c>
      <c r="F233" s="46"/>
      <c r="G233" s="46"/>
      <c r="L233" s="39">
        <v>1002629</v>
      </c>
      <c r="M233" s="16" t="s">
        <v>2313</v>
      </c>
      <c r="N233" s="32" t="s">
        <v>2100</v>
      </c>
      <c r="O233" s="34"/>
      <c r="P233" s="34"/>
      <c r="Q233" s="34"/>
      <c r="R233" s="96"/>
      <c r="S233" s="96"/>
      <c r="T233" s="34"/>
      <c r="U233" s="34"/>
      <c r="V233" s="34"/>
    </row>
    <row r="234" spans="2:22">
      <c r="B234" s="21" t="s">
        <v>47</v>
      </c>
      <c r="C234" s="46" t="s">
        <v>28</v>
      </c>
      <c r="D234" s="47">
        <v>45156</v>
      </c>
      <c r="F234" s="46"/>
      <c r="G234" s="46"/>
      <c r="L234" s="39">
        <v>1025225</v>
      </c>
      <c r="M234" s="16" t="s">
        <v>2314</v>
      </c>
      <c r="N234" s="32" t="s">
        <v>2100</v>
      </c>
      <c r="O234" s="34"/>
      <c r="P234" s="34"/>
      <c r="Q234" s="34"/>
      <c r="R234" s="96"/>
      <c r="S234" s="96"/>
      <c r="T234" s="34"/>
      <c r="U234" s="34"/>
      <c r="V234" s="34"/>
    </row>
    <row r="235" spans="2:22">
      <c r="B235" s="21" t="s">
        <v>47</v>
      </c>
      <c r="C235" s="46" t="s">
        <v>28</v>
      </c>
      <c r="D235" s="47">
        <v>45156</v>
      </c>
      <c r="F235" s="46"/>
      <c r="G235" s="46"/>
      <c r="L235" s="39">
        <v>225011</v>
      </c>
      <c r="M235" s="16" t="s">
        <v>2173</v>
      </c>
      <c r="N235" s="32" t="s">
        <v>2100</v>
      </c>
      <c r="O235" s="34"/>
      <c r="P235" s="34"/>
      <c r="Q235" s="34"/>
      <c r="R235" s="96"/>
      <c r="S235" s="96"/>
      <c r="T235" s="34"/>
      <c r="U235" s="34"/>
      <c r="V235" s="34"/>
    </row>
    <row r="236" spans="2:22">
      <c r="B236" s="21" t="s">
        <v>47</v>
      </c>
      <c r="C236" s="46" t="s">
        <v>28</v>
      </c>
      <c r="D236" s="47">
        <v>45156</v>
      </c>
      <c r="F236" s="46"/>
      <c r="G236" s="46"/>
      <c r="L236" s="39">
        <v>17387</v>
      </c>
      <c r="M236" s="16" t="s">
        <v>2328</v>
      </c>
      <c r="N236" s="32" t="s">
        <v>2100</v>
      </c>
      <c r="O236" s="34"/>
      <c r="P236" s="34"/>
      <c r="Q236" s="34"/>
      <c r="R236" s="96"/>
      <c r="S236" s="96"/>
      <c r="T236" s="34"/>
      <c r="U236" s="34"/>
      <c r="V236" s="34"/>
    </row>
    <row r="237" spans="2:22">
      <c r="B237" s="21" t="s">
        <v>47</v>
      </c>
      <c r="C237" s="46" t="s">
        <v>28</v>
      </c>
      <c r="D237" s="81">
        <v>45261</v>
      </c>
      <c r="E237" s="107"/>
      <c r="F237" s="80"/>
      <c r="G237" s="80"/>
      <c r="H237" s="107"/>
      <c r="I237" s="107"/>
      <c r="J237" s="107"/>
      <c r="K237" s="107"/>
      <c r="L237" s="82">
        <v>564323</v>
      </c>
      <c r="M237" s="78" t="s">
        <v>2329</v>
      </c>
      <c r="N237" s="32" t="s">
        <v>2100</v>
      </c>
      <c r="O237" s="34"/>
      <c r="P237" s="34"/>
      <c r="Q237" s="34"/>
      <c r="R237" s="96"/>
      <c r="S237" s="96"/>
      <c r="T237" s="34"/>
      <c r="U237" s="34"/>
      <c r="V237" s="34"/>
    </row>
    <row r="238" spans="2:22">
      <c r="B238" s="21" t="s">
        <v>47</v>
      </c>
      <c r="C238" s="80" t="s">
        <v>28</v>
      </c>
      <c r="D238" s="81">
        <v>45261</v>
      </c>
      <c r="E238" s="107"/>
      <c r="F238" s="80"/>
      <c r="G238" s="80"/>
      <c r="H238" s="107"/>
      <c r="I238" s="107"/>
      <c r="J238" s="107"/>
      <c r="K238" s="107"/>
      <c r="L238" s="82">
        <v>603759</v>
      </c>
      <c r="M238" s="78" t="s">
        <v>2330</v>
      </c>
      <c r="N238" s="32" t="s">
        <v>2100</v>
      </c>
      <c r="O238" s="34"/>
      <c r="P238" s="34"/>
      <c r="Q238" s="34"/>
      <c r="R238" s="96"/>
      <c r="S238" s="96"/>
      <c r="T238" s="34"/>
      <c r="U238" s="34"/>
      <c r="V238" s="34"/>
    </row>
    <row r="239" spans="2:22">
      <c r="B239" s="21" t="s">
        <v>47</v>
      </c>
      <c r="C239" s="80" t="s">
        <v>28</v>
      </c>
      <c r="D239" s="81">
        <v>45261</v>
      </c>
      <c r="E239" s="107"/>
      <c r="F239" s="80"/>
      <c r="G239" s="80"/>
      <c r="H239" s="107"/>
      <c r="I239" s="107"/>
      <c r="J239" s="107"/>
      <c r="K239" s="107"/>
      <c r="L239" s="82">
        <v>604017</v>
      </c>
      <c r="M239" s="78" t="s">
        <v>2331</v>
      </c>
      <c r="N239" s="32" t="s">
        <v>2100</v>
      </c>
      <c r="O239" s="34"/>
      <c r="P239" s="34"/>
      <c r="Q239" s="34"/>
      <c r="R239" s="96"/>
      <c r="S239" s="96"/>
      <c r="T239" s="34"/>
      <c r="U239" s="34"/>
      <c r="V239" s="34"/>
    </row>
    <row r="240" spans="2:22">
      <c r="B240" s="21" t="s">
        <v>47</v>
      </c>
      <c r="C240" s="80" t="s">
        <v>28</v>
      </c>
      <c r="D240" s="81">
        <v>45261</v>
      </c>
      <c r="E240" s="107"/>
      <c r="F240" s="80"/>
      <c r="G240" s="80"/>
      <c r="H240" s="107"/>
      <c r="I240" s="107"/>
      <c r="J240" s="107"/>
      <c r="K240" s="107"/>
      <c r="L240" s="82">
        <v>694219</v>
      </c>
      <c r="M240" s="78" t="s">
        <v>2332</v>
      </c>
      <c r="N240" s="32" t="s">
        <v>2100</v>
      </c>
      <c r="O240" s="34"/>
      <c r="P240" s="34"/>
      <c r="Q240" s="34"/>
      <c r="R240" s="96"/>
      <c r="S240" s="96"/>
      <c r="T240" s="34"/>
      <c r="U240" s="34"/>
      <c r="V240" s="34"/>
    </row>
    <row r="241" spans="2:22">
      <c r="B241" s="21" t="s">
        <v>47</v>
      </c>
      <c r="C241" s="46" t="s">
        <v>28</v>
      </c>
      <c r="D241" s="81">
        <v>45275</v>
      </c>
      <c r="E241" s="107"/>
      <c r="F241" s="80"/>
      <c r="G241" s="80"/>
      <c r="H241" s="107"/>
      <c r="I241" s="107"/>
      <c r="J241" s="107"/>
      <c r="K241" s="107"/>
      <c r="L241" s="82">
        <v>1297105</v>
      </c>
      <c r="M241" s="78" t="s">
        <v>2333</v>
      </c>
      <c r="N241" s="32" t="s">
        <v>2100</v>
      </c>
      <c r="O241" s="34"/>
      <c r="P241" s="34"/>
      <c r="Q241" s="34"/>
      <c r="R241" s="96"/>
      <c r="S241" s="96"/>
      <c r="T241" s="34"/>
      <c r="U241" s="34"/>
      <c r="V241" s="34"/>
    </row>
    <row r="242" spans="2:22">
      <c r="B242" s="21" t="s">
        <v>47</v>
      </c>
      <c r="C242" s="46" t="s">
        <v>28</v>
      </c>
      <c r="D242" s="81">
        <v>45275</v>
      </c>
      <c r="E242" s="107"/>
      <c r="F242" s="80"/>
      <c r="G242" s="80"/>
      <c r="H242" s="107"/>
      <c r="I242" s="107"/>
      <c r="J242" s="107"/>
      <c r="K242" s="107"/>
      <c r="L242" s="82">
        <v>1147004</v>
      </c>
      <c r="M242" s="78" t="s">
        <v>2334</v>
      </c>
      <c r="N242" s="32" t="s">
        <v>2100</v>
      </c>
      <c r="O242" s="34"/>
      <c r="P242" s="34"/>
      <c r="Q242" s="34"/>
      <c r="R242" s="96"/>
      <c r="S242" s="96"/>
      <c r="T242" s="34"/>
      <c r="U242" s="34"/>
      <c r="V242" s="34"/>
    </row>
    <row r="243" spans="2:22">
      <c r="B243" s="21" t="s">
        <v>47</v>
      </c>
      <c r="C243" s="46" t="s">
        <v>28</v>
      </c>
      <c r="D243" s="81">
        <v>45275</v>
      </c>
      <c r="E243" s="107"/>
      <c r="F243" s="80"/>
      <c r="G243" s="80"/>
      <c r="H243" s="107"/>
      <c r="I243" s="107"/>
      <c r="J243" s="107"/>
      <c r="K243" s="107"/>
      <c r="L243" s="82">
        <v>223216</v>
      </c>
      <c r="M243" s="78" t="s">
        <v>2335</v>
      </c>
      <c r="N243" s="32" t="s">
        <v>2100</v>
      </c>
      <c r="O243" s="34"/>
      <c r="P243" s="34"/>
      <c r="Q243" s="34"/>
      <c r="R243" s="96"/>
      <c r="S243" s="96"/>
      <c r="T243" s="34"/>
      <c r="U243" s="34"/>
      <c r="V243" s="34"/>
    </row>
    <row r="244" spans="2:22">
      <c r="B244" s="21" t="s">
        <v>47</v>
      </c>
      <c r="C244" s="46" t="s">
        <v>28</v>
      </c>
      <c r="D244" s="81">
        <v>45275</v>
      </c>
      <c r="E244" s="107"/>
      <c r="F244" s="80"/>
      <c r="G244" s="80"/>
      <c r="H244" s="107"/>
      <c r="I244" s="107"/>
      <c r="J244" s="107"/>
      <c r="K244" s="107"/>
      <c r="L244" s="82">
        <v>511617</v>
      </c>
      <c r="M244" s="78" t="s">
        <v>2336</v>
      </c>
      <c r="N244" s="32" t="s">
        <v>2100</v>
      </c>
      <c r="O244" s="34"/>
      <c r="P244" s="34"/>
      <c r="Q244" s="34"/>
      <c r="R244" s="96"/>
      <c r="S244" s="96"/>
      <c r="T244" s="34"/>
      <c r="U244" s="34"/>
      <c r="V244" s="34"/>
    </row>
    <row r="245" spans="2:22">
      <c r="B245" s="21" t="s">
        <v>47</v>
      </c>
      <c r="C245" s="46" t="s">
        <v>28</v>
      </c>
      <c r="D245" s="81">
        <v>45303</v>
      </c>
      <c r="E245" s="107"/>
      <c r="F245" s="80"/>
      <c r="G245" s="80"/>
      <c r="H245" s="107"/>
      <c r="I245" s="107"/>
      <c r="J245" s="107"/>
      <c r="K245" s="107"/>
      <c r="L245" s="82">
        <v>1188088</v>
      </c>
      <c r="M245" s="78" t="s">
        <v>2337</v>
      </c>
      <c r="N245" s="32" t="s">
        <v>2100</v>
      </c>
      <c r="O245" s="34"/>
      <c r="P245" s="34"/>
      <c r="Q245" s="34"/>
      <c r="R245" s="96"/>
      <c r="S245" s="96"/>
      <c r="T245" s="34"/>
      <c r="U245" s="34"/>
      <c r="V245" s="34"/>
    </row>
    <row r="246" spans="2:22">
      <c r="B246" s="21" t="s">
        <v>47</v>
      </c>
      <c r="C246" s="46" t="s">
        <v>28</v>
      </c>
      <c r="D246" s="47">
        <v>45303</v>
      </c>
      <c r="F246" s="46"/>
      <c r="G246" s="46"/>
      <c r="L246" s="39">
        <v>17397</v>
      </c>
      <c r="M246" s="16" t="s">
        <v>2338</v>
      </c>
      <c r="N246" s="32" t="s">
        <v>2100</v>
      </c>
      <c r="V246" s="34"/>
    </row>
    <row r="247" spans="2:22">
      <c r="B247" s="21" t="s">
        <v>47</v>
      </c>
      <c r="C247" s="46" t="s">
        <v>28</v>
      </c>
      <c r="D247" s="47">
        <v>45303</v>
      </c>
      <c r="F247" s="46"/>
      <c r="G247" s="46"/>
      <c r="L247" s="39">
        <v>2564001</v>
      </c>
      <c r="M247" s="16" t="s">
        <v>2339</v>
      </c>
      <c r="N247" s="32" t="s">
        <v>2100</v>
      </c>
      <c r="V247" s="34"/>
    </row>
    <row r="248" spans="2:22">
      <c r="B248" s="21" t="s">
        <v>47</v>
      </c>
      <c r="C248" s="46" t="s">
        <v>28</v>
      </c>
      <c r="D248" s="47">
        <v>45366</v>
      </c>
      <c r="F248" s="46"/>
      <c r="G248" s="46"/>
      <c r="L248" s="128">
        <v>1326105</v>
      </c>
      <c r="M248" s="140" t="s">
        <v>2340</v>
      </c>
      <c r="N248" s="94" t="s">
        <v>2100</v>
      </c>
      <c r="V248" s="95"/>
    </row>
    <row r="249" spans="2:22">
      <c r="B249" s="21" t="s">
        <v>47</v>
      </c>
      <c r="C249" s="46" t="s">
        <v>28</v>
      </c>
      <c r="D249" s="47">
        <v>45366</v>
      </c>
      <c r="F249" s="46"/>
      <c r="G249" s="46"/>
      <c r="L249" s="39">
        <v>2515603</v>
      </c>
      <c r="M249" s="16" t="s">
        <v>2341</v>
      </c>
      <c r="N249" s="32" t="s">
        <v>2100</v>
      </c>
      <c r="O249" s="34"/>
      <c r="P249" s="34"/>
      <c r="Q249" s="34"/>
      <c r="R249" s="96"/>
      <c r="S249" s="96"/>
      <c r="T249" s="34"/>
      <c r="U249" s="34"/>
      <c r="V249" s="34"/>
    </row>
    <row r="250" spans="2:22">
      <c r="B250" s="21" t="s">
        <v>47</v>
      </c>
      <c r="C250" s="46" t="s">
        <v>28</v>
      </c>
      <c r="D250" s="47">
        <v>45373</v>
      </c>
      <c r="F250" s="46"/>
      <c r="G250" s="46"/>
      <c r="L250" s="39">
        <v>1025229</v>
      </c>
      <c r="M250" s="16" t="s">
        <v>2342</v>
      </c>
      <c r="N250" s="32" t="s">
        <v>2100</v>
      </c>
      <c r="O250" s="34"/>
      <c r="P250" s="34"/>
      <c r="Q250" s="34"/>
      <c r="R250" s="96"/>
      <c r="S250" s="96"/>
      <c r="T250" s="34"/>
      <c r="U250" s="34"/>
      <c r="V250" s="34"/>
    </row>
    <row r="251" spans="2:22">
      <c r="B251" s="21" t="s">
        <v>47</v>
      </c>
      <c r="C251" s="46" t="s">
        <v>28</v>
      </c>
      <c r="D251" s="47">
        <v>45373</v>
      </c>
      <c r="F251" s="46"/>
      <c r="G251" s="46"/>
      <c r="L251" s="39">
        <v>1074003</v>
      </c>
      <c r="M251" s="16" t="s">
        <v>2343</v>
      </c>
      <c r="N251" s="32" t="s">
        <v>2100</v>
      </c>
      <c r="O251" s="34"/>
      <c r="P251" s="34"/>
      <c r="Q251" s="34"/>
      <c r="R251" s="96"/>
      <c r="S251" s="96"/>
      <c r="T251" s="34"/>
      <c r="U251" s="34"/>
      <c r="V251" s="34"/>
    </row>
    <row r="252" spans="2:22">
      <c r="B252" s="21" t="s">
        <v>47</v>
      </c>
      <c r="C252" s="46" t="s">
        <v>28</v>
      </c>
      <c r="D252" s="47">
        <v>45373</v>
      </c>
      <c r="F252" s="46"/>
      <c r="G252" s="46"/>
      <c r="L252" s="39">
        <v>1188087</v>
      </c>
      <c r="M252" s="16" t="s">
        <v>2344</v>
      </c>
      <c r="N252" s="32" t="s">
        <v>2100</v>
      </c>
      <c r="O252" s="34"/>
      <c r="P252" s="34"/>
      <c r="Q252" s="34"/>
      <c r="R252" s="96"/>
      <c r="S252" s="96"/>
      <c r="T252" s="34"/>
      <c r="U252" s="34"/>
      <c r="V252" s="34"/>
    </row>
    <row r="253" spans="2:22">
      <c r="B253" s="21" t="s">
        <v>47</v>
      </c>
      <c r="C253" s="46" t="s">
        <v>28</v>
      </c>
      <c r="D253" s="47">
        <v>45373</v>
      </c>
      <c r="F253" s="46"/>
      <c r="G253" s="46"/>
      <c r="L253" s="39">
        <v>1188086</v>
      </c>
      <c r="M253" s="16" t="s">
        <v>2345</v>
      </c>
      <c r="N253" s="32" t="s">
        <v>2100</v>
      </c>
      <c r="O253" s="34"/>
      <c r="P253" s="34"/>
      <c r="Q253" s="34"/>
      <c r="R253" s="96"/>
      <c r="S253" s="96"/>
      <c r="T253" s="34"/>
      <c r="U253" s="34"/>
      <c r="V253" s="34"/>
    </row>
    <row r="254" spans="2:22">
      <c r="B254" s="21" t="s">
        <v>47</v>
      </c>
      <c r="C254" s="46" t="s">
        <v>28</v>
      </c>
      <c r="D254" s="47">
        <v>45373</v>
      </c>
      <c r="F254" s="46"/>
      <c r="G254" s="46"/>
      <c r="L254" s="39">
        <v>1188089</v>
      </c>
      <c r="M254" s="16" t="s">
        <v>2346</v>
      </c>
      <c r="N254" s="32" t="s">
        <v>2100</v>
      </c>
      <c r="O254" s="34"/>
      <c r="P254" s="34"/>
      <c r="Q254" s="34"/>
      <c r="R254" s="96"/>
      <c r="S254" s="96"/>
      <c r="T254" s="34"/>
      <c r="U254" s="34"/>
      <c r="V254" s="34"/>
    </row>
    <row r="255" spans="2:22">
      <c r="B255" s="21" t="s">
        <v>47</v>
      </c>
      <c r="C255" s="46" t="s">
        <v>28</v>
      </c>
      <c r="D255" s="47">
        <v>45379</v>
      </c>
      <c r="F255" s="46"/>
      <c r="G255" s="46"/>
      <c r="L255" s="39">
        <v>141635</v>
      </c>
      <c r="M255" s="16" t="s">
        <v>2347</v>
      </c>
      <c r="N255" s="32" t="s">
        <v>2100</v>
      </c>
      <c r="O255" s="34"/>
      <c r="P255" s="34"/>
      <c r="Q255" s="34"/>
      <c r="R255" s="96"/>
      <c r="S255" s="96"/>
      <c r="T255" s="34"/>
      <c r="U255" s="34"/>
      <c r="V255" s="34"/>
    </row>
    <row r="256" spans="2:22">
      <c r="B256" s="21" t="s">
        <v>47</v>
      </c>
      <c r="C256" s="46" t="s">
        <v>28</v>
      </c>
      <c r="D256" s="47">
        <v>45379</v>
      </c>
      <c r="F256" s="46"/>
      <c r="G256" s="46"/>
      <c r="L256" s="39">
        <v>141636</v>
      </c>
      <c r="M256" s="16" t="s">
        <v>2348</v>
      </c>
      <c r="N256" s="32" t="s">
        <v>2100</v>
      </c>
      <c r="O256" s="34"/>
      <c r="P256" s="34"/>
      <c r="Q256" s="34"/>
      <c r="R256" s="96"/>
      <c r="S256" s="96"/>
      <c r="T256" s="34"/>
      <c r="U256" s="34"/>
      <c r="V256" s="34"/>
    </row>
    <row r="257" spans="2:22">
      <c r="B257" s="21" t="s">
        <v>47</v>
      </c>
      <c r="C257" s="46" t="s">
        <v>28</v>
      </c>
      <c r="D257" s="47">
        <v>45420</v>
      </c>
      <c r="F257" s="46"/>
      <c r="G257" s="46"/>
      <c r="L257" s="39">
        <v>14662</v>
      </c>
      <c r="M257" s="16" t="s">
        <v>2349</v>
      </c>
      <c r="N257" s="32" t="s">
        <v>2100</v>
      </c>
      <c r="O257" s="34"/>
      <c r="P257" s="34"/>
      <c r="Q257" s="34"/>
      <c r="R257" s="96"/>
      <c r="S257" s="96"/>
      <c r="T257" s="34"/>
      <c r="U257" s="34"/>
      <c r="V257" s="34"/>
    </row>
    <row r="258" spans="2:22">
      <c r="B258" s="21" t="s">
        <v>47</v>
      </c>
      <c r="C258" s="46" t="s">
        <v>28</v>
      </c>
      <c r="D258" s="47">
        <v>45420</v>
      </c>
      <c r="F258" s="46"/>
      <c r="G258" s="46"/>
      <c r="L258" s="39">
        <v>2591201</v>
      </c>
      <c r="M258" s="16" t="s">
        <v>2350</v>
      </c>
      <c r="N258" s="32" t="s">
        <v>2100</v>
      </c>
      <c r="O258" s="34"/>
      <c r="P258" s="34"/>
      <c r="Q258" s="34"/>
      <c r="R258" s="96"/>
      <c r="S258" s="96"/>
      <c r="T258" s="34"/>
      <c r="U258" s="34"/>
      <c r="V258" s="34"/>
    </row>
    <row r="259" spans="2:22">
      <c r="B259" s="21" t="s">
        <v>47</v>
      </c>
      <c r="C259" s="46" t="s">
        <v>28</v>
      </c>
      <c r="D259" s="47">
        <v>45429</v>
      </c>
      <c r="F259" s="46"/>
      <c r="G259" s="46"/>
      <c r="L259" s="39">
        <v>2591202</v>
      </c>
      <c r="M259" s="16" t="s">
        <v>2351</v>
      </c>
      <c r="N259" s="32" t="s">
        <v>2100</v>
      </c>
      <c r="O259" s="34"/>
      <c r="P259" s="34"/>
      <c r="Q259" s="34"/>
      <c r="R259" s="96"/>
      <c r="S259" s="96"/>
      <c r="T259" s="34"/>
      <c r="U259" s="34"/>
      <c r="V259" s="34"/>
    </row>
    <row r="260" spans="2:22">
      <c r="B260" s="21" t="s">
        <v>47</v>
      </c>
      <c r="C260" s="46" t="s">
        <v>28</v>
      </c>
      <c r="D260" s="47">
        <v>45457</v>
      </c>
      <c r="F260" s="46"/>
      <c r="G260" s="46"/>
      <c r="L260" s="39">
        <v>1002635</v>
      </c>
      <c r="M260" s="16" t="s">
        <v>2352</v>
      </c>
      <c r="N260" s="32" t="s">
        <v>2100</v>
      </c>
      <c r="O260" s="34"/>
      <c r="P260" s="34"/>
      <c r="Q260" s="34"/>
      <c r="R260" s="96"/>
      <c r="S260" s="96"/>
      <c r="T260" s="34"/>
      <c r="U260" s="34"/>
      <c r="V260" s="34"/>
    </row>
    <row r="261" spans="2:22">
      <c r="B261" s="21" t="s">
        <v>47</v>
      </c>
      <c r="C261" s="46" t="s">
        <v>28</v>
      </c>
      <c r="D261" s="47">
        <v>45457</v>
      </c>
      <c r="F261" s="46"/>
      <c r="G261" s="46"/>
      <c r="L261" s="39">
        <v>1002636</v>
      </c>
      <c r="M261" s="16" t="s">
        <v>2353</v>
      </c>
      <c r="N261" s="32" t="s">
        <v>2100</v>
      </c>
      <c r="O261" s="34"/>
      <c r="P261" s="34"/>
      <c r="Q261" s="34"/>
      <c r="R261" s="96"/>
      <c r="S261" s="96"/>
      <c r="T261" s="34"/>
      <c r="U261" s="34"/>
      <c r="V261" s="34"/>
    </row>
    <row r="262" spans="2:22">
      <c r="B262" s="21" t="s">
        <v>47</v>
      </c>
      <c r="C262" s="80" t="s">
        <v>28</v>
      </c>
      <c r="D262" s="47">
        <v>45457</v>
      </c>
      <c r="F262" s="46"/>
      <c r="G262" s="46"/>
      <c r="L262" s="39">
        <v>1025231</v>
      </c>
      <c r="M262" s="16" t="s">
        <v>2354</v>
      </c>
      <c r="N262" s="32" t="s">
        <v>2100</v>
      </c>
      <c r="O262" s="34"/>
      <c r="P262" s="34"/>
      <c r="Q262" s="34"/>
      <c r="R262" s="96"/>
      <c r="S262" s="96"/>
      <c r="T262" s="34"/>
      <c r="U262" s="34"/>
      <c r="V262" s="34"/>
    </row>
    <row r="263" spans="2:22">
      <c r="B263" s="21" t="s">
        <v>47</v>
      </c>
      <c r="C263" s="46" t="s">
        <v>28</v>
      </c>
      <c r="D263" s="47">
        <v>45457</v>
      </c>
      <c r="F263" s="46"/>
      <c r="G263" s="46"/>
      <c r="L263" s="39">
        <v>2000202</v>
      </c>
      <c r="M263" s="16" t="s">
        <v>2355</v>
      </c>
      <c r="N263" s="32" t="s">
        <v>2100</v>
      </c>
      <c r="O263" s="34"/>
      <c r="P263" s="34"/>
      <c r="Q263" s="34"/>
      <c r="R263" s="96"/>
      <c r="S263" s="96"/>
      <c r="T263" s="34"/>
      <c r="U263" s="34"/>
      <c r="V263" s="34"/>
    </row>
    <row r="264" spans="2:22">
      <c r="B264" s="21" t="s">
        <v>47</v>
      </c>
      <c r="C264" s="46" t="s">
        <v>28</v>
      </c>
      <c r="D264" s="47">
        <v>45555</v>
      </c>
      <c r="F264" s="46"/>
      <c r="G264" s="46"/>
      <c r="L264" s="39">
        <v>1025231</v>
      </c>
      <c r="M264" s="16" t="s">
        <v>2354</v>
      </c>
      <c r="N264" s="32" t="s">
        <v>2100</v>
      </c>
      <c r="O264" s="34"/>
      <c r="P264" s="34"/>
      <c r="Q264" s="34"/>
      <c r="R264" s="96"/>
      <c r="S264" s="96"/>
      <c r="T264" s="34"/>
      <c r="U264" s="34"/>
      <c r="V264" s="34"/>
    </row>
    <row r="265" spans="2:22">
      <c r="B265" s="21" t="s">
        <v>47</v>
      </c>
      <c r="C265" s="80" t="s">
        <v>28</v>
      </c>
      <c r="D265" s="47">
        <v>45555</v>
      </c>
      <c r="F265" s="46"/>
      <c r="G265" s="46"/>
      <c r="L265" s="39">
        <v>1985905</v>
      </c>
      <c r="M265" s="16" t="s">
        <v>2356</v>
      </c>
      <c r="N265" s="32" t="s">
        <v>2100</v>
      </c>
      <c r="O265" s="34"/>
      <c r="P265" s="34"/>
      <c r="Q265" s="34"/>
      <c r="R265" s="96"/>
      <c r="S265" s="96"/>
      <c r="T265" s="34"/>
      <c r="U265" s="34"/>
      <c r="V265" s="34"/>
    </row>
    <row r="266" spans="2:22">
      <c r="B266" s="21" t="s">
        <v>47</v>
      </c>
      <c r="C266" s="46" t="s">
        <v>28</v>
      </c>
      <c r="D266" s="47">
        <v>45555</v>
      </c>
      <c r="F266" s="46"/>
      <c r="G266" s="46"/>
      <c r="L266" s="39">
        <v>157004</v>
      </c>
      <c r="M266" s="16" t="s">
        <v>2357</v>
      </c>
      <c r="N266" s="32" t="s">
        <v>2100</v>
      </c>
      <c r="O266" s="34"/>
      <c r="P266" s="34"/>
      <c r="Q266" s="34"/>
      <c r="R266" s="96"/>
      <c r="S266" s="96"/>
      <c r="T266" s="34"/>
      <c r="U266" s="34"/>
      <c r="V266" s="34"/>
    </row>
    <row r="267" spans="2:22">
      <c r="B267" s="21" t="s">
        <v>47</v>
      </c>
      <c r="C267" s="46" t="s">
        <v>28</v>
      </c>
      <c r="D267" s="47">
        <v>45555</v>
      </c>
      <c r="F267" s="46"/>
      <c r="G267" s="46"/>
      <c r="L267" s="39">
        <v>1007601</v>
      </c>
      <c r="M267" s="16" t="s">
        <v>2358</v>
      </c>
      <c r="N267" s="32" t="s">
        <v>2100</v>
      </c>
      <c r="O267" s="34"/>
      <c r="P267" s="34"/>
      <c r="Q267" s="34"/>
      <c r="R267" s="96"/>
      <c r="S267" s="96"/>
      <c r="T267" s="34"/>
      <c r="U267" s="34"/>
      <c r="V267" s="34"/>
    </row>
    <row r="268" spans="2:22">
      <c r="B268" s="21" t="s">
        <v>47</v>
      </c>
      <c r="C268" s="46" t="s">
        <v>28</v>
      </c>
      <c r="D268" s="47">
        <v>45555</v>
      </c>
      <c r="F268" s="46"/>
      <c r="G268" s="46"/>
      <c r="L268" s="39">
        <v>328905</v>
      </c>
      <c r="M268" s="16" t="s">
        <v>2359</v>
      </c>
      <c r="N268" s="32" t="s">
        <v>2100</v>
      </c>
      <c r="O268" s="34"/>
      <c r="P268" s="34"/>
      <c r="Q268" s="34"/>
      <c r="R268" s="96"/>
      <c r="S268" s="96"/>
      <c r="T268" s="34"/>
      <c r="U268" s="34"/>
      <c r="V268" s="34"/>
    </row>
    <row r="269" spans="2:22">
      <c r="B269" s="21" t="s">
        <v>47</v>
      </c>
      <c r="C269" s="46" t="s">
        <v>28</v>
      </c>
      <c r="D269" s="47">
        <v>45555</v>
      </c>
      <c r="F269" s="46"/>
      <c r="G269" s="46"/>
      <c r="L269" s="39">
        <v>85912</v>
      </c>
      <c r="M269" s="16" t="s">
        <v>2360</v>
      </c>
      <c r="N269" s="32" t="s">
        <v>2100</v>
      </c>
      <c r="O269" s="34"/>
      <c r="P269" s="34"/>
      <c r="Q269" s="34"/>
      <c r="R269" s="96"/>
      <c r="S269" s="96"/>
      <c r="T269" s="34"/>
      <c r="U269" s="34"/>
      <c r="V269" s="34"/>
    </row>
    <row r="270" spans="2:22">
      <c r="B270" s="21" t="s">
        <v>47</v>
      </c>
      <c r="C270" s="46" t="s">
        <v>28</v>
      </c>
      <c r="D270" s="47">
        <v>45555</v>
      </c>
      <c r="F270" s="46"/>
      <c r="G270" s="46"/>
      <c r="L270" s="39">
        <v>85812</v>
      </c>
      <c r="M270" s="16" t="s">
        <v>2361</v>
      </c>
      <c r="N270" s="32" t="s">
        <v>2100</v>
      </c>
      <c r="O270" s="34"/>
      <c r="P270" s="34"/>
      <c r="Q270" s="34"/>
      <c r="R270" s="96"/>
      <c r="S270" s="96"/>
      <c r="T270" s="34"/>
      <c r="U270" s="34"/>
      <c r="V270" s="34"/>
    </row>
    <row r="271" spans="2:22">
      <c r="B271" s="21" t="s">
        <v>47</v>
      </c>
      <c r="C271" s="46" t="s">
        <v>28</v>
      </c>
      <c r="D271" s="47">
        <v>45576</v>
      </c>
      <c r="F271" s="46"/>
      <c r="G271" s="46"/>
      <c r="L271" s="39">
        <v>225345</v>
      </c>
      <c r="M271" s="16" t="s">
        <v>2235</v>
      </c>
      <c r="N271" s="32" t="s">
        <v>2100</v>
      </c>
      <c r="O271" s="34"/>
      <c r="P271" s="34"/>
      <c r="Q271" s="34"/>
      <c r="R271" s="96"/>
      <c r="S271" s="96"/>
      <c r="T271" s="34"/>
      <c r="U271" s="34"/>
      <c r="V271" s="34"/>
    </row>
    <row r="272" spans="2:22">
      <c r="B272" s="21" t="s">
        <v>47</v>
      </c>
      <c r="C272" s="46" t="s">
        <v>28</v>
      </c>
      <c r="D272" s="47">
        <v>45625</v>
      </c>
      <c r="F272" s="46"/>
      <c r="G272" s="46"/>
      <c r="L272" s="39">
        <v>2645901</v>
      </c>
      <c r="M272" s="16" t="s">
        <v>2362</v>
      </c>
      <c r="N272" s="32" t="s">
        <v>2100</v>
      </c>
      <c r="O272" s="34"/>
      <c r="P272" s="34"/>
      <c r="Q272" s="34"/>
      <c r="R272" s="96"/>
      <c r="S272" s="96"/>
      <c r="T272" s="34"/>
      <c r="U272" s="34"/>
      <c r="V272" s="34"/>
    </row>
    <row r="273" spans="2:22">
      <c r="B273" s="21" t="s">
        <v>47</v>
      </c>
      <c r="C273" s="46" t="s">
        <v>28</v>
      </c>
      <c r="D273" s="47">
        <v>45688</v>
      </c>
      <c r="F273" s="46"/>
      <c r="G273" s="46"/>
      <c r="L273" s="39">
        <v>2661802</v>
      </c>
      <c r="M273" s="16" t="s">
        <v>2363</v>
      </c>
      <c r="N273" s="32" t="s">
        <v>2100</v>
      </c>
      <c r="O273" s="34"/>
      <c r="P273" s="34"/>
      <c r="Q273" s="34"/>
      <c r="R273" s="96"/>
      <c r="S273" s="96"/>
      <c r="T273" s="34"/>
      <c r="U273" s="34"/>
      <c r="V273" s="34"/>
    </row>
    <row r="274" spans="2:22">
      <c r="B274" s="21" t="s">
        <v>47</v>
      </c>
      <c r="C274" s="46" t="s">
        <v>28</v>
      </c>
      <c r="D274" s="47">
        <v>45688</v>
      </c>
      <c r="F274" s="46"/>
      <c r="G274" s="46"/>
      <c r="L274" s="39">
        <v>2661803</v>
      </c>
      <c r="M274" s="16" t="s">
        <v>2364</v>
      </c>
      <c r="N274" s="32" t="s">
        <v>2100</v>
      </c>
      <c r="O274" s="34"/>
      <c r="P274" s="34"/>
      <c r="Q274" s="34"/>
      <c r="R274" s="96"/>
      <c r="S274" s="96"/>
      <c r="T274" s="34"/>
      <c r="U274" s="34"/>
      <c r="V274" s="34"/>
    </row>
    <row r="275" spans="2:22">
      <c r="B275" s="21" t="s">
        <v>47</v>
      </c>
      <c r="C275" s="46" t="s">
        <v>28</v>
      </c>
      <c r="D275" s="47">
        <v>45688</v>
      </c>
      <c r="F275" s="46"/>
      <c r="G275" s="46"/>
      <c r="L275" s="39">
        <v>609285</v>
      </c>
      <c r="M275" s="16" t="s">
        <v>2365</v>
      </c>
      <c r="N275" s="32" t="s">
        <v>2100</v>
      </c>
      <c r="O275" s="34"/>
      <c r="P275" s="34"/>
      <c r="Q275" s="34"/>
      <c r="R275" s="96"/>
      <c r="S275" s="96"/>
      <c r="T275" s="34"/>
      <c r="U275" s="34"/>
      <c r="V275" s="34"/>
    </row>
    <row r="276" spans="2:22">
      <c r="B276" s="21" t="s">
        <v>47</v>
      </c>
      <c r="C276" s="46" t="s">
        <v>28</v>
      </c>
      <c r="D276" s="47">
        <v>45688</v>
      </c>
      <c r="F276" s="46"/>
      <c r="G276" s="46"/>
      <c r="L276" s="39">
        <v>609286</v>
      </c>
      <c r="M276" s="16" t="s">
        <v>2366</v>
      </c>
      <c r="N276" s="32" t="s">
        <v>2100</v>
      </c>
      <c r="O276" s="34"/>
      <c r="P276" s="34"/>
      <c r="Q276" s="34"/>
      <c r="R276" s="96"/>
      <c r="S276" s="96"/>
      <c r="T276" s="34"/>
      <c r="U276" s="34"/>
      <c r="V276" s="34"/>
    </row>
    <row r="277" spans="2:22">
      <c r="B277" s="21" t="s">
        <v>47</v>
      </c>
      <c r="C277" s="46" t="s">
        <v>28</v>
      </c>
      <c r="D277" s="47">
        <v>45688</v>
      </c>
      <c r="F277" s="46"/>
      <c r="G277" s="46"/>
      <c r="L277" s="39">
        <v>1986002</v>
      </c>
      <c r="M277" s="16" t="s">
        <v>2367</v>
      </c>
      <c r="N277" s="32" t="s">
        <v>2100</v>
      </c>
      <c r="O277" s="34"/>
      <c r="P277" s="34"/>
      <c r="Q277" s="34"/>
      <c r="R277" s="96"/>
      <c r="S277" s="96"/>
      <c r="T277" s="34"/>
      <c r="U277" s="34"/>
      <c r="V277" s="34"/>
    </row>
    <row r="278" spans="2:22">
      <c r="B278" s="21" t="s">
        <v>47</v>
      </c>
      <c r="C278" s="46" t="s">
        <v>28</v>
      </c>
      <c r="D278" s="47">
        <v>45758</v>
      </c>
      <c r="F278" s="46"/>
      <c r="G278" s="46"/>
      <c r="L278" s="39">
        <v>564324</v>
      </c>
      <c r="M278" s="16" t="s">
        <v>2368</v>
      </c>
      <c r="N278" s="32" t="s">
        <v>2100</v>
      </c>
      <c r="O278" s="34"/>
      <c r="P278" s="34"/>
      <c r="Q278" s="34"/>
      <c r="R278" s="96"/>
      <c r="S278" s="96"/>
      <c r="T278" s="34"/>
      <c r="U278" s="34"/>
      <c r="V278" s="34"/>
    </row>
    <row r="279" spans="2:22">
      <c r="B279" s="21" t="s">
        <v>47</v>
      </c>
      <c r="C279" s="46" t="s">
        <v>28</v>
      </c>
      <c r="D279" s="47">
        <v>45758</v>
      </c>
      <c r="F279" s="46"/>
      <c r="G279" s="46"/>
      <c r="L279" s="39">
        <v>603760</v>
      </c>
      <c r="M279" s="16" t="s">
        <v>2369</v>
      </c>
      <c r="N279" s="32" t="s">
        <v>2100</v>
      </c>
      <c r="O279" s="34"/>
      <c r="P279" s="34"/>
      <c r="Q279" s="34"/>
      <c r="R279" s="96"/>
      <c r="S279" s="96"/>
      <c r="T279" s="34"/>
      <c r="U279" s="34"/>
      <c r="V279" s="34"/>
    </row>
    <row r="280" spans="2:22">
      <c r="B280" s="21" t="s">
        <v>47</v>
      </c>
      <c r="C280" s="46" t="s">
        <v>28</v>
      </c>
      <c r="D280" s="47">
        <v>45758</v>
      </c>
      <c r="F280" s="46"/>
      <c r="G280" s="46"/>
      <c r="L280" s="39">
        <v>604018</v>
      </c>
      <c r="M280" s="16" t="s">
        <v>2370</v>
      </c>
      <c r="N280" s="32" t="s">
        <v>2100</v>
      </c>
      <c r="O280" s="34"/>
      <c r="P280" s="34"/>
      <c r="Q280" s="34"/>
      <c r="R280" s="96"/>
      <c r="S280" s="96"/>
      <c r="T280" s="34"/>
      <c r="U280" s="34"/>
      <c r="V280" s="34"/>
    </row>
    <row r="281" spans="2:22">
      <c r="B281" s="21" t="s">
        <v>47</v>
      </c>
      <c r="C281" s="46" t="s">
        <v>28</v>
      </c>
      <c r="D281" s="47">
        <v>45758</v>
      </c>
      <c r="F281" s="46"/>
      <c r="G281" s="46"/>
      <c r="L281" s="39">
        <v>694220</v>
      </c>
      <c r="M281" s="16" t="s">
        <v>2371</v>
      </c>
      <c r="N281" s="32" t="s">
        <v>2100</v>
      </c>
      <c r="O281" s="34"/>
      <c r="P281" s="34"/>
      <c r="Q281" s="34"/>
      <c r="R281" s="96"/>
      <c r="S281" s="96"/>
      <c r="T281" s="34"/>
      <c r="U281" s="34"/>
      <c r="V281" s="34"/>
    </row>
    <row r="282" spans="2:22">
      <c r="B282" s="21" t="s">
        <v>47</v>
      </c>
      <c r="C282" s="46" t="s">
        <v>28</v>
      </c>
      <c r="D282" s="47">
        <v>45758</v>
      </c>
      <c r="F282" s="46"/>
      <c r="G282" s="46"/>
      <c r="L282" s="39">
        <v>2515604</v>
      </c>
      <c r="M282" s="16" t="s">
        <v>2372</v>
      </c>
      <c r="N282" s="32" t="s">
        <v>2100</v>
      </c>
      <c r="O282" s="34"/>
      <c r="P282" s="34"/>
      <c r="Q282" s="34"/>
      <c r="R282" s="96"/>
      <c r="S282" s="96"/>
      <c r="T282" s="34"/>
      <c r="U282" s="34"/>
      <c r="V282" s="34"/>
    </row>
    <row r="283" spans="2:22">
      <c r="B283" s="21" t="s">
        <v>47</v>
      </c>
      <c r="C283" s="46" t="s">
        <v>28</v>
      </c>
      <c r="D283" s="47">
        <v>45758</v>
      </c>
      <c r="F283" s="46"/>
      <c r="G283" s="46"/>
      <c r="L283" s="39">
        <v>1963406</v>
      </c>
      <c r="M283" s="16" t="s">
        <v>2373</v>
      </c>
      <c r="N283" s="32" t="s">
        <v>2100</v>
      </c>
      <c r="O283" s="34"/>
      <c r="P283" s="34"/>
      <c r="Q283" s="34"/>
      <c r="R283" s="96"/>
      <c r="S283" s="96"/>
      <c r="T283" s="34"/>
      <c r="U283" s="34"/>
      <c r="V283" s="34"/>
    </row>
    <row r="284" spans="2:22">
      <c r="B284" s="21" t="s">
        <v>47</v>
      </c>
      <c r="C284" s="46" t="s">
        <v>28</v>
      </c>
      <c r="D284" s="47">
        <v>45849</v>
      </c>
      <c r="F284" s="46"/>
      <c r="G284" s="46"/>
      <c r="L284" s="39">
        <v>2661801</v>
      </c>
      <c r="M284" s="16" t="s">
        <v>2374</v>
      </c>
      <c r="N284" s="32" t="s">
        <v>2100</v>
      </c>
      <c r="O284" s="34"/>
      <c r="P284" s="34"/>
      <c r="Q284" s="34"/>
      <c r="R284" s="96"/>
      <c r="S284" s="96"/>
      <c r="T284" s="34"/>
      <c r="U284" s="34"/>
      <c r="V284" s="34"/>
    </row>
    <row r="285" spans="2:22">
      <c r="B285" s="21" t="s">
        <v>47</v>
      </c>
      <c r="C285" s="46" t="s">
        <v>28</v>
      </c>
      <c r="D285" s="47">
        <v>45856</v>
      </c>
      <c r="F285" s="46"/>
      <c r="G285" s="46"/>
      <c r="L285" s="39">
        <v>10424</v>
      </c>
      <c r="M285" s="16" t="s">
        <v>2375</v>
      </c>
      <c r="N285" s="32" t="s">
        <v>2100</v>
      </c>
      <c r="O285" s="34"/>
      <c r="P285" s="34"/>
      <c r="Q285" s="34"/>
      <c r="R285" s="96"/>
      <c r="S285" s="96"/>
      <c r="T285" s="34"/>
      <c r="U285" s="34"/>
      <c r="V285" s="34"/>
    </row>
    <row r="286" spans="2:22">
      <c r="B286" s="21" t="s">
        <v>47</v>
      </c>
      <c r="C286" s="46" t="s">
        <v>28</v>
      </c>
      <c r="D286" s="47">
        <v>45863</v>
      </c>
      <c r="F286" s="46"/>
      <c r="G286" s="46"/>
      <c r="L286" s="39">
        <v>2661801</v>
      </c>
      <c r="M286" s="16" t="s">
        <v>2374</v>
      </c>
      <c r="N286" s="32" t="s">
        <v>2100</v>
      </c>
      <c r="O286" s="34"/>
      <c r="P286" s="34"/>
      <c r="Q286" s="34"/>
      <c r="R286" s="96"/>
      <c r="S286" s="96"/>
      <c r="T286" s="34"/>
      <c r="U286" s="34"/>
      <c r="V286" s="34"/>
    </row>
    <row r="287" spans="2:22">
      <c r="B287" s="21" t="s">
        <v>47</v>
      </c>
      <c r="C287" s="46" t="s">
        <v>28</v>
      </c>
      <c r="D287" s="47">
        <v>45896</v>
      </c>
      <c r="F287" s="46"/>
      <c r="G287" s="46"/>
      <c r="L287" s="39">
        <v>8094</v>
      </c>
      <c r="M287" s="16" t="s">
        <v>2376</v>
      </c>
      <c r="N287" s="32" t="s">
        <v>2100</v>
      </c>
      <c r="O287" s="34"/>
      <c r="P287" s="34"/>
      <c r="Q287" s="34"/>
      <c r="R287" s="96"/>
      <c r="S287" s="96"/>
      <c r="T287" s="34"/>
      <c r="U287" s="34"/>
      <c r="V287" s="34"/>
    </row>
    <row r="288" spans="2:22">
      <c r="B288" s="21" t="s">
        <v>47</v>
      </c>
      <c r="C288" s="46" t="s">
        <v>28</v>
      </c>
      <c r="D288" s="47">
        <v>45896</v>
      </c>
      <c r="F288" s="46"/>
      <c r="G288" s="46"/>
      <c r="L288" s="39">
        <v>399868</v>
      </c>
      <c r="M288" s="16" t="s">
        <v>2377</v>
      </c>
      <c r="N288" s="32" t="s">
        <v>2100</v>
      </c>
      <c r="O288" s="34"/>
      <c r="P288" s="34"/>
      <c r="Q288" s="34"/>
      <c r="R288" s="96"/>
      <c r="S288" s="96"/>
      <c r="T288" s="34"/>
      <c r="U288" s="34"/>
      <c r="V288" s="34"/>
    </row>
    <row r="289" spans="2:22">
      <c r="B289" s="21" t="s">
        <v>47</v>
      </c>
      <c r="C289" s="46" t="s">
        <v>28</v>
      </c>
      <c r="D289" s="47">
        <v>45896</v>
      </c>
      <c r="F289" s="46"/>
      <c r="G289" s="46"/>
      <c r="L289" s="39">
        <v>22273</v>
      </c>
      <c r="M289" s="16" t="s">
        <v>2378</v>
      </c>
      <c r="N289" s="32" t="s">
        <v>2100</v>
      </c>
      <c r="O289" s="34"/>
      <c r="P289" s="34"/>
      <c r="Q289" s="34"/>
      <c r="R289" s="96"/>
      <c r="S289" s="96"/>
      <c r="T289" s="34"/>
      <c r="U289" s="34"/>
      <c r="V289" s="34"/>
    </row>
    <row r="290" spans="2:22">
      <c r="B290" s="21" t="s">
        <v>47</v>
      </c>
      <c r="C290" s="46" t="s">
        <v>28</v>
      </c>
      <c r="D290" s="47">
        <v>45905</v>
      </c>
      <c r="F290" s="46"/>
      <c r="G290" s="46"/>
      <c r="L290" s="39" t="s">
        <v>2379</v>
      </c>
      <c r="M290" s="16" t="s">
        <v>2380</v>
      </c>
      <c r="N290" s="32" t="s">
        <v>2100</v>
      </c>
      <c r="O290" s="34"/>
      <c r="P290" s="34"/>
      <c r="Q290" s="34"/>
      <c r="R290" s="96"/>
      <c r="S290" s="96"/>
      <c r="T290" s="34"/>
      <c r="U290" s="34"/>
      <c r="V290" s="34"/>
    </row>
    <row r="291" spans="2:22">
      <c r="B291" s="21" t="s">
        <v>47</v>
      </c>
      <c r="C291" s="46" t="s">
        <v>606</v>
      </c>
      <c r="D291" s="47">
        <v>45905</v>
      </c>
      <c r="F291" s="46"/>
      <c r="G291" s="46"/>
      <c r="L291" s="39" t="s">
        <v>2381</v>
      </c>
      <c r="M291" s="16" t="s">
        <v>2382</v>
      </c>
      <c r="N291" s="32" t="s">
        <v>2100</v>
      </c>
      <c r="O291" s="34"/>
      <c r="P291" s="34"/>
      <c r="Q291" s="34"/>
      <c r="R291" s="96"/>
      <c r="S291" s="96"/>
      <c r="T291" s="34"/>
      <c r="U291" s="34"/>
      <c r="V291" s="34"/>
    </row>
    <row r="292" spans="2:22">
      <c r="B292" s="21" t="s">
        <v>47</v>
      </c>
      <c r="C292" s="46" t="s">
        <v>28</v>
      </c>
      <c r="D292" s="47">
        <v>45912</v>
      </c>
      <c r="F292" s="46"/>
      <c r="G292" s="46"/>
      <c r="L292" s="39" t="s">
        <v>2383</v>
      </c>
      <c r="M292" s="16" t="s">
        <v>2384</v>
      </c>
      <c r="N292" s="39" t="s">
        <v>2100</v>
      </c>
      <c r="O292" s="34"/>
      <c r="P292" s="34"/>
      <c r="Q292" s="34"/>
      <c r="R292" s="96"/>
      <c r="S292" s="96"/>
      <c r="T292" s="34"/>
      <c r="U292" s="34"/>
      <c r="V292" s="34"/>
    </row>
    <row r="293" spans="2:22">
      <c r="B293" s="21" t="s">
        <v>47</v>
      </c>
      <c r="C293" s="46" t="s">
        <v>28</v>
      </c>
      <c r="D293" s="47">
        <v>45968</v>
      </c>
      <c r="F293" s="46"/>
      <c r="G293" s="46"/>
      <c r="L293" s="39">
        <v>2752801</v>
      </c>
      <c r="M293" s="16" t="s">
        <v>2385</v>
      </c>
      <c r="N293" s="39" t="s">
        <v>2100</v>
      </c>
      <c r="O293" s="34"/>
      <c r="P293" s="34"/>
      <c r="Q293" s="34"/>
      <c r="R293" s="96"/>
      <c r="S293" s="96"/>
      <c r="T293" s="34"/>
      <c r="U293" s="34"/>
      <c r="V293" s="34"/>
    </row>
    <row r="294" spans="2:22">
      <c r="B294" s="21" t="s">
        <v>47</v>
      </c>
      <c r="C294" s="46" t="s">
        <v>28</v>
      </c>
      <c r="D294" s="47">
        <v>45968</v>
      </c>
      <c r="F294" s="46"/>
      <c r="G294" s="46"/>
      <c r="L294" s="39">
        <v>2000203</v>
      </c>
      <c r="M294" s="16" t="s">
        <v>2386</v>
      </c>
      <c r="N294" s="39" t="s">
        <v>2100</v>
      </c>
      <c r="O294" s="34"/>
      <c r="P294" s="34"/>
      <c r="Q294" s="34"/>
      <c r="R294" s="96"/>
      <c r="S294" s="96"/>
      <c r="T294" s="34"/>
      <c r="U294" s="34"/>
      <c r="V294" s="34"/>
    </row>
    <row r="295" spans="2:22">
      <c r="B295" s="21" t="s">
        <v>47</v>
      </c>
      <c r="C295" s="46" t="s">
        <v>28</v>
      </c>
      <c r="D295" s="47">
        <v>46031</v>
      </c>
      <c r="F295" s="46"/>
      <c r="G295" s="46"/>
      <c r="L295" s="39">
        <v>1180104</v>
      </c>
      <c r="M295" s="16" t="s">
        <v>2387</v>
      </c>
      <c r="N295" s="39" t="s">
        <v>2100</v>
      </c>
      <c r="O295" s="34"/>
      <c r="P295" s="34"/>
      <c r="Q295" s="34"/>
      <c r="R295" s="96"/>
      <c r="S295" s="96"/>
      <c r="T295" s="34"/>
      <c r="U295" s="34"/>
      <c r="V295" s="34"/>
    </row>
    <row r="296" spans="2:22">
      <c r="B296" s="21" t="s">
        <v>47</v>
      </c>
      <c r="C296" s="46" t="s">
        <v>28</v>
      </c>
      <c r="D296" s="47">
        <v>46072</v>
      </c>
      <c r="F296" s="46"/>
      <c r="G296" s="46"/>
      <c r="L296" s="39">
        <v>2000204</v>
      </c>
      <c r="M296" s="16" t="s">
        <v>2388</v>
      </c>
      <c r="N296" s="39" t="s">
        <v>2100</v>
      </c>
      <c r="O296" s="34"/>
      <c r="P296" s="34"/>
      <c r="Q296" s="34"/>
      <c r="R296" s="96"/>
      <c r="S296" s="96"/>
      <c r="T296" s="34"/>
      <c r="U296" s="34"/>
      <c r="V296" s="34"/>
    </row>
    <row r="297" spans="2:22">
      <c r="B297" s="21" t="s">
        <v>47</v>
      </c>
      <c r="C297" s="46" t="s">
        <v>28</v>
      </c>
      <c r="D297" s="47">
        <v>46087</v>
      </c>
      <c r="F297" s="46"/>
      <c r="G297" s="46"/>
      <c r="L297" s="39">
        <v>609280</v>
      </c>
      <c r="M297" s="16" t="s">
        <v>2389</v>
      </c>
      <c r="N297" s="39" t="s">
        <v>2100</v>
      </c>
      <c r="O297" s="34"/>
      <c r="P297" s="34"/>
      <c r="Q297" s="34"/>
      <c r="R297" s="96"/>
      <c r="S297" s="96"/>
      <c r="T297" s="34"/>
      <c r="U297" s="34"/>
      <c r="V297" s="34"/>
    </row>
    <row r="298" spans="2:22">
      <c r="B298" s="21" t="s">
        <v>47</v>
      </c>
      <c r="C298" s="46" t="s">
        <v>28</v>
      </c>
      <c r="D298" s="47">
        <v>46087</v>
      </c>
      <c r="F298" s="46"/>
      <c r="G298" s="46"/>
      <c r="L298" s="39">
        <v>1188084</v>
      </c>
      <c r="M298" s="16" t="s">
        <v>2390</v>
      </c>
      <c r="N298" s="39" t="s">
        <v>2100</v>
      </c>
      <c r="O298" s="34"/>
      <c r="P298" s="34"/>
      <c r="Q298" s="34"/>
      <c r="R298" s="96"/>
      <c r="S298" s="96"/>
      <c r="T298" s="34"/>
      <c r="U298" s="34"/>
      <c r="V298" s="34"/>
    </row>
    <row r="299" spans="2:22">
      <c r="B299" s="21" t="s">
        <v>47</v>
      </c>
      <c r="C299" s="46" t="s">
        <v>28</v>
      </c>
      <c r="D299" s="47">
        <v>46087</v>
      </c>
      <c r="F299" s="46"/>
      <c r="G299" s="46"/>
      <c r="L299" s="39">
        <v>609291</v>
      </c>
      <c r="M299" s="16" t="s">
        <v>2391</v>
      </c>
      <c r="N299" s="39" t="s">
        <v>2100</v>
      </c>
      <c r="O299" s="34"/>
      <c r="P299" s="34"/>
      <c r="Q299" s="34"/>
      <c r="R299" s="96"/>
      <c r="S299" s="96"/>
      <c r="T299" s="34"/>
      <c r="U299" s="34"/>
      <c r="V299" s="34"/>
    </row>
    <row r="300" spans="2:22">
      <c r="B300" s="21" t="s">
        <v>47</v>
      </c>
      <c r="C300" s="46" t="s">
        <v>28</v>
      </c>
      <c r="D300" s="47">
        <v>46087</v>
      </c>
      <c r="F300" s="46"/>
      <c r="G300" s="46"/>
      <c r="L300" s="39">
        <v>2661812</v>
      </c>
      <c r="M300" s="16" t="s">
        <v>2392</v>
      </c>
      <c r="N300" s="39" t="s">
        <v>2100</v>
      </c>
      <c r="O300" s="34"/>
      <c r="P300" s="34"/>
      <c r="Q300" s="34"/>
      <c r="R300" s="96"/>
      <c r="S300" s="96"/>
      <c r="T300" s="34"/>
      <c r="U300" s="34"/>
      <c r="V300" s="34"/>
    </row>
    <row r="301" spans="2:22">
      <c r="B301" s="21" t="s">
        <v>47</v>
      </c>
      <c r="C301" s="46" t="s">
        <v>28</v>
      </c>
      <c r="D301" s="47">
        <v>46087</v>
      </c>
      <c r="F301" s="46"/>
      <c r="G301" s="46"/>
      <c r="L301" s="39">
        <v>1366516</v>
      </c>
      <c r="M301" s="16" t="s">
        <v>2393</v>
      </c>
      <c r="N301" s="39" t="s">
        <v>2100</v>
      </c>
      <c r="O301" s="34"/>
      <c r="P301" s="34"/>
      <c r="Q301" s="34"/>
      <c r="R301" s="96"/>
      <c r="S301" s="96"/>
      <c r="T301" s="34"/>
      <c r="U301" s="34"/>
      <c r="V301" s="34"/>
    </row>
    <row r="302" spans="2:22">
      <c r="B302" s="21" t="s">
        <v>47</v>
      </c>
      <c r="C302" s="46" t="s">
        <v>28</v>
      </c>
      <c r="D302" s="47">
        <v>46087</v>
      </c>
      <c r="F302" s="46"/>
      <c r="G302" s="46"/>
      <c r="L302" s="39">
        <v>1374512</v>
      </c>
      <c r="M302" s="16" t="s">
        <v>2394</v>
      </c>
      <c r="N302" s="39" t="s">
        <v>2100</v>
      </c>
      <c r="O302" s="34"/>
      <c r="P302" s="34"/>
      <c r="Q302" s="34"/>
      <c r="R302" s="96"/>
      <c r="S302" s="96"/>
      <c r="T302" s="34"/>
      <c r="U302" s="34"/>
      <c r="V302" s="34"/>
    </row>
    <row r="303" spans="2:22">
      <c r="B303" s="21" t="s">
        <v>47</v>
      </c>
      <c r="C303" s="46" t="s">
        <v>28</v>
      </c>
      <c r="D303" s="47">
        <v>46114</v>
      </c>
      <c r="F303" s="46"/>
      <c r="G303" s="46"/>
      <c r="L303" s="39">
        <v>2600901</v>
      </c>
      <c r="M303" s="16" t="s">
        <v>2395</v>
      </c>
      <c r="N303" s="39" t="s">
        <v>2100</v>
      </c>
      <c r="O303" s="34"/>
      <c r="P303" s="34"/>
      <c r="Q303" s="34"/>
      <c r="R303" s="96"/>
      <c r="S303" s="96"/>
      <c r="T303" s="34"/>
      <c r="U303" s="34"/>
      <c r="V303" s="34"/>
    </row>
    <row r="304" spans="2:22">
      <c r="B304" s="21" t="s">
        <v>47</v>
      </c>
      <c r="C304" s="46" t="s">
        <v>28</v>
      </c>
      <c r="D304" s="47">
        <v>46122</v>
      </c>
      <c r="F304" s="46"/>
      <c r="G304" s="46"/>
      <c r="L304" s="39">
        <v>2574303</v>
      </c>
      <c r="M304" s="16" t="s">
        <v>2396</v>
      </c>
      <c r="N304" s="39" t="s">
        <v>2100</v>
      </c>
      <c r="O304" s="34"/>
      <c r="P304" s="34"/>
      <c r="Q304" s="34"/>
      <c r="R304" s="96"/>
      <c r="S304" s="96"/>
      <c r="T304" s="34"/>
      <c r="U304" s="34"/>
      <c r="V304" s="34"/>
    </row>
    <row r="305" spans="2:22">
      <c r="B305" s="21" t="s">
        <v>47</v>
      </c>
      <c r="C305" s="46" t="s">
        <v>28</v>
      </c>
      <c r="D305" s="47">
        <v>46122</v>
      </c>
      <c r="F305" s="46"/>
      <c r="G305" s="46"/>
      <c r="L305" s="39">
        <v>2511709</v>
      </c>
      <c r="M305" s="16" t="s">
        <v>2397</v>
      </c>
      <c r="N305" s="39" t="s">
        <v>2100</v>
      </c>
      <c r="O305" s="34"/>
      <c r="P305" s="34"/>
      <c r="Q305" s="34"/>
      <c r="R305" s="96"/>
      <c r="S305" s="96"/>
      <c r="T305" s="34"/>
      <c r="U305" s="34"/>
      <c r="V305" s="34"/>
    </row>
    <row r="306" spans="2:22">
      <c r="B306" s="21" t="s">
        <v>47</v>
      </c>
      <c r="C306" s="46" t="s">
        <v>28</v>
      </c>
      <c r="D306" s="47">
        <v>46122</v>
      </c>
      <c r="F306" s="46"/>
      <c r="G306" s="46"/>
      <c r="L306" s="39">
        <v>2574203</v>
      </c>
      <c r="M306" s="16" t="s">
        <v>2398</v>
      </c>
      <c r="N306" s="39" t="s">
        <v>2100</v>
      </c>
      <c r="O306" s="34"/>
      <c r="P306" s="34"/>
      <c r="Q306" s="34"/>
      <c r="R306" s="96"/>
      <c r="S306" s="96"/>
      <c r="T306" s="34"/>
      <c r="U306" s="34"/>
      <c r="V306" s="34"/>
    </row>
    <row r="307" spans="2:22">
      <c r="B307" s="21" t="s">
        <v>47</v>
      </c>
      <c r="C307" s="46" t="s">
        <v>28</v>
      </c>
      <c r="D307" s="47">
        <v>46129</v>
      </c>
      <c r="F307" s="46"/>
      <c r="G307" s="46"/>
      <c r="L307" s="39">
        <v>1319007</v>
      </c>
      <c r="M307" s="16" t="s">
        <v>2399</v>
      </c>
      <c r="N307" s="39" t="s">
        <v>2100</v>
      </c>
      <c r="O307" s="34"/>
      <c r="P307" s="34"/>
      <c r="Q307" s="34"/>
      <c r="R307" s="96"/>
      <c r="S307" s="96"/>
      <c r="T307" s="34"/>
      <c r="U307" s="34"/>
      <c r="V307" s="34"/>
    </row>
    <row r="308" spans="2:22">
      <c r="B308" s="21" t="s">
        <v>47</v>
      </c>
      <c r="C308" s="46" t="s">
        <v>28</v>
      </c>
      <c r="D308" s="47">
        <v>46129</v>
      </c>
      <c r="F308" s="46"/>
      <c r="G308" s="46"/>
      <c r="L308" s="39">
        <v>1004416</v>
      </c>
      <c r="M308" s="16" t="s">
        <v>2400</v>
      </c>
      <c r="N308" s="39" t="s">
        <v>2100</v>
      </c>
      <c r="O308" s="34"/>
      <c r="P308" s="34"/>
      <c r="Q308" s="34"/>
      <c r="R308" s="96"/>
      <c r="S308" s="96"/>
      <c r="T308" s="34"/>
      <c r="U308" s="34"/>
      <c r="V308" s="34"/>
    </row>
    <row r="309" spans="2:22">
      <c r="B309" s="21" t="s">
        <v>47</v>
      </c>
      <c r="C309" s="46" t="s">
        <v>28</v>
      </c>
      <c r="D309" s="47">
        <v>46157</v>
      </c>
      <c r="F309" s="46"/>
      <c r="G309" s="46"/>
      <c r="L309" s="39">
        <v>2645906</v>
      </c>
      <c r="M309" s="16" t="s">
        <v>2401</v>
      </c>
      <c r="N309" s="39" t="s">
        <v>2100</v>
      </c>
      <c r="O309" s="34"/>
      <c r="P309" s="34"/>
      <c r="Q309" s="34"/>
      <c r="R309" s="96"/>
      <c r="S309" s="96"/>
      <c r="T309" s="34"/>
      <c r="U309" s="34"/>
      <c r="V309" s="34"/>
    </row>
    <row r="1048359" spans="4:4">
      <c r="D1048359" s="29"/>
    </row>
  </sheetData>
  <conditionalFormatting sqref="B3:B309">
    <cfRule type="beginsWith" dxfId="8" priority="1" operator="beginsWith" text="Abtausch">
      <formula>LEFT(B3,8)="Abtausch"</formula>
    </cfRule>
    <cfRule type="beginsWith" dxfId="7" priority="2" operator="beginsWith" text="Auslistung">
      <formula>LEFT(B3,10)="Auslistung"</formula>
    </cfRule>
    <cfRule type="beginsWith" dxfId="6" priority="3" operator="beginsWith" text="Listung">
      <formula>LEFT(B3,7)="Listung"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L1048321"/>
  <sheetViews>
    <sheetView showGridLines="0" topLeftCell="A597" zoomScale="93" zoomScaleNormal="93" workbookViewId="0">
      <pane xSplit="4" topLeftCell="E1" activePane="topRight" state="frozen"/>
      <selection pane="topRight" activeCell="B640" sqref="B640"/>
    </sheetView>
  </sheetViews>
  <sheetFormatPr defaultColWidth="9.28515625" defaultRowHeight="15" outlineLevelCol="1"/>
  <cols>
    <col min="1" max="1" width="2.28515625" customWidth="1"/>
    <col min="2" max="2" width="10.28515625" style="1" bestFit="1" customWidth="1"/>
    <col min="3" max="3" width="7.7109375" bestFit="1" customWidth="1"/>
    <col min="4" max="4" width="11.28515625" customWidth="1" outlineLevel="1"/>
    <col min="5" max="5" width="3.28515625" customWidth="1"/>
    <col min="6" max="6" width="14.5703125" style="17" customWidth="1" outlineLevel="1"/>
    <col min="7" max="7" width="24.7109375" style="1" bestFit="1" customWidth="1" outlineLevel="1"/>
    <col min="8" max="8" width="3" customWidth="1"/>
    <col min="9" max="9" width="16" style="17" customWidth="1"/>
    <col min="10" max="10" width="52" style="1" bestFit="1" customWidth="1"/>
    <col min="11" max="12" width="14.7109375" style="17" customWidth="1"/>
  </cols>
  <sheetData>
    <row r="1" spans="2:12" s="2" customFormat="1" ht="27" thickBot="1">
      <c r="B1" s="15" t="s">
        <v>0</v>
      </c>
      <c r="F1" s="27" t="s">
        <v>1</v>
      </c>
      <c r="I1" s="20" t="s">
        <v>2</v>
      </c>
      <c r="K1" s="27"/>
      <c r="L1" s="27"/>
    </row>
    <row r="2" spans="2:12" s="3" customFormat="1" ht="42.6" customHeight="1">
      <c r="B2" s="7" t="s">
        <v>3</v>
      </c>
      <c r="C2" s="13" t="s">
        <v>4</v>
      </c>
      <c r="D2" s="13" t="s">
        <v>5</v>
      </c>
      <c r="F2" s="7" t="s">
        <v>7</v>
      </c>
      <c r="G2" s="8" t="s">
        <v>8</v>
      </c>
      <c r="I2" s="7" t="s">
        <v>7</v>
      </c>
      <c r="J2" s="8" t="s">
        <v>8</v>
      </c>
      <c r="K2" s="19" t="s">
        <v>2402</v>
      </c>
      <c r="L2" s="19" t="s">
        <v>2403</v>
      </c>
    </row>
    <row r="3" spans="2:12" s="3" customFormat="1" ht="15.75" thickBot="1">
      <c r="B3" s="5"/>
      <c r="C3" s="6"/>
      <c r="D3" s="6"/>
      <c r="F3" s="5"/>
      <c r="G3" s="6"/>
      <c r="I3" s="5"/>
      <c r="J3" s="6"/>
      <c r="K3" s="9" t="s">
        <v>2404</v>
      </c>
      <c r="L3" s="9" t="s">
        <v>2404</v>
      </c>
    </row>
    <row r="4" spans="2:12" s="23" customFormat="1">
      <c r="B4" s="37" t="s">
        <v>47</v>
      </c>
      <c r="C4" s="44" t="s">
        <v>28</v>
      </c>
      <c r="D4" s="48">
        <v>43315</v>
      </c>
      <c r="E4" s="49"/>
      <c r="F4" s="36"/>
      <c r="G4" s="37"/>
      <c r="H4" s="50"/>
      <c r="I4" s="22" t="s">
        <v>2405</v>
      </c>
      <c r="J4" s="21" t="s">
        <v>2406</v>
      </c>
      <c r="K4" s="22" t="s">
        <v>50</v>
      </c>
      <c r="L4" s="22" t="s">
        <v>2407</v>
      </c>
    </row>
    <row r="5" spans="2:12" s="23" customFormat="1">
      <c r="B5" s="37" t="s">
        <v>47</v>
      </c>
      <c r="C5" s="44" t="s">
        <v>28</v>
      </c>
      <c r="D5" s="48">
        <v>43315</v>
      </c>
      <c r="E5" s="49"/>
      <c r="F5" s="36"/>
      <c r="G5" s="37"/>
      <c r="H5" s="50"/>
      <c r="I5" s="22" t="s">
        <v>2408</v>
      </c>
      <c r="J5" s="21" t="s">
        <v>2409</v>
      </c>
      <c r="K5" s="22" t="s">
        <v>50</v>
      </c>
      <c r="L5" s="22" t="s">
        <v>2407</v>
      </c>
    </row>
    <row r="6" spans="2:12">
      <c r="B6" s="37" t="s">
        <v>47</v>
      </c>
      <c r="C6" s="44" t="s">
        <v>28</v>
      </c>
      <c r="D6" s="48">
        <v>43315</v>
      </c>
      <c r="E6" s="49"/>
      <c r="F6" s="36"/>
      <c r="G6" s="37"/>
      <c r="H6" s="50"/>
      <c r="I6" s="22" t="s">
        <v>2410</v>
      </c>
      <c r="J6" s="21" t="s">
        <v>2411</v>
      </c>
      <c r="K6" s="22" t="s">
        <v>50</v>
      </c>
      <c r="L6" s="22" t="s">
        <v>2407</v>
      </c>
    </row>
    <row r="7" spans="2:12">
      <c r="B7" s="37" t="s">
        <v>47</v>
      </c>
      <c r="C7" s="44" t="s">
        <v>28</v>
      </c>
      <c r="D7" s="48">
        <v>43315</v>
      </c>
      <c r="E7" s="49"/>
      <c r="F7" s="36"/>
      <c r="G7" s="37"/>
      <c r="H7" s="50"/>
      <c r="I7" s="22" t="s">
        <v>2412</v>
      </c>
      <c r="J7" s="21" t="s">
        <v>2413</v>
      </c>
      <c r="K7" s="22" t="s">
        <v>50</v>
      </c>
      <c r="L7" s="22" t="s">
        <v>2407</v>
      </c>
    </row>
    <row r="8" spans="2:12">
      <c r="B8" s="37" t="s">
        <v>47</v>
      </c>
      <c r="C8" s="44" t="s">
        <v>28</v>
      </c>
      <c r="D8" s="48">
        <v>43315</v>
      </c>
      <c r="E8" s="49"/>
      <c r="F8" s="36"/>
      <c r="G8" s="37"/>
      <c r="H8" s="50"/>
      <c r="I8" s="22" t="s">
        <v>2414</v>
      </c>
      <c r="J8" s="21" t="s">
        <v>2415</v>
      </c>
      <c r="K8" s="22" t="s">
        <v>50</v>
      </c>
      <c r="L8" s="22" t="s">
        <v>2407</v>
      </c>
    </row>
    <row r="9" spans="2:12">
      <c r="B9" s="37" t="s">
        <v>47</v>
      </c>
      <c r="C9" s="44" t="s">
        <v>28</v>
      </c>
      <c r="D9" s="48">
        <v>43315</v>
      </c>
      <c r="E9" s="49"/>
      <c r="F9" s="36"/>
      <c r="G9" s="37"/>
      <c r="H9" s="50"/>
      <c r="I9" s="22" t="s">
        <v>2416</v>
      </c>
      <c r="J9" s="21" t="s">
        <v>2417</v>
      </c>
      <c r="K9" s="22" t="s">
        <v>50</v>
      </c>
      <c r="L9" s="22" t="s">
        <v>2407</v>
      </c>
    </row>
    <row r="10" spans="2:12">
      <c r="B10" s="37" t="s">
        <v>47</v>
      </c>
      <c r="C10" s="44" t="s">
        <v>28</v>
      </c>
      <c r="D10" s="48">
        <v>43315</v>
      </c>
      <c r="E10" s="49"/>
      <c r="F10" s="36"/>
      <c r="G10" s="37"/>
      <c r="H10" s="50"/>
      <c r="I10" s="22" t="s">
        <v>2418</v>
      </c>
      <c r="J10" s="21" t="s">
        <v>2419</v>
      </c>
      <c r="K10" s="22" t="s">
        <v>50</v>
      </c>
      <c r="L10" s="22" t="s">
        <v>2407</v>
      </c>
    </row>
    <row r="11" spans="2:12">
      <c r="B11" s="37" t="s">
        <v>47</v>
      </c>
      <c r="C11" s="44" t="s">
        <v>28</v>
      </c>
      <c r="D11" s="48">
        <v>43315</v>
      </c>
      <c r="E11" s="49"/>
      <c r="F11" s="36"/>
      <c r="G11" s="37"/>
      <c r="H11" s="50"/>
      <c r="I11" s="22">
        <v>10067160</v>
      </c>
      <c r="J11" s="21" t="s">
        <v>2420</v>
      </c>
      <c r="K11" s="22" t="s">
        <v>50</v>
      </c>
      <c r="L11" s="22" t="s">
        <v>2407</v>
      </c>
    </row>
    <row r="12" spans="2:12">
      <c r="B12" s="37" t="s">
        <v>47</v>
      </c>
      <c r="C12" s="44" t="s">
        <v>28</v>
      </c>
      <c r="D12" s="48">
        <v>43315</v>
      </c>
      <c r="E12" s="49"/>
      <c r="F12" s="36"/>
      <c r="G12" s="37"/>
      <c r="H12" s="50"/>
      <c r="I12" s="22" t="s">
        <v>2421</v>
      </c>
      <c r="J12" s="21" t="s">
        <v>2422</v>
      </c>
      <c r="K12" s="22" t="s">
        <v>50</v>
      </c>
      <c r="L12" s="22" t="s">
        <v>2407</v>
      </c>
    </row>
    <row r="13" spans="2:12">
      <c r="B13" s="37" t="s">
        <v>47</v>
      </c>
      <c r="C13" s="44" t="s">
        <v>28</v>
      </c>
      <c r="D13" s="48">
        <v>43315</v>
      </c>
      <c r="E13" s="49"/>
      <c r="F13" s="36"/>
      <c r="G13" s="37"/>
      <c r="H13" s="50"/>
      <c r="I13" s="22" t="s">
        <v>2423</v>
      </c>
      <c r="J13" s="21" t="s">
        <v>2424</v>
      </c>
      <c r="K13" s="22" t="s">
        <v>50</v>
      </c>
      <c r="L13" s="22" t="s">
        <v>2407</v>
      </c>
    </row>
    <row r="14" spans="2:12">
      <c r="B14" s="37" t="s">
        <v>47</v>
      </c>
      <c r="C14" s="44" t="s">
        <v>28</v>
      </c>
      <c r="D14" s="48">
        <v>43315</v>
      </c>
      <c r="E14" s="49"/>
      <c r="F14" s="36"/>
      <c r="G14" s="37"/>
      <c r="H14" s="50"/>
      <c r="I14" s="22" t="s">
        <v>2425</v>
      </c>
      <c r="J14" s="21" t="s">
        <v>2426</v>
      </c>
      <c r="K14" s="22" t="s">
        <v>50</v>
      </c>
      <c r="L14" s="22" t="s">
        <v>2407</v>
      </c>
    </row>
    <row r="15" spans="2:12">
      <c r="B15" s="37" t="s">
        <v>47</v>
      </c>
      <c r="C15" s="30" t="s">
        <v>28</v>
      </c>
      <c r="D15" s="29">
        <v>43315</v>
      </c>
      <c r="E15" s="23"/>
      <c r="F15" s="22"/>
      <c r="G15" s="21"/>
      <c r="H15" s="24"/>
      <c r="I15" s="22" t="s">
        <v>2427</v>
      </c>
      <c r="J15" s="21" t="s">
        <v>2428</v>
      </c>
      <c r="K15" s="22" t="s">
        <v>50</v>
      </c>
      <c r="L15" s="22" t="s">
        <v>2407</v>
      </c>
    </row>
    <row r="16" spans="2:12">
      <c r="B16" s="37" t="s">
        <v>47</v>
      </c>
      <c r="C16" s="30" t="s">
        <v>28</v>
      </c>
      <c r="D16" s="29">
        <v>43343</v>
      </c>
      <c r="E16" s="23"/>
      <c r="F16" s="22"/>
      <c r="G16" s="21"/>
      <c r="H16" s="24"/>
      <c r="I16" s="22" t="s">
        <v>2429</v>
      </c>
      <c r="J16" s="21" t="s">
        <v>2430</v>
      </c>
      <c r="K16" s="22" t="s">
        <v>50</v>
      </c>
      <c r="L16" s="22" t="s">
        <v>2407</v>
      </c>
    </row>
    <row r="17" spans="2:12">
      <c r="B17" s="37" t="s">
        <v>47</v>
      </c>
      <c r="C17" s="30" t="s">
        <v>28</v>
      </c>
      <c r="D17" s="29">
        <v>43343</v>
      </c>
      <c r="E17" s="23"/>
      <c r="F17" s="22"/>
      <c r="G17" s="21"/>
      <c r="H17" s="24"/>
      <c r="I17" s="22" t="s">
        <v>2431</v>
      </c>
      <c r="J17" s="21" t="s">
        <v>2432</v>
      </c>
      <c r="K17" s="22" t="s">
        <v>50</v>
      </c>
      <c r="L17" s="22" t="s">
        <v>2407</v>
      </c>
    </row>
    <row r="18" spans="2:12">
      <c r="B18" s="37" t="s">
        <v>47</v>
      </c>
      <c r="C18" s="30" t="s">
        <v>28</v>
      </c>
      <c r="D18" s="29">
        <v>43364</v>
      </c>
      <c r="E18" s="23"/>
      <c r="F18" s="22"/>
      <c r="G18" s="21"/>
      <c r="H18" s="24"/>
      <c r="I18" s="22" t="s">
        <v>2433</v>
      </c>
      <c r="J18" s="21" t="s">
        <v>2434</v>
      </c>
      <c r="K18" s="22" t="s">
        <v>50</v>
      </c>
      <c r="L18" s="22" t="s">
        <v>2407</v>
      </c>
    </row>
    <row r="19" spans="2:12">
      <c r="B19" s="37" t="s">
        <v>47</v>
      </c>
      <c r="C19" s="30" t="s">
        <v>28</v>
      </c>
      <c r="D19" s="29">
        <v>43364</v>
      </c>
      <c r="E19" s="23"/>
      <c r="F19" s="22"/>
      <c r="G19" s="21"/>
      <c r="H19" s="24"/>
      <c r="I19" s="22" t="s">
        <v>2435</v>
      </c>
      <c r="J19" s="21" t="s">
        <v>2436</v>
      </c>
      <c r="K19" s="22" t="s">
        <v>50</v>
      </c>
      <c r="L19" s="22" t="s">
        <v>2407</v>
      </c>
    </row>
    <row r="20" spans="2:12">
      <c r="B20" s="37" t="s">
        <v>47</v>
      </c>
      <c r="C20" s="30" t="s">
        <v>28</v>
      </c>
      <c r="D20" s="29">
        <v>43413</v>
      </c>
      <c r="E20" s="23"/>
      <c r="F20" s="22"/>
      <c r="G20" s="21"/>
      <c r="H20" s="24"/>
      <c r="I20" s="22" t="s">
        <v>2437</v>
      </c>
      <c r="J20" s="21" t="s">
        <v>2438</v>
      </c>
      <c r="K20" s="22" t="s">
        <v>50</v>
      </c>
      <c r="L20" s="22" t="s">
        <v>2407</v>
      </c>
    </row>
    <row r="21" spans="2:12">
      <c r="B21" s="37" t="s">
        <v>47</v>
      </c>
      <c r="C21" s="30" t="s">
        <v>28</v>
      </c>
      <c r="D21" s="29">
        <v>43413</v>
      </c>
      <c r="E21" s="23"/>
      <c r="F21" s="22"/>
      <c r="G21" s="21"/>
      <c r="H21" s="24"/>
      <c r="I21" s="22" t="s">
        <v>2439</v>
      </c>
      <c r="J21" s="21" t="s">
        <v>2440</v>
      </c>
      <c r="K21" s="22" t="s">
        <v>50</v>
      </c>
      <c r="L21" s="22" t="s">
        <v>2407</v>
      </c>
    </row>
    <row r="22" spans="2:12">
      <c r="B22" s="37" t="s">
        <v>47</v>
      </c>
      <c r="C22" s="30" t="s">
        <v>28</v>
      </c>
      <c r="D22" s="29">
        <v>43413</v>
      </c>
      <c r="E22" s="23"/>
      <c r="F22" s="22"/>
      <c r="G22" s="21"/>
      <c r="H22" s="24"/>
      <c r="I22" s="22" t="s">
        <v>2441</v>
      </c>
      <c r="J22" s="21" t="s">
        <v>2442</v>
      </c>
      <c r="K22" s="22" t="s">
        <v>50</v>
      </c>
      <c r="L22" s="22" t="s">
        <v>2407</v>
      </c>
    </row>
    <row r="23" spans="2:12">
      <c r="B23" s="37" t="s">
        <v>47</v>
      </c>
      <c r="C23" s="30" t="s">
        <v>28</v>
      </c>
      <c r="D23" s="29">
        <v>43413</v>
      </c>
      <c r="E23" s="23"/>
      <c r="F23" s="22"/>
      <c r="G23" s="21"/>
      <c r="H23" s="24"/>
      <c r="I23" s="22" t="s">
        <v>2443</v>
      </c>
      <c r="J23" s="21" t="s">
        <v>2444</v>
      </c>
      <c r="K23" s="22" t="s">
        <v>50</v>
      </c>
      <c r="L23" s="22" t="s">
        <v>2407</v>
      </c>
    </row>
    <row r="24" spans="2:12">
      <c r="B24" s="37" t="s">
        <v>47</v>
      </c>
      <c r="C24" s="30" t="s">
        <v>28</v>
      </c>
      <c r="D24" s="29">
        <v>43413</v>
      </c>
      <c r="E24" s="23"/>
      <c r="F24" s="22"/>
      <c r="G24" s="21"/>
      <c r="H24" s="24"/>
      <c r="I24" s="22" t="s">
        <v>2445</v>
      </c>
      <c r="J24" s="21" t="s">
        <v>2446</v>
      </c>
      <c r="K24" s="22" t="s">
        <v>50</v>
      </c>
      <c r="L24" s="22" t="s">
        <v>2407</v>
      </c>
    </row>
    <row r="25" spans="2:12">
      <c r="B25" s="37" t="s">
        <v>47</v>
      </c>
      <c r="C25" s="30" t="s">
        <v>28</v>
      </c>
      <c r="D25" s="29">
        <v>43413</v>
      </c>
      <c r="E25" s="23"/>
      <c r="F25" s="22"/>
      <c r="G25" s="21"/>
      <c r="H25" s="24"/>
      <c r="I25" s="22" t="s">
        <v>2447</v>
      </c>
      <c r="J25" s="21" t="s">
        <v>2448</v>
      </c>
      <c r="K25" s="22" t="s">
        <v>50</v>
      </c>
      <c r="L25" s="22" t="s">
        <v>2407</v>
      </c>
    </row>
    <row r="26" spans="2:12">
      <c r="B26" s="37" t="s">
        <v>47</v>
      </c>
      <c r="C26" s="30" t="s">
        <v>28</v>
      </c>
      <c r="D26" s="29">
        <v>43413</v>
      </c>
      <c r="E26" s="23"/>
      <c r="F26" s="22"/>
      <c r="G26" s="21"/>
      <c r="H26" s="24"/>
      <c r="I26" s="22" t="s">
        <v>2449</v>
      </c>
      <c r="J26" s="21" t="s">
        <v>2450</v>
      </c>
      <c r="K26" s="22" t="s">
        <v>50</v>
      </c>
      <c r="L26" s="22" t="s">
        <v>2407</v>
      </c>
    </row>
    <row r="27" spans="2:12">
      <c r="B27" s="37" t="s">
        <v>47</v>
      </c>
      <c r="C27" s="30" t="s">
        <v>28</v>
      </c>
      <c r="D27" s="29">
        <v>43413</v>
      </c>
      <c r="E27" s="23"/>
      <c r="F27" s="22"/>
      <c r="G27" s="21"/>
      <c r="H27" s="24"/>
      <c r="I27" s="22" t="s">
        <v>2451</v>
      </c>
      <c r="J27" s="21" t="s">
        <v>2452</v>
      </c>
      <c r="K27" s="22" t="s">
        <v>50</v>
      </c>
      <c r="L27" s="22" t="s">
        <v>2407</v>
      </c>
    </row>
    <row r="28" spans="2:12">
      <c r="B28" s="21" t="s">
        <v>47</v>
      </c>
      <c r="C28" s="30" t="s">
        <v>28</v>
      </c>
      <c r="D28" s="29">
        <v>43504</v>
      </c>
      <c r="E28" s="23"/>
      <c r="F28" s="22"/>
      <c r="G28" s="21"/>
      <c r="H28" s="24"/>
      <c r="I28" s="22" t="s">
        <v>2453</v>
      </c>
      <c r="J28" s="21" t="s">
        <v>2454</v>
      </c>
      <c r="K28" s="22" t="s">
        <v>50</v>
      </c>
      <c r="L28" s="22" t="s">
        <v>2407</v>
      </c>
    </row>
    <row r="29" spans="2:12">
      <c r="B29" s="21" t="s">
        <v>47</v>
      </c>
      <c r="C29" s="30" t="s">
        <v>28</v>
      </c>
      <c r="D29" s="29">
        <v>43532</v>
      </c>
      <c r="E29" s="23"/>
      <c r="F29" s="22"/>
      <c r="G29" s="21"/>
      <c r="H29" s="24"/>
      <c r="I29" s="22">
        <v>10071134</v>
      </c>
      <c r="J29" s="21" t="s">
        <v>2455</v>
      </c>
      <c r="K29" s="22" t="s">
        <v>50</v>
      </c>
      <c r="L29" s="22" t="s">
        <v>2407</v>
      </c>
    </row>
    <row r="30" spans="2:12">
      <c r="B30" s="21" t="s">
        <v>47</v>
      </c>
      <c r="C30" s="30" t="s">
        <v>28</v>
      </c>
      <c r="D30" s="55">
        <v>43742</v>
      </c>
      <c r="F30" s="22"/>
      <c r="G30" s="21"/>
      <c r="I30" s="22">
        <v>10074130</v>
      </c>
      <c r="J30" s="21" t="s">
        <v>2456</v>
      </c>
      <c r="K30" s="22" t="s">
        <v>50</v>
      </c>
      <c r="L30" s="22" t="s">
        <v>2407</v>
      </c>
    </row>
    <row r="31" spans="2:12">
      <c r="B31" s="21" t="s">
        <v>47</v>
      </c>
      <c r="C31" s="31" t="s">
        <v>28</v>
      </c>
      <c r="D31" s="55">
        <v>43742</v>
      </c>
      <c r="F31" s="22"/>
      <c r="G31" s="21"/>
      <c r="I31" s="22">
        <v>10074156</v>
      </c>
      <c r="J31" s="21" t="s">
        <v>2456</v>
      </c>
      <c r="K31" s="22" t="s">
        <v>50</v>
      </c>
      <c r="L31" s="22" t="s">
        <v>2407</v>
      </c>
    </row>
    <row r="32" spans="2:12">
      <c r="B32" s="21" t="s">
        <v>47</v>
      </c>
      <c r="C32" s="31" t="s">
        <v>28</v>
      </c>
      <c r="D32" s="55">
        <v>43742</v>
      </c>
      <c r="F32" s="22"/>
      <c r="G32" s="21"/>
      <c r="I32" s="22">
        <v>10074126</v>
      </c>
      <c r="J32" s="21" t="s">
        <v>2457</v>
      </c>
      <c r="K32" s="22" t="s">
        <v>50</v>
      </c>
      <c r="L32" s="22" t="s">
        <v>2407</v>
      </c>
    </row>
    <row r="33" spans="2:12">
      <c r="B33" s="21" t="s">
        <v>47</v>
      </c>
      <c r="C33" s="31" t="s">
        <v>28</v>
      </c>
      <c r="D33" s="47">
        <v>43748</v>
      </c>
      <c r="F33" s="39"/>
      <c r="G33" s="16"/>
      <c r="I33" s="39" t="s">
        <v>2458</v>
      </c>
      <c r="J33" s="16" t="s">
        <v>2459</v>
      </c>
      <c r="K33" s="39" t="s">
        <v>50</v>
      </c>
      <c r="L33" s="22" t="s">
        <v>2407</v>
      </c>
    </row>
    <row r="34" spans="2:12">
      <c r="B34" s="21" t="s">
        <v>47</v>
      </c>
      <c r="C34" s="46" t="s">
        <v>28</v>
      </c>
      <c r="D34" s="47">
        <v>43748</v>
      </c>
      <c r="F34" s="39"/>
      <c r="G34" s="16"/>
      <c r="I34" s="39" t="s">
        <v>2460</v>
      </c>
      <c r="J34" s="16" t="s">
        <v>2461</v>
      </c>
      <c r="K34" s="39" t="s">
        <v>50</v>
      </c>
      <c r="L34" s="22" t="s">
        <v>2407</v>
      </c>
    </row>
    <row r="35" spans="2:12">
      <c r="B35" s="21" t="s">
        <v>47</v>
      </c>
      <c r="C35" s="46" t="s">
        <v>28</v>
      </c>
      <c r="D35" s="47">
        <v>43762</v>
      </c>
      <c r="F35" s="39"/>
      <c r="G35" s="39"/>
      <c r="I35" s="39">
        <v>10074158</v>
      </c>
      <c r="J35" s="16" t="s">
        <v>2462</v>
      </c>
      <c r="K35" s="39" t="s">
        <v>50</v>
      </c>
      <c r="L35" s="22" t="s">
        <v>2407</v>
      </c>
    </row>
    <row r="36" spans="2:12">
      <c r="B36" s="21" t="s">
        <v>47</v>
      </c>
      <c r="C36" s="46" t="s">
        <v>28</v>
      </c>
      <c r="D36" s="47">
        <v>43762</v>
      </c>
      <c r="F36" s="39"/>
      <c r="G36" s="39"/>
      <c r="I36" s="39">
        <v>10074148</v>
      </c>
      <c r="J36" s="16" t="s">
        <v>2463</v>
      </c>
      <c r="K36" s="39" t="s">
        <v>50</v>
      </c>
      <c r="L36" s="22" t="s">
        <v>2407</v>
      </c>
    </row>
    <row r="37" spans="2:12">
      <c r="B37" s="21" t="s">
        <v>47</v>
      </c>
      <c r="C37" s="80" t="s">
        <v>28</v>
      </c>
      <c r="D37" s="81">
        <v>43811</v>
      </c>
      <c r="F37" s="39"/>
      <c r="G37" s="39"/>
      <c r="I37" s="82">
        <v>10074236</v>
      </c>
      <c r="J37" s="78" t="s">
        <v>2464</v>
      </c>
      <c r="K37" s="39" t="s">
        <v>50</v>
      </c>
      <c r="L37" s="22" t="s">
        <v>2407</v>
      </c>
    </row>
    <row r="38" spans="2:12">
      <c r="B38" s="21" t="s">
        <v>47</v>
      </c>
      <c r="C38" s="80" t="s">
        <v>28</v>
      </c>
      <c r="D38" s="81">
        <v>43811</v>
      </c>
      <c r="F38" s="39"/>
      <c r="G38" s="39"/>
      <c r="I38" s="82">
        <v>10074970</v>
      </c>
      <c r="J38" s="78" t="s">
        <v>2465</v>
      </c>
      <c r="K38" s="39" t="s">
        <v>50</v>
      </c>
      <c r="L38" s="22" t="s">
        <v>2407</v>
      </c>
    </row>
    <row r="39" spans="2:12">
      <c r="B39" s="21" t="s">
        <v>47</v>
      </c>
      <c r="C39" s="80" t="s">
        <v>28</v>
      </c>
      <c r="D39" s="81">
        <v>43811</v>
      </c>
      <c r="F39" s="39"/>
      <c r="G39" s="39"/>
      <c r="I39" s="82">
        <v>10074967</v>
      </c>
      <c r="J39" s="78" t="s">
        <v>2466</v>
      </c>
      <c r="K39" s="39" t="s">
        <v>50</v>
      </c>
      <c r="L39" s="22" t="s">
        <v>2407</v>
      </c>
    </row>
    <row r="40" spans="2:12">
      <c r="B40" s="21" t="s">
        <v>47</v>
      </c>
      <c r="C40" s="80" t="s">
        <v>28</v>
      </c>
      <c r="D40" s="81">
        <v>43811</v>
      </c>
      <c r="F40" s="39"/>
      <c r="G40" s="39"/>
      <c r="I40" s="82">
        <v>10074128</v>
      </c>
      <c r="J40" s="78" t="s">
        <v>2467</v>
      </c>
      <c r="K40" s="39" t="s">
        <v>50</v>
      </c>
      <c r="L40" s="22" t="s">
        <v>2407</v>
      </c>
    </row>
    <row r="41" spans="2:12">
      <c r="B41" s="21" t="s">
        <v>47</v>
      </c>
      <c r="C41" s="80" t="s">
        <v>28</v>
      </c>
      <c r="D41" s="81">
        <v>43811</v>
      </c>
      <c r="F41" s="39"/>
      <c r="G41" s="39"/>
      <c r="I41" s="82" t="s">
        <v>2468</v>
      </c>
      <c r="J41" s="78" t="s">
        <v>2469</v>
      </c>
      <c r="K41" s="39" t="s">
        <v>50</v>
      </c>
      <c r="L41" s="22" t="s">
        <v>2407</v>
      </c>
    </row>
    <row r="42" spans="2:12">
      <c r="B42" s="21" t="s">
        <v>47</v>
      </c>
      <c r="C42" s="80" t="s">
        <v>28</v>
      </c>
      <c r="D42" s="81">
        <v>43811</v>
      </c>
      <c r="F42" s="39"/>
      <c r="G42" s="39"/>
      <c r="I42" s="82" t="s">
        <v>2470</v>
      </c>
      <c r="J42" s="78" t="s">
        <v>2471</v>
      </c>
      <c r="K42" s="39" t="s">
        <v>50</v>
      </c>
      <c r="L42" s="22" t="s">
        <v>2407</v>
      </c>
    </row>
    <row r="43" spans="2:12">
      <c r="B43" s="21" t="s">
        <v>47</v>
      </c>
      <c r="C43" s="80" t="s">
        <v>28</v>
      </c>
      <c r="D43" s="81">
        <v>43811</v>
      </c>
      <c r="F43" s="39"/>
      <c r="G43" s="39"/>
      <c r="I43" s="82" t="s">
        <v>2472</v>
      </c>
      <c r="J43" s="78" t="s">
        <v>2473</v>
      </c>
      <c r="K43" s="39" t="s">
        <v>50</v>
      </c>
      <c r="L43" s="22" t="s">
        <v>2407</v>
      </c>
    </row>
    <row r="44" spans="2:12">
      <c r="B44" s="21" t="s">
        <v>47</v>
      </c>
      <c r="C44" s="80" t="s">
        <v>28</v>
      </c>
      <c r="D44" s="81">
        <v>43811</v>
      </c>
      <c r="F44" s="39"/>
      <c r="G44" s="39"/>
      <c r="I44" s="82" t="s">
        <v>2474</v>
      </c>
      <c r="J44" s="78" t="s">
        <v>2475</v>
      </c>
      <c r="K44" s="39" t="s">
        <v>50</v>
      </c>
      <c r="L44" s="22" t="s">
        <v>2407</v>
      </c>
    </row>
    <row r="45" spans="2:12">
      <c r="B45" s="21" t="s">
        <v>47</v>
      </c>
      <c r="C45" s="46" t="s">
        <v>28</v>
      </c>
      <c r="D45" s="47">
        <v>43854</v>
      </c>
      <c r="F45" s="39"/>
      <c r="G45" s="39"/>
      <c r="I45" s="39">
        <v>10075698</v>
      </c>
      <c r="J45" s="16" t="s">
        <v>2476</v>
      </c>
      <c r="K45" s="39" t="s">
        <v>50</v>
      </c>
      <c r="L45" s="22" t="s">
        <v>2407</v>
      </c>
    </row>
    <row r="46" spans="2:12">
      <c r="B46" s="21" t="s">
        <v>47</v>
      </c>
      <c r="C46" s="46" t="s">
        <v>28</v>
      </c>
      <c r="D46" s="47">
        <v>43854</v>
      </c>
      <c r="F46" s="39"/>
      <c r="G46" s="39"/>
      <c r="I46" s="39">
        <v>10076928</v>
      </c>
      <c r="J46" s="16" t="s">
        <v>2477</v>
      </c>
      <c r="K46" s="39" t="s">
        <v>50</v>
      </c>
      <c r="L46" s="22" t="s">
        <v>2407</v>
      </c>
    </row>
    <row r="47" spans="2:12">
      <c r="B47" s="21" t="s">
        <v>47</v>
      </c>
      <c r="C47" s="46" t="s">
        <v>28</v>
      </c>
      <c r="D47" s="47">
        <v>43854</v>
      </c>
      <c r="F47" s="39"/>
      <c r="G47" s="39"/>
      <c r="H47" s="79"/>
      <c r="I47" s="39">
        <v>10076927</v>
      </c>
      <c r="J47" s="16" t="s">
        <v>2478</v>
      </c>
      <c r="K47" s="39" t="s">
        <v>50</v>
      </c>
      <c r="L47" s="22" t="s">
        <v>2407</v>
      </c>
    </row>
    <row r="48" spans="2:12">
      <c r="B48" s="21" t="s">
        <v>47</v>
      </c>
      <c r="C48" s="46" t="s">
        <v>28</v>
      </c>
      <c r="D48" s="47">
        <v>43854</v>
      </c>
      <c r="F48" s="39"/>
      <c r="G48" s="39"/>
      <c r="H48" s="79"/>
      <c r="I48" s="39">
        <v>10076942</v>
      </c>
      <c r="J48" s="16" t="s">
        <v>2479</v>
      </c>
      <c r="K48" s="39" t="s">
        <v>50</v>
      </c>
      <c r="L48" s="22" t="s">
        <v>2407</v>
      </c>
    </row>
    <row r="49" spans="2:12">
      <c r="B49" s="21" t="s">
        <v>47</v>
      </c>
      <c r="C49" s="46" t="s">
        <v>28</v>
      </c>
      <c r="D49" s="47">
        <v>43854</v>
      </c>
      <c r="F49" s="39"/>
      <c r="G49" s="39"/>
      <c r="H49" s="79"/>
      <c r="I49" s="39">
        <v>10075470</v>
      </c>
      <c r="J49" s="16" t="s">
        <v>2480</v>
      </c>
      <c r="K49" s="39" t="s">
        <v>50</v>
      </c>
      <c r="L49" s="22" t="s">
        <v>2407</v>
      </c>
    </row>
    <row r="50" spans="2:12">
      <c r="B50" s="21" t="s">
        <v>47</v>
      </c>
      <c r="C50" s="46" t="s">
        <v>28</v>
      </c>
      <c r="D50" s="47">
        <v>43854</v>
      </c>
      <c r="F50" s="39"/>
      <c r="G50" s="39"/>
      <c r="H50" s="79"/>
      <c r="I50" s="39">
        <v>10076943</v>
      </c>
      <c r="J50" s="16" t="s">
        <v>2481</v>
      </c>
      <c r="K50" s="39" t="s">
        <v>50</v>
      </c>
      <c r="L50" s="22" t="s">
        <v>2407</v>
      </c>
    </row>
    <row r="51" spans="2:12">
      <c r="B51" s="21" t="s">
        <v>47</v>
      </c>
      <c r="C51" s="46" t="s">
        <v>28</v>
      </c>
      <c r="D51" s="47">
        <v>43854</v>
      </c>
      <c r="F51" s="39"/>
      <c r="G51" s="39"/>
      <c r="H51" s="79"/>
      <c r="I51" s="39">
        <v>10075445</v>
      </c>
      <c r="J51" s="16" t="s">
        <v>2482</v>
      </c>
      <c r="K51" s="39" t="s">
        <v>50</v>
      </c>
      <c r="L51" s="22" t="s">
        <v>2407</v>
      </c>
    </row>
    <row r="52" spans="2:12">
      <c r="B52" s="21" t="s">
        <v>47</v>
      </c>
      <c r="C52" s="46" t="s">
        <v>28</v>
      </c>
      <c r="D52" s="47">
        <v>43854</v>
      </c>
      <c r="F52" s="39"/>
      <c r="G52" s="39"/>
      <c r="I52" s="39">
        <v>10075133</v>
      </c>
      <c r="J52" s="16" t="s">
        <v>2483</v>
      </c>
      <c r="K52" s="39" t="s">
        <v>50</v>
      </c>
      <c r="L52" s="22" t="s">
        <v>2407</v>
      </c>
    </row>
    <row r="53" spans="2:12">
      <c r="B53" s="21" t="s">
        <v>47</v>
      </c>
      <c r="C53" s="46" t="s">
        <v>28</v>
      </c>
      <c r="D53" s="47">
        <v>43854</v>
      </c>
      <c r="F53" s="39"/>
      <c r="G53" s="39"/>
      <c r="I53" s="39">
        <v>10075129</v>
      </c>
      <c r="J53" s="16" t="s">
        <v>2484</v>
      </c>
      <c r="K53" s="39" t="s">
        <v>50</v>
      </c>
      <c r="L53" s="22" t="s">
        <v>2407</v>
      </c>
    </row>
    <row r="54" spans="2:12">
      <c r="B54" s="21" t="s">
        <v>47</v>
      </c>
      <c r="C54" s="46" t="s">
        <v>28</v>
      </c>
      <c r="D54" s="47">
        <v>43868</v>
      </c>
      <c r="F54" s="39"/>
      <c r="G54" s="39"/>
      <c r="I54" s="39" t="s">
        <v>2485</v>
      </c>
      <c r="J54" s="16" t="s">
        <v>2486</v>
      </c>
      <c r="K54" s="39" t="s">
        <v>50</v>
      </c>
      <c r="L54" s="22" t="s">
        <v>2407</v>
      </c>
    </row>
    <row r="55" spans="2:12">
      <c r="B55" s="21" t="s">
        <v>47</v>
      </c>
      <c r="C55" s="46" t="s">
        <v>28</v>
      </c>
      <c r="D55" s="47">
        <v>43868</v>
      </c>
      <c r="F55" s="39"/>
      <c r="G55" s="39"/>
      <c r="I55" s="39">
        <v>10075937</v>
      </c>
      <c r="J55" s="16" t="s">
        <v>2487</v>
      </c>
      <c r="K55" s="39" t="s">
        <v>50</v>
      </c>
      <c r="L55" s="22" t="s">
        <v>2407</v>
      </c>
    </row>
    <row r="56" spans="2:12">
      <c r="B56" s="21" t="s">
        <v>47</v>
      </c>
      <c r="C56" s="46" t="s">
        <v>28</v>
      </c>
      <c r="D56" s="47">
        <v>43910</v>
      </c>
      <c r="F56" s="39"/>
      <c r="G56" s="39"/>
      <c r="I56" s="39" t="s">
        <v>2488</v>
      </c>
      <c r="J56" s="16" t="s">
        <v>2489</v>
      </c>
      <c r="K56" s="39" t="s">
        <v>50</v>
      </c>
      <c r="L56" s="22" t="s">
        <v>2407</v>
      </c>
    </row>
    <row r="57" spans="2:12">
      <c r="B57" s="21" t="s">
        <v>47</v>
      </c>
      <c r="C57" s="46" t="s">
        <v>28</v>
      </c>
      <c r="D57" s="47">
        <v>43910</v>
      </c>
      <c r="F57" s="39"/>
      <c r="G57" s="39"/>
      <c r="I57" s="39" t="s">
        <v>2490</v>
      </c>
      <c r="J57" s="16" t="s">
        <v>2491</v>
      </c>
      <c r="K57" s="39" t="s">
        <v>50</v>
      </c>
      <c r="L57" s="22" t="s">
        <v>2407</v>
      </c>
    </row>
    <row r="58" spans="2:12">
      <c r="B58" s="21" t="s">
        <v>47</v>
      </c>
      <c r="C58" s="46" t="s">
        <v>28</v>
      </c>
      <c r="D58" s="47">
        <v>43910</v>
      </c>
      <c r="F58" s="39"/>
      <c r="G58" s="39"/>
      <c r="I58" s="39" t="s">
        <v>2492</v>
      </c>
      <c r="J58" s="16" t="s">
        <v>2493</v>
      </c>
      <c r="K58" s="39" t="s">
        <v>50</v>
      </c>
      <c r="L58" s="22" t="s">
        <v>2407</v>
      </c>
    </row>
    <row r="59" spans="2:12">
      <c r="B59" s="21" t="s">
        <v>47</v>
      </c>
      <c r="C59" s="46" t="s">
        <v>28</v>
      </c>
      <c r="D59" s="47">
        <v>43910</v>
      </c>
      <c r="F59" s="39"/>
      <c r="G59" s="39"/>
      <c r="I59" s="39">
        <v>10075938</v>
      </c>
      <c r="J59" s="16" t="s">
        <v>2494</v>
      </c>
      <c r="K59" s="39" t="s">
        <v>50</v>
      </c>
      <c r="L59" s="22" t="s">
        <v>2407</v>
      </c>
    </row>
    <row r="60" spans="2:12">
      <c r="B60" s="21" t="s">
        <v>47</v>
      </c>
      <c r="C60" s="46" t="s">
        <v>28</v>
      </c>
      <c r="D60" s="47">
        <v>43917</v>
      </c>
      <c r="F60" s="39"/>
      <c r="G60" s="39"/>
      <c r="I60" s="39">
        <v>10076984</v>
      </c>
      <c r="J60" s="16" t="s">
        <v>2495</v>
      </c>
      <c r="K60" s="39" t="s">
        <v>50</v>
      </c>
      <c r="L60" s="22" t="s">
        <v>2407</v>
      </c>
    </row>
    <row r="61" spans="2:12">
      <c r="B61" s="21" t="s">
        <v>47</v>
      </c>
      <c r="C61" s="46" t="s">
        <v>28</v>
      </c>
      <c r="D61" s="47">
        <v>43917</v>
      </c>
      <c r="F61" s="39"/>
      <c r="G61" s="39"/>
      <c r="I61" s="39">
        <v>10076983</v>
      </c>
      <c r="J61" s="16" t="s">
        <v>2496</v>
      </c>
      <c r="K61" s="39" t="s">
        <v>50</v>
      </c>
      <c r="L61" s="22" t="s">
        <v>2407</v>
      </c>
    </row>
    <row r="62" spans="2:12">
      <c r="B62" s="21" t="s">
        <v>47</v>
      </c>
      <c r="C62" s="46" t="s">
        <v>28</v>
      </c>
      <c r="D62" s="47">
        <v>43917</v>
      </c>
      <c r="F62" s="39"/>
      <c r="G62" s="39"/>
      <c r="I62" s="39">
        <v>10076985</v>
      </c>
      <c r="J62" s="16" t="s">
        <v>2497</v>
      </c>
      <c r="K62" s="39" t="s">
        <v>50</v>
      </c>
      <c r="L62" s="22" t="s">
        <v>2407</v>
      </c>
    </row>
    <row r="63" spans="2:12">
      <c r="B63" s="21" t="s">
        <v>47</v>
      </c>
      <c r="C63" s="46" t="s">
        <v>28</v>
      </c>
      <c r="D63" s="47">
        <v>44015</v>
      </c>
      <c r="F63" s="39"/>
      <c r="G63" s="39"/>
      <c r="I63" s="39" t="s">
        <v>2498</v>
      </c>
      <c r="J63" s="16" t="s">
        <v>2499</v>
      </c>
      <c r="K63" s="39" t="s">
        <v>50</v>
      </c>
      <c r="L63" s="39" t="s">
        <v>2407</v>
      </c>
    </row>
    <row r="64" spans="2:12">
      <c r="B64" s="21" t="s">
        <v>47</v>
      </c>
      <c r="C64" s="46" t="s">
        <v>28</v>
      </c>
      <c r="D64" s="47">
        <v>44022</v>
      </c>
      <c r="F64" s="39"/>
      <c r="G64" s="39"/>
      <c r="I64" s="39" t="s">
        <v>2500</v>
      </c>
      <c r="J64" s="16" t="s">
        <v>2501</v>
      </c>
      <c r="K64" s="39" t="s">
        <v>50</v>
      </c>
      <c r="L64" s="39" t="s">
        <v>2407</v>
      </c>
    </row>
    <row r="65" spans="2:12">
      <c r="B65" s="21" t="s">
        <v>47</v>
      </c>
      <c r="C65" s="46" t="s">
        <v>28</v>
      </c>
      <c r="D65" s="47">
        <v>44022</v>
      </c>
      <c r="F65" s="39"/>
      <c r="G65" s="39"/>
      <c r="I65" s="39">
        <v>10078707</v>
      </c>
      <c r="J65" s="16" t="s">
        <v>2502</v>
      </c>
      <c r="K65" s="39" t="s">
        <v>50</v>
      </c>
      <c r="L65" s="39" t="s">
        <v>2407</v>
      </c>
    </row>
    <row r="66" spans="2:12">
      <c r="B66" s="21" t="s">
        <v>47</v>
      </c>
      <c r="C66" s="46" t="s">
        <v>28</v>
      </c>
      <c r="D66" s="47">
        <v>44022</v>
      </c>
      <c r="F66" s="39"/>
      <c r="G66" s="39"/>
      <c r="I66" s="106" t="s">
        <v>2503</v>
      </c>
      <c r="J66" s="16" t="s">
        <v>2504</v>
      </c>
      <c r="K66" s="39" t="s">
        <v>50</v>
      </c>
      <c r="L66" s="39" t="s">
        <v>2407</v>
      </c>
    </row>
    <row r="67" spans="2:12">
      <c r="B67" s="16" t="s">
        <v>47</v>
      </c>
      <c r="C67" s="46" t="s">
        <v>28</v>
      </c>
      <c r="D67" s="47">
        <v>44036</v>
      </c>
      <c r="F67" s="39"/>
      <c r="G67" s="39"/>
      <c r="I67" s="39">
        <v>10078968</v>
      </c>
      <c r="J67" s="16" t="s">
        <v>2505</v>
      </c>
      <c r="K67" s="39" t="s">
        <v>50</v>
      </c>
      <c r="L67" s="39" t="s">
        <v>2407</v>
      </c>
    </row>
    <row r="68" spans="2:12">
      <c r="B68" s="16" t="s">
        <v>47</v>
      </c>
      <c r="C68" s="46" t="s">
        <v>28</v>
      </c>
      <c r="D68" s="47">
        <v>44036</v>
      </c>
      <c r="F68" s="39"/>
      <c r="G68" s="39"/>
      <c r="I68" s="39">
        <v>10078969</v>
      </c>
      <c r="J68" s="16" t="s">
        <v>2506</v>
      </c>
      <c r="K68" s="39" t="s">
        <v>50</v>
      </c>
      <c r="L68" s="39" t="s">
        <v>2407</v>
      </c>
    </row>
    <row r="69" spans="2:12">
      <c r="B69" s="16" t="s">
        <v>47</v>
      </c>
      <c r="C69" s="46" t="s">
        <v>28</v>
      </c>
      <c r="D69" s="47">
        <v>44036</v>
      </c>
      <c r="F69" s="39"/>
      <c r="G69" s="39"/>
      <c r="I69" s="39">
        <v>10078967</v>
      </c>
      <c r="J69" s="16" t="s">
        <v>2507</v>
      </c>
      <c r="K69" s="39" t="s">
        <v>50</v>
      </c>
      <c r="L69" s="39" t="s">
        <v>2407</v>
      </c>
    </row>
    <row r="70" spans="2:12">
      <c r="B70" s="16" t="s">
        <v>47</v>
      </c>
      <c r="C70" s="46" t="s">
        <v>28</v>
      </c>
      <c r="D70" s="47">
        <v>44036</v>
      </c>
      <c r="F70" s="39"/>
      <c r="G70" s="39"/>
      <c r="I70" s="106">
        <v>10078970</v>
      </c>
      <c r="J70" s="115" t="s">
        <v>2508</v>
      </c>
      <c r="K70" s="39" t="s">
        <v>50</v>
      </c>
      <c r="L70" s="39" t="s">
        <v>2407</v>
      </c>
    </row>
    <row r="71" spans="2:12">
      <c r="B71" s="16" t="s">
        <v>47</v>
      </c>
      <c r="C71" s="46" t="s">
        <v>28</v>
      </c>
      <c r="D71" s="47">
        <v>44036</v>
      </c>
      <c r="F71" s="39"/>
      <c r="G71" s="39"/>
      <c r="I71" s="39" t="s">
        <v>2509</v>
      </c>
      <c r="J71" s="16" t="s">
        <v>2510</v>
      </c>
      <c r="K71" s="39" t="s">
        <v>50</v>
      </c>
      <c r="L71" s="39" t="s">
        <v>2407</v>
      </c>
    </row>
    <row r="72" spans="2:12">
      <c r="B72" s="16" t="s">
        <v>47</v>
      </c>
      <c r="C72" s="46" t="s">
        <v>28</v>
      </c>
      <c r="D72" s="47">
        <v>44036</v>
      </c>
      <c r="F72" s="39"/>
      <c r="G72" s="39"/>
      <c r="I72" s="39" t="s">
        <v>2511</v>
      </c>
      <c r="J72" s="16" t="s">
        <v>2512</v>
      </c>
      <c r="K72" s="39" t="s">
        <v>50</v>
      </c>
      <c r="L72" s="39" t="s">
        <v>2407</v>
      </c>
    </row>
    <row r="73" spans="2:12">
      <c r="B73" s="16" t="s">
        <v>47</v>
      </c>
      <c r="C73" s="46" t="s">
        <v>28</v>
      </c>
      <c r="D73" s="47">
        <v>44036</v>
      </c>
      <c r="F73" s="39"/>
      <c r="G73" s="39"/>
      <c r="I73" s="39" t="s">
        <v>2513</v>
      </c>
      <c r="J73" s="16" t="s">
        <v>2514</v>
      </c>
      <c r="K73" s="39" t="s">
        <v>50</v>
      </c>
      <c r="L73" s="39" t="s">
        <v>2407</v>
      </c>
    </row>
    <row r="74" spans="2:12">
      <c r="B74" s="16" t="s">
        <v>47</v>
      </c>
      <c r="C74" s="46" t="s">
        <v>28</v>
      </c>
      <c r="D74" s="47">
        <v>44036</v>
      </c>
      <c r="F74" s="39"/>
      <c r="G74" s="39"/>
      <c r="I74" s="39">
        <v>10078966</v>
      </c>
      <c r="J74" s="16" t="s">
        <v>2515</v>
      </c>
      <c r="K74" s="39" t="s">
        <v>50</v>
      </c>
      <c r="L74" s="39" t="s">
        <v>2516</v>
      </c>
    </row>
    <row r="75" spans="2:12">
      <c r="B75" s="16" t="s">
        <v>47</v>
      </c>
      <c r="C75" s="46" t="s">
        <v>28</v>
      </c>
      <c r="D75" s="47">
        <v>44036</v>
      </c>
      <c r="F75" s="39"/>
      <c r="G75" s="39"/>
      <c r="I75" s="39">
        <v>10079230</v>
      </c>
      <c r="J75" s="16" t="s">
        <v>2517</v>
      </c>
      <c r="K75" s="39" t="s">
        <v>50</v>
      </c>
      <c r="L75" s="39" t="s">
        <v>2407</v>
      </c>
    </row>
    <row r="76" spans="2:12">
      <c r="B76" s="16" t="s">
        <v>47</v>
      </c>
      <c r="C76" s="46" t="s">
        <v>28</v>
      </c>
      <c r="D76" s="47">
        <v>44050</v>
      </c>
      <c r="F76" s="39"/>
      <c r="G76" s="39"/>
      <c r="I76" s="39" t="s">
        <v>2518</v>
      </c>
      <c r="J76" s="16" t="s">
        <v>2519</v>
      </c>
      <c r="K76" s="39" t="s">
        <v>50</v>
      </c>
      <c r="L76" s="39" t="s">
        <v>2407</v>
      </c>
    </row>
    <row r="77" spans="2:12">
      <c r="B77" s="16" t="s">
        <v>47</v>
      </c>
      <c r="C77" s="46" t="s">
        <v>28</v>
      </c>
      <c r="D77" s="47">
        <v>44050</v>
      </c>
      <c r="F77" s="39"/>
      <c r="G77" s="39"/>
      <c r="I77" s="39" t="s">
        <v>2520</v>
      </c>
      <c r="J77" s="16" t="s">
        <v>2521</v>
      </c>
      <c r="K77" s="39" t="s">
        <v>50</v>
      </c>
      <c r="L77" s="39" t="s">
        <v>2407</v>
      </c>
    </row>
    <row r="78" spans="2:12">
      <c r="B78" s="16" t="s">
        <v>47</v>
      </c>
      <c r="C78" s="46" t="s">
        <v>28</v>
      </c>
      <c r="D78" s="47">
        <v>44050</v>
      </c>
      <c r="F78" s="39"/>
      <c r="G78" s="39"/>
      <c r="I78" s="106" t="s">
        <v>2522</v>
      </c>
      <c r="J78" s="16" t="s">
        <v>2523</v>
      </c>
      <c r="K78" s="39" t="s">
        <v>50</v>
      </c>
      <c r="L78" s="39" t="s">
        <v>2407</v>
      </c>
    </row>
    <row r="79" spans="2:12">
      <c r="B79" s="16" t="s">
        <v>47</v>
      </c>
      <c r="C79" s="46" t="s">
        <v>28</v>
      </c>
      <c r="D79" s="47">
        <v>44050</v>
      </c>
      <c r="F79" s="39"/>
      <c r="G79" s="39"/>
      <c r="I79" s="39" t="s">
        <v>2524</v>
      </c>
      <c r="J79" s="16" t="s">
        <v>2525</v>
      </c>
      <c r="K79" s="39" t="s">
        <v>50</v>
      </c>
      <c r="L79" s="39" t="s">
        <v>2407</v>
      </c>
    </row>
    <row r="80" spans="2:12">
      <c r="B80" s="16" t="s">
        <v>47</v>
      </c>
      <c r="C80" s="46" t="s">
        <v>28</v>
      </c>
      <c r="D80" s="47">
        <v>44050</v>
      </c>
      <c r="F80" s="39"/>
      <c r="G80" s="39"/>
      <c r="I80" s="39" t="s">
        <v>2526</v>
      </c>
      <c r="J80" s="16" t="s">
        <v>2527</v>
      </c>
      <c r="K80" s="39" t="s">
        <v>50</v>
      </c>
      <c r="L80" s="39" t="s">
        <v>2407</v>
      </c>
    </row>
    <row r="81" spans="2:12">
      <c r="B81" s="16" t="s">
        <v>47</v>
      </c>
      <c r="C81" s="46" t="s">
        <v>28</v>
      </c>
      <c r="D81" s="47">
        <v>44064</v>
      </c>
      <c r="F81" s="39"/>
      <c r="G81" s="39"/>
      <c r="I81" s="39" t="s">
        <v>2528</v>
      </c>
      <c r="J81" s="16" t="s">
        <v>2529</v>
      </c>
      <c r="K81" s="39" t="s">
        <v>50</v>
      </c>
      <c r="L81" s="39" t="s">
        <v>2407</v>
      </c>
    </row>
    <row r="82" spans="2:12">
      <c r="B82" s="16" t="s">
        <v>47</v>
      </c>
      <c r="C82" s="46" t="s">
        <v>28</v>
      </c>
      <c r="D82" s="47">
        <v>44064</v>
      </c>
      <c r="F82" s="39"/>
      <c r="G82" s="39"/>
      <c r="I82" s="39" t="s">
        <v>2530</v>
      </c>
      <c r="J82" s="16" t="s">
        <v>2531</v>
      </c>
      <c r="K82" s="39" t="s">
        <v>50</v>
      </c>
      <c r="L82" s="39" t="s">
        <v>2407</v>
      </c>
    </row>
    <row r="83" spans="2:12">
      <c r="B83" s="16" t="s">
        <v>47</v>
      </c>
      <c r="C83" s="46" t="s">
        <v>28</v>
      </c>
      <c r="D83" s="47">
        <v>44064</v>
      </c>
      <c r="F83" s="39"/>
      <c r="G83" s="39"/>
      <c r="I83" s="39" t="s">
        <v>2532</v>
      </c>
      <c r="J83" s="16" t="s">
        <v>2533</v>
      </c>
      <c r="K83" s="39" t="s">
        <v>50</v>
      </c>
      <c r="L83" s="39" t="s">
        <v>2407</v>
      </c>
    </row>
    <row r="84" spans="2:12">
      <c r="B84" s="16" t="s">
        <v>47</v>
      </c>
      <c r="C84" s="46" t="s">
        <v>28</v>
      </c>
      <c r="D84" s="47">
        <v>44064</v>
      </c>
      <c r="F84" s="39"/>
      <c r="G84" s="39"/>
      <c r="I84" s="39" t="s">
        <v>2534</v>
      </c>
      <c r="J84" s="16" t="s">
        <v>2535</v>
      </c>
      <c r="K84" s="39" t="s">
        <v>50</v>
      </c>
      <c r="L84" s="39" t="s">
        <v>2407</v>
      </c>
    </row>
    <row r="85" spans="2:12">
      <c r="B85" s="16" t="s">
        <v>47</v>
      </c>
      <c r="C85" s="46" t="s">
        <v>28</v>
      </c>
      <c r="D85" s="47">
        <v>44064</v>
      </c>
      <c r="F85" s="39"/>
      <c r="G85" s="39"/>
      <c r="I85" s="39" t="s">
        <v>2536</v>
      </c>
      <c r="J85" s="16" t="s">
        <v>2537</v>
      </c>
      <c r="K85" s="39" t="s">
        <v>50</v>
      </c>
      <c r="L85" s="39" t="s">
        <v>2407</v>
      </c>
    </row>
    <row r="86" spans="2:12">
      <c r="B86" s="16" t="s">
        <v>47</v>
      </c>
      <c r="C86" s="46" t="s">
        <v>28</v>
      </c>
      <c r="D86" s="47">
        <v>44064</v>
      </c>
      <c r="F86" s="39"/>
      <c r="G86" s="39"/>
      <c r="I86" s="39" t="s">
        <v>2538</v>
      </c>
      <c r="J86" s="16" t="s">
        <v>2539</v>
      </c>
      <c r="K86" s="39" t="s">
        <v>50</v>
      </c>
      <c r="L86" s="39" t="s">
        <v>2407</v>
      </c>
    </row>
    <row r="87" spans="2:12">
      <c r="B87" s="16" t="s">
        <v>47</v>
      </c>
      <c r="C87" s="46" t="s">
        <v>28</v>
      </c>
      <c r="D87" s="47">
        <v>44064</v>
      </c>
      <c r="F87" s="39"/>
      <c r="G87" s="39"/>
      <c r="I87" s="39" t="s">
        <v>2540</v>
      </c>
      <c r="J87" s="16" t="s">
        <v>2541</v>
      </c>
      <c r="K87" s="39" t="s">
        <v>50</v>
      </c>
      <c r="L87" s="39" t="s">
        <v>2407</v>
      </c>
    </row>
    <row r="88" spans="2:12">
      <c r="B88" s="16" t="s">
        <v>47</v>
      </c>
      <c r="C88" s="46" t="s">
        <v>28</v>
      </c>
      <c r="D88" s="47">
        <v>44064</v>
      </c>
      <c r="F88" s="39"/>
      <c r="G88" s="39"/>
      <c r="I88" s="39" t="s">
        <v>2542</v>
      </c>
      <c r="J88" s="16" t="s">
        <v>2543</v>
      </c>
      <c r="K88" s="39" t="s">
        <v>50</v>
      </c>
      <c r="L88" s="39" t="s">
        <v>2407</v>
      </c>
    </row>
    <row r="89" spans="2:12">
      <c r="B89" s="16" t="s">
        <v>47</v>
      </c>
      <c r="C89" s="46" t="s">
        <v>28</v>
      </c>
      <c r="D89" s="47">
        <v>44064</v>
      </c>
      <c r="F89" s="39"/>
      <c r="G89" s="39"/>
      <c r="I89" s="39" t="s">
        <v>2544</v>
      </c>
      <c r="J89" s="16" t="s">
        <v>2545</v>
      </c>
      <c r="K89" s="39" t="s">
        <v>50</v>
      </c>
      <c r="L89" s="39" t="s">
        <v>2407</v>
      </c>
    </row>
    <row r="90" spans="2:12">
      <c r="B90" s="16" t="s">
        <v>47</v>
      </c>
      <c r="C90" s="46" t="s">
        <v>28</v>
      </c>
      <c r="D90" s="47">
        <v>44064</v>
      </c>
      <c r="F90" s="39"/>
      <c r="G90" s="39"/>
      <c r="I90" s="39" t="s">
        <v>2546</v>
      </c>
      <c r="J90" s="16" t="s">
        <v>2547</v>
      </c>
      <c r="K90" s="39" t="s">
        <v>50</v>
      </c>
      <c r="L90" s="39" t="s">
        <v>2407</v>
      </c>
    </row>
    <row r="91" spans="2:12">
      <c r="B91" s="16" t="s">
        <v>47</v>
      </c>
      <c r="C91" s="46" t="s">
        <v>28</v>
      </c>
      <c r="D91" s="47">
        <v>44064</v>
      </c>
      <c r="F91" s="39"/>
      <c r="G91" s="39"/>
      <c r="I91" s="39" t="s">
        <v>2548</v>
      </c>
      <c r="J91" s="16" t="s">
        <v>2549</v>
      </c>
      <c r="K91" s="39" t="s">
        <v>50</v>
      </c>
      <c r="L91" s="39" t="s">
        <v>2407</v>
      </c>
    </row>
    <row r="92" spans="2:12">
      <c r="B92" s="16" t="s">
        <v>47</v>
      </c>
      <c r="C92" s="46" t="s">
        <v>28</v>
      </c>
      <c r="D92" s="47">
        <v>44071</v>
      </c>
      <c r="F92" s="39"/>
      <c r="G92" s="39"/>
      <c r="I92" s="39" t="s">
        <v>2550</v>
      </c>
      <c r="J92" s="16" t="s">
        <v>2551</v>
      </c>
      <c r="K92" s="39" t="s">
        <v>2552</v>
      </c>
      <c r="L92" s="39" t="s">
        <v>2407</v>
      </c>
    </row>
    <row r="93" spans="2:12">
      <c r="B93" s="16" t="s">
        <v>47</v>
      </c>
      <c r="C93" s="46" t="s">
        <v>28</v>
      </c>
      <c r="D93" s="47">
        <v>44085</v>
      </c>
      <c r="F93" s="39"/>
      <c r="G93" s="16"/>
      <c r="I93" s="39" t="s">
        <v>2553</v>
      </c>
      <c r="J93" s="16" t="s">
        <v>2554</v>
      </c>
      <c r="K93" s="39" t="s">
        <v>50</v>
      </c>
      <c r="L93" s="39" t="s">
        <v>2407</v>
      </c>
    </row>
    <row r="94" spans="2:12">
      <c r="B94" s="16" t="s">
        <v>47</v>
      </c>
      <c r="C94" s="46" t="s">
        <v>28</v>
      </c>
      <c r="D94" s="47">
        <v>44099</v>
      </c>
      <c r="F94" s="39"/>
      <c r="G94" s="16"/>
      <c r="I94" s="39" t="s">
        <v>2555</v>
      </c>
      <c r="J94" s="16" t="s">
        <v>2556</v>
      </c>
      <c r="K94" s="39" t="s">
        <v>50</v>
      </c>
      <c r="L94" s="39" t="s">
        <v>2407</v>
      </c>
    </row>
    <row r="95" spans="2:12">
      <c r="B95" s="16" t="s">
        <v>47</v>
      </c>
      <c r="C95" s="46" t="s">
        <v>28</v>
      </c>
      <c r="D95" s="47">
        <v>44099</v>
      </c>
      <c r="F95" s="39"/>
      <c r="G95" s="16"/>
      <c r="I95" s="39">
        <v>10079717</v>
      </c>
      <c r="J95" s="16" t="s">
        <v>2557</v>
      </c>
      <c r="K95" s="39" t="s">
        <v>50</v>
      </c>
      <c r="L95" s="39" t="s">
        <v>2407</v>
      </c>
    </row>
    <row r="96" spans="2:12">
      <c r="B96" s="16" t="s">
        <v>47</v>
      </c>
      <c r="C96" s="46" t="s">
        <v>28</v>
      </c>
      <c r="D96" s="47">
        <v>44099</v>
      </c>
      <c r="F96" s="39"/>
      <c r="G96" s="16"/>
      <c r="I96" s="39">
        <v>10079777</v>
      </c>
      <c r="J96" s="16" t="s">
        <v>2558</v>
      </c>
      <c r="K96" s="39" t="s">
        <v>50</v>
      </c>
      <c r="L96" s="39" t="s">
        <v>2407</v>
      </c>
    </row>
    <row r="97" spans="2:12">
      <c r="B97" s="16" t="s">
        <v>47</v>
      </c>
      <c r="C97" s="46" t="s">
        <v>28</v>
      </c>
      <c r="D97" s="47">
        <v>44099</v>
      </c>
      <c r="F97" s="39"/>
      <c r="G97" s="16"/>
      <c r="I97" s="39" t="s">
        <v>2559</v>
      </c>
      <c r="J97" s="16" t="s">
        <v>2560</v>
      </c>
      <c r="K97" s="39" t="s">
        <v>50</v>
      </c>
      <c r="L97" s="39" t="s">
        <v>2407</v>
      </c>
    </row>
    <row r="98" spans="2:12">
      <c r="B98" s="16" t="s">
        <v>47</v>
      </c>
      <c r="C98" s="46" t="s">
        <v>28</v>
      </c>
      <c r="D98" s="47">
        <v>44099</v>
      </c>
      <c r="F98" s="39"/>
      <c r="G98" s="16"/>
      <c r="I98" s="39" t="s">
        <v>2561</v>
      </c>
      <c r="J98" s="16" t="s">
        <v>2562</v>
      </c>
      <c r="K98" s="39" t="s">
        <v>50</v>
      </c>
      <c r="L98" s="39" t="s">
        <v>2407</v>
      </c>
    </row>
    <row r="99" spans="2:12">
      <c r="B99" s="16" t="s">
        <v>47</v>
      </c>
      <c r="C99" s="46" t="s">
        <v>28</v>
      </c>
      <c r="D99" s="47">
        <v>44106</v>
      </c>
      <c r="F99" s="111"/>
      <c r="G99" s="112"/>
      <c r="I99" s="39" t="s">
        <v>2563</v>
      </c>
      <c r="J99" s="16" t="s">
        <v>2564</v>
      </c>
      <c r="K99" s="39" t="s">
        <v>50</v>
      </c>
      <c r="L99" s="39" t="s">
        <v>2407</v>
      </c>
    </row>
    <row r="100" spans="2:12">
      <c r="B100" s="16" t="s">
        <v>47</v>
      </c>
      <c r="C100" s="46" t="s">
        <v>28</v>
      </c>
      <c r="D100" s="47">
        <v>44106</v>
      </c>
      <c r="F100" s="111"/>
      <c r="G100" s="112"/>
      <c r="I100" s="39" t="s">
        <v>2565</v>
      </c>
      <c r="J100" s="16" t="s">
        <v>2566</v>
      </c>
      <c r="K100" s="39" t="s">
        <v>50</v>
      </c>
      <c r="L100" s="39" t="s">
        <v>2407</v>
      </c>
    </row>
    <row r="101" spans="2:12">
      <c r="B101" s="16" t="s">
        <v>47</v>
      </c>
      <c r="C101" s="46" t="s">
        <v>28</v>
      </c>
      <c r="D101" s="47">
        <v>44106</v>
      </c>
      <c r="F101" s="111"/>
      <c r="G101" s="112"/>
      <c r="I101" s="39" t="s">
        <v>2567</v>
      </c>
      <c r="J101" s="16" t="s">
        <v>2568</v>
      </c>
      <c r="K101" s="39" t="s">
        <v>50</v>
      </c>
      <c r="L101" s="39" t="s">
        <v>2407</v>
      </c>
    </row>
    <row r="102" spans="2:12">
      <c r="B102" s="16" t="s">
        <v>47</v>
      </c>
      <c r="C102" s="46" t="s">
        <v>28</v>
      </c>
      <c r="D102" s="47">
        <v>44106</v>
      </c>
      <c r="F102" s="111"/>
      <c r="G102" s="112"/>
      <c r="I102" s="39" t="s">
        <v>2569</v>
      </c>
      <c r="J102" s="16" t="s">
        <v>2570</v>
      </c>
      <c r="K102" s="39" t="s">
        <v>50</v>
      </c>
      <c r="L102" s="39" t="s">
        <v>2407</v>
      </c>
    </row>
    <row r="103" spans="2:12">
      <c r="B103" s="16" t="s">
        <v>47</v>
      </c>
      <c r="C103" s="46" t="s">
        <v>28</v>
      </c>
      <c r="D103" s="47">
        <v>44106</v>
      </c>
      <c r="F103" s="111"/>
      <c r="G103" s="112"/>
      <c r="I103" s="39" t="s">
        <v>2571</v>
      </c>
      <c r="J103" s="16" t="s">
        <v>2572</v>
      </c>
      <c r="K103" s="39" t="s">
        <v>50</v>
      </c>
      <c r="L103" s="39" t="s">
        <v>2407</v>
      </c>
    </row>
    <row r="104" spans="2:12">
      <c r="B104" s="16" t="s">
        <v>47</v>
      </c>
      <c r="C104" s="46" t="s">
        <v>28</v>
      </c>
      <c r="D104" s="47">
        <v>44106</v>
      </c>
      <c r="F104" s="111"/>
      <c r="G104" s="112"/>
      <c r="I104" s="39" t="s">
        <v>2573</v>
      </c>
      <c r="J104" s="16" t="s">
        <v>2574</v>
      </c>
      <c r="K104" s="39" t="s">
        <v>50</v>
      </c>
      <c r="L104" s="39" t="s">
        <v>2407</v>
      </c>
    </row>
    <row r="105" spans="2:12">
      <c r="B105" s="16" t="s">
        <v>47</v>
      </c>
      <c r="C105" s="46" t="s">
        <v>28</v>
      </c>
      <c r="D105" s="47">
        <v>44106</v>
      </c>
      <c r="F105" s="111"/>
      <c r="G105" s="112"/>
      <c r="I105" s="39" t="s">
        <v>2575</v>
      </c>
      <c r="J105" s="16" t="s">
        <v>2576</v>
      </c>
      <c r="K105" s="39" t="s">
        <v>50</v>
      </c>
      <c r="L105" s="39" t="s">
        <v>2407</v>
      </c>
    </row>
    <row r="106" spans="2:12">
      <c r="B106" s="16" t="s">
        <v>47</v>
      </c>
      <c r="C106" s="46" t="s">
        <v>28</v>
      </c>
      <c r="D106" s="47">
        <v>44106</v>
      </c>
      <c r="F106" s="111"/>
      <c r="G106" s="112"/>
      <c r="I106" s="39" t="s">
        <v>2577</v>
      </c>
      <c r="J106" s="16" t="s">
        <v>2578</v>
      </c>
      <c r="K106" s="39" t="s">
        <v>50</v>
      </c>
      <c r="L106" s="39" t="s">
        <v>2407</v>
      </c>
    </row>
    <row r="107" spans="2:12">
      <c r="B107" s="16" t="s">
        <v>47</v>
      </c>
      <c r="C107" s="46" t="s">
        <v>28</v>
      </c>
      <c r="D107" s="47">
        <v>44141</v>
      </c>
      <c r="F107" s="111">
        <v>10078970</v>
      </c>
      <c r="G107" s="112" t="s">
        <v>2508</v>
      </c>
      <c r="I107" s="39" t="s">
        <v>2579</v>
      </c>
      <c r="J107" s="16" t="s">
        <v>2508</v>
      </c>
      <c r="K107" s="39" t="s">
        <v>50</v>
      </c>
      <c r="L107" s="39" t="s">
        <v>2407</v>
      </c>
    </row>
    <row r="108" spans="2:12">
      <c r="B108" s="16" t="s">
        <v>47</v>
      </c>
      <c r="C108" s="46" t="s">
        <v>28</v>
      </c>
      <c r="D108" s="47">
        <v>44141</v>
      </c>
      <c r="F108" s="113"/>
      <c r="G108" s="114"/>
      <c r="I108" s="39" t="s">
        <v>2580</v>
      </c>
      <c r="J108" s="16" t="s">
        <v>2581</v>
      </c>
      <c r="K108" s="39" t="s">
        <v>50</v>
      </c>
      <c r="L108" s="39" t="s">
        <v>2407</v>
      </c>
    </row>
    <row r="109" spans="2:12">
      <c r="B109" s="16" t="s">
        <v>47</v>
      </c>
      <c r="C109" s="46" t="s">
        <v>28</v>
      </c>
      <c r="D109" s="47">
        <v>44148</v>
      </c>
      <c r="F109" s="113"/>
      <c r="G109" s="114"/>
      <c r="I109" s="39" t="s">
        <v>2582</v>
      </c>
      <c r="J109" s="16" t="s">
        <v>2583</v>
      </c>
      <c r="K109" s="39" t="s">
        <v>50</v>
      </c>
      <c r="L109" s="39" t="s">
        <v>2407</v>
      </c>
    </row>
    <row r="110" spans="2:12">
      <c r="B110" s="16" t="s">
        <v>47</v>
      </c>
      <c r="C110" s="46" t="s">
        <v>28</v>
      </c>
      <c r="D110" s="47">
        <v>44148</v>
      </c>
      <c r="F110" s="113"/>
      <c r="G110" s="114"/>
      <c r="I110" s="39" t="s">
        <v>2584</v>
      </c>
      <c r="J110" s="16" t="s">
        <v>2585</v>
      </c>
      <c r="K110" s="39" t="s">
        <v>50</v>
      </c>
      <c r="L110" s="39" t="s">
        <v>2407</v>
      </c>
    </row>
    <row r="111" spans="2:12">
      <c r="B111" s="16" t="s">
        <v>47</v>
      </c>
      <c r="C111" s="46" t="s">
        <v>28</v>
      </c>
      <c r="D111" s="47">
        <v>44148</v>
      </c>
      <c r="F111" s="113"/>
      <c r="G111" s="114"/>
      <c r="I111" s="39" t="s">
        <v>2586</v>
      </c>
      <c r="J111" s="16" t="s">
        <v>2587</v>
      </c>
      <c r="K111" s="39" t="s">
        <v>50</v>
      </c>
      <c r="L111" s="39" t="s">
        <v>2407</v>
      </c>
    </row>
    <row r="112" spans="2:12">
      <c r="B112" s="16" t="s">
        <v>47</v>
      </c>
      <c r="C112" s="46" t="s">
        <v>28</v>
      </c>
      <c r="D112" s="47">
        <v>44148</v>
      </c>
      <c r="F112" s="113"/>
      <c r="G112" s="114"/>
      <c r="I112" s="39" t="s">
        <v>2588</v>
      </c>
      <c r="J112" s="16" t="s">
        <v>2589</v>
      </c>
      <c r="K112" s="39" t="s">
        <v>50</v>
      </c>
      <c r="L112" s="39" t="s">
        <v>2407</v>
      </c>
    </row>
    <row r="113" spans="2:12">
      <c r="B113" s="16" t="s">
        <v>47</v>
      </c>
      <c r="C113" s="80" t="s">
        <v>28</v>
      </c>
      <c r="D113" s="81">
        <v>44155</v>
      </c>
      <c r="E113" s="107"/>
      <c r="F113" s="116"/>
      <c r="G113" s="117"/>
      <c r="H113" s="107"/>
      <c r="I113" s="82" t="s">
        <v>2590</v>
      </c>
      <c r="J113" s="78" t="s">
        <v>2591</v>
      </c>
      <c r="K113" s="39" t="s">
        <v>50</v>
      </c>
      <c r="L113" s="39" t="s">
        <v>2407</v>
      </c>
    </row>
    <row r="114" spans="2:12">
      <c r="B114" s="16" t="s">
        <v>47</v>
      </c>
      <c r="C114" s="46" t="s">
        <v>28</v>
      </c>
      <c r="D114" s="47">
        <v>44155</v>
      </c>
      <c r="F114" s="113"/>
      <c r="G114" s="114"/>
      <c r="I114" s="39" t="s">
        <v>2592</v>
      </c>
      <c r="J114" s="16" t="s">
        <v>2593</v>
      </c>
      <c r="K114" s="39" t="s">
        <v>50</v>
      </c>
      <c r="L114" s="39" t="s">
        <v>2407</v>
      </c>
    </row>
    <row r="115" spans="2:12">
      <c r="B115" s="16" t="s">
        <v>47</v>
      </c>
      <c r="C115" s="46" t="s">
        <v>28</v>
      </c>
      <c r="D115" s="47">
        <v>44162</v>
      </c>
      <c r="F115" s="113"/>
      <c r="G115" s="114"/>
      <c r="I115" s="39" t="s">
        <v>2594</v>
      </c>
      <c r="J115" s="16" t="s">
        <v>2595</v>
      </c>
      <c r="K115" s="39" t="s">
        <v>50</v>
      </c>
      <c r="L115" s="39" t="s">
        <v>2407</v>
      </c>
    </row>
    <row r="116" spans="2:12">
      <c r="B116" s="16" t="s">
        <v>47</v>
      </c>
      <c r="C116" s="46" t="s">
        <v>28</v>
      </c>
      <c r="D116" s="47">
        <v>44183</v>
      </c>
      <c r="F116" s="113"/>
      <c r="G116" s="114"/>
      <c r="I116" s="39" t="s">
        <v>2596</v>
      </c>
      <c r="J116" s="16" t="s">
        <v>2597</v>
      </c>
      <c r="K116" s="39" t="s">
        <v>50</v>
      </c>
      <c r="L116" s="39" t="s">
        <v>2407</v>
      </c>
    </row>
    <row r="117" spans="2:12">
      <c r="B117" s="16" t="s">
        <v>47</v>
      </c>
      <c r="C117" s="46" t="s">
        <v>28</v>
      </c>
      <c r="D117" s="47">
        <v>44183</v>
      </c>
      <c r="F117" s="113"/>
      <c r="G117" s="114"/>
      <c r="I117" s="39" t="s">
        <v>2598</v>
      </c>
      <c r="J117" s="16" t="s">
        <v>2599</v>
      </c>
      <c r="K117" s="39" t="s">
        <v>50</v>
      </c>
      <c r="L117" s="39" t="s">
        <v>2407</v>
      </c>
    </row>
    <row r="118" spans="2:12">
      <c r="B118" s="16" t="s">
        <v>47</v>
      </c>
      <c r="C118" s="46" t="s">
        <v>28</v>
      </c>
      <c r="D118" s="47">
        <v>44183</v>
      </c>
      <c r="F118" s="113"/>
      <c r="G118" s="114"/>
      <c r="I118" s="39" t="s">
        <v>2600</v>
      </c>
      <c r="J118" s="16" t="s">
        <v>2601</v>
      </c>
      <c r="K118" s="39" t="s">
        <v>50</v>
      </c>
      <c r="L118" s="39" t="s">
        <v>2407</v>
      </c>
    </row>
    <row r="119" spans="2:12">
      <c r="B119" s="16" t="s">
        <v>47</v>
      </c>
      <c r="C119" s="46" t="s">
        <v>1014</v>
      </c>
      <c r="D119" s="47">
        <v>44211</v>
      </c>
      <c r="F119" s="113"/>
      <c r="G119" s="123" t="s">
        <v>2602</v>
      </c>
      <c r="I119" s="39"/>
      <c r="J119" s="114" t="s">
        <v>2603</v>
      </c>
      <c r="K119" s="39" t="s">
        <v>50</v>
      </c>
      <c r="L119" s="39" t="s">
        <v>2407</v>
      </c>
    </row>
    <row r="120" spans="2:12">
      <c r="B120" s="16" t="s">
        <v>47</v>
      </c>
      <c r="C120" s="46" t="s">
        <v>28</v>
      </c>
      <c r="D120" s="47">
        <v>44211</v>
      </c>
      <c r="F120" s="113"/>
      <c r="G120" s="114"/>
      <c r="I120" s="39">
        <v>10081142</v>
      </c>
      <c r="J120" s="16" t="s">
        <v>2604</v>
      </c>
      <c r="K120" s="39" t="s">
        <v>50</v>
      </c>
      <c r="L120" s="39" t="s">
        <v>2407</v>
      </c>
    </row>
    <row r="121" spans="2:12">
      <c r="B121" s="16" t="s">
        <v>47</v>
      </c>
      <c r="C121" s="46" t="s">
        <v>28</v>
      </c>
      <c r="D121" s="47">
        <v>44211</v>
      </c>
      <c r="F121" s="113"/>
      <c r="G121" s="114"/>
      <c r="I121" s="39">
        <v>10081144</v>
      </c>
      <c r="J121" s="16" t="s">
        <v>2605</v>
      </c>
      <c r="K121" s="39" t="s">
        <v>50</v>
      </c>
      <c r="L121" s="39" t="s">
        <v>2407</v>
      </c>
    </row>
    <row r="122" spans="2:12">
      <c r="B122" s="16" t="s">
        <v>47</v>
      </c>
      <c r="C122" s="46" t="s">
        <v>28</v>
      </c>
      <c r="D122" s="47">
        <v>44211</v>
      </c>
      <c r="F122" s="113"/>
      <c r="G122" s="114"/>
      <c r="I122" s="39">
        <v>10081143</v>
      </c>
      <c r="J122" s="16" t="s">
        <v>2606</v>
      </c>
      <c r="K122" s="39" t="s">
        <v>50</v>
      </c>
      <c r="L122" s="39" t="s">
        <v>2407</v>
      </c>
    </row>
    <row r="123" spans="2:12">
      <c r="B123" s="16" t="s">
        <v>47</v>
      </c>
      <c r="C123" s="46" t="s">
        <v>28</v>
      </c>
      <c r="D123" s="47">
        <v>44211</v>
      </c>
      <c r="F123" s="113"/>
      <c r="G123" s="114"/>
      <c r="I123" s="39">
        <v>10081145</v>
      </c>
      <c r="J123" s="16" t="s">
        <v>2607</v>
      </c>
      <c r="K123" s="39" t="s">
        <v>50</v>
      </c>
      <c r="L123" s="39" t="s">
        <v>2407</v>
      </c>
    </row>
    <row r="124" spans="2:12">
      <c r="B124" s="16" t="s">
        <v>47</v>
      </c>
      <c r="C124" s="46" t="s">
        <v>28</v>
      </c>
      <c r="D124" s="47">
        <v>44211</v>
      </c>
      <c r="F124" s="113"/>
      <c r="G124" s="114"/>
      <c r="I124" s="39">
        <v>10081206</v>
      </c>
      <c r="J124" s="16" t="s">
        <v>2608</v>
      </c>
      <c r="K124" s="39" t="s">
        <v>50</v>
      </c>
      <c r="L124" s="39" t="s">
        <v>2407</v>
      </c>
    </row>
    <row r="125" spans="2:12">
      <c r="B125" s="16" t="s">
        <v>47</v>
      </c>
      <c r="C125" s="46" t="s">
        <v>28</v>
      </c>
      <c r="D125" s="47">
        <v>44211</v>
      </c>
      <c r="F125" s="113"/>
      <c r="G125" s="114"/>
      <c r="I125" s="39">
        <v>10081207</v>
      </c>
      <c r="J125" s="16" t="s">
        <v>2609</v>
      </c>
      <c r="K125" s="39" t="s">
        <v>50</v>
      </c>
      <c r="L125" s="39" t="s">
        <v>2407</v>
      </c>
    </row>
    <row r="126" spans="2:12">
      <c r="B126" s="16" t="s">
        <v>47</v>
      </c>
      <c r="C126" s="46" t="s">
        <v>28</v>
      </c>
      <c r="D126" s="47">
        <v>44211</v>
      </c>
      <c r="F126" s="113"/>
      <c r="G126" s="114"/>
      <c r="I126" s="39">
        <v>10081208</v>
      </c>
      <c r="J126" s="16" t="s">
        <v>2610</v>
      </c>
      <c r="K126" s="39" t="s">
        <v>50</v>
      </c>
      <c r="L126" s="39" t="s">
        <v>2407</v>
      </c>
    </row>
    <row r="127" spans="2:12">
      <c r="B127" s="16" t="s">
        <v>47</v>
      </c>
      <c r="C127" s="46" t="s">
        <v>28</v>
      </c>
      <c r="D127" s="47">
        <v>44211</v>
      </c>
      <c r="F127" s="113"/>
      <c r="G127" s="114"/>
      <c r="I127" s="39">
        <v>10081209</v>
      </c>
      <c r="J127" s="16" t="s">
        <v>2611</v>
      </c>
      <c r="K127" s="39" t="s">
        <v>50</v>
      </c>
      <c r="L127" s="39" t="s">
        <v>2407</v>
      </c>
    </row>
    <row r="128" spans="2:12">
      <c r="B128" s="16" t="s">
        <v>47</v>
      </c>
      <c r="C128" s="46" t="s">
        <v>28</v>
      </c>
      <c r="D128" s="47">
        <v>44218</v>
      </c>
      <c r="F128" s="113"/>
      <c r="G128" s="114"/>
      <c r="I128" s="39" t="s">
        <v>2612</v>
      </c>
      <c r="J128" s="16" t="s">
        <v>2613</v>
      </c>
      <c r="K128" s="39" t="s">
        <v>50</v>
      </c>
      <c r="L128" s="39" t="s">
        <v>2407</v>
      </c>
    </row>
    <row r="129" spans="2:12">
      <c r="B129" s="16" t="s">
        <v>47</v>
      </c>
      <c r="C129" s="46" t="s">
        <v>28</v>
      </c>
      <c r="D129" s="47">
        <v>44218</v>
      </c>
      <c r="F129" s="113"/>
      <c r="G129" s="114"/>
      <c r="I129" s="39" t="s">
        <v>2614</v>
      </c>
      <c r="J129" s="16" t="s">
        <v>2615</v>
      </c>
      <c r="K129" s="39" t="s">
        <v>50</v>
      </c>
      <c r="L129" s="39" t="s">
        <v>2407</v>
      </c>
    </row>
    <row r="130" spans="2:12">
      <c r="B130" s="16" t="s">
        <v>47</v>
      </c>
      <c r="C130" s="46" t="s">
        <v>28</v>
      </c>
      <c r="D130" s="47">
        <v>44218</v>
      </c>
      <c r="F130" s="113"/>
      <c r="G130" s="114"/>
      <c r="I130" s="39" t="s">
        <v>2616</v>
      </c>
      <c r="J130" s="16" t="s">
        <v>2617</v>
      </c>
      <c r="K130" s="39" t="s">
        <v>50</v>
      </c>
      <c r="L130" s="39" t="s">
        <v>2407</v>
      </c>
    </row>
    <row r="131" spans="2:12">
      <c r="B131" s="16" t="s">
        <v>47</v>
      </c>
      <c r="C131" s="80" t="s">
        <v>28</v>
      </c>
      <c r="D131" s="81">
        <v>44218</v>
      </c>
      <c r="E131" s="107"/>
      <c r="F131" s="116"/>
      <c r="G131" s="130"/>
      <c r="H131" s="107"/>
      <c r="I131" s="82" t="s">
        <v>2618</v>
      </c>
      <c r="J131" s="78" t="s">
        <v>2619</v>
      </c>
      <c r="K131" s="39" t="s">
        <v>50</v>
      </c>
      <c r="L131" s="39" t="s">
        <v>2407</v>
      </c>
    </row>
    <row r="132" spans="2:12">
      <c r="B132" s="16" t="s">
        <v>47</v>
      </c>
      <c r="C132" s="80" t="s">
        <v>28</v>
      </c>
      <c r="D132" s="131">
        <v>44225</v>
      </c>
      <c r="E132" s="107"/>
      <c r="F132" s="82"/>
      <c r="G132" s="78"/>
      <c r="H132" s="107"/>
      <c r="I132" s="82" t="s">
        <v>2620</v>
      </c>
      <c r="J132" s="78" t="s">
        <v>2621</v>
      </c>
      <c r="K132" s="39" t="s">
        <v>50</v>
      </c>
      <c r="L132" s="39" t="s">
        <v>2407</v>
      </c>
    </row>
    <row r="133" spans="2:12">
      <c r="B133" s="16" t="s">
        <v>47</v>
      </c>
      <c r="C133" s="80" t="s">
        <v>28</v>
      </c>
      <c r="D133" s="81">
        <v>44232</v>
      </c>
      <c r="E133" s="107"/>
      <c r="F133" s="82"/>
      <c r="G133" s="78"/>
      <c r="H133" s="107"/>
      <c r="I133" s="82" t="s">
        <v>2622</v>
      </c>
      <c r="J133" s="78" t="s">
        <v>2623</v>
      </c>
      <c r="K133" s="39" t="s">
        <v>50</v>
      </c>
      <c r="L133" s="39" t="s">
        <v>2407</v>
      </c>
    </row>
    <row r="134" spans="2:12">
      <c r="B134" s="16" t="s">
        <v>47</v>
      </c>
      <c r="C134" s="80" t="s">
        <v>28</v>
      </c>
      <c r="D134" s="81">
        <v>44232</v>
      </c>
      <c r="E134" s="107"/>
      <c r="F134" s="82"/>
      <c r="G134" s="78"/>
      <c r="H134" s="107"/>
      <c r="I134" s="82" t="s">
        <v>2624</v>
      </c>
      <c r="J134" s="78" t="s">
        <v>2625</v>
      </c>
      <c r="K134" s="39" t="s">
        <v>50</v>
      </c>
      <c r="L134" s="39" t="s">
        <v>2407</v>
      </c>
    </row>
    <row r="135" spans="2:12">
      <c r="B135" s="16" t="s">
        <v>47</v>
      </c>
      <c r="C135" s="80" t="s">
        <v>28</v>
      </c>
      <c r="D135" s="81">
        <v>44232</v>
      </c>
      <c r="E135" s="107"/>
      <c r="F135" s="82"/>
      <c r="G135" s="78"/>
      <c r="H135" s="107"/>
      <c r="I135" s="82" t="s">
        <v>2626</v>
      </c>
      <c r="J135" s="78" t="s">
        <v>2627</v>
      </c>
      <c r="K135" s="39" t="s">
        <v>50</v>
      </c>
      <c r="L135" s="39" t="s">
        <v>2407</v>
      </c>
    </row>
    <row r="136" spans="2:12">
      <c r="B136" s="16" t="s">
        <v>47</v>
      </c>
      <c r="C136" s="80" t="s">
        <v>28</v>
      </c>
      <c r="D136" s="81">
        <v>44232</v>
      </c>
      <c r="E136" s="107"/>
      <c r="F136" s="82"/>
      <c r="G136" s="78"/>
      <c r="H136" s="107"/>
      <c r="I136" s="82" t="s">
        <v>2628</v>
      </c>
      <c r="J136" s="78" t="s">
        <v>2629</v>
      </c>
      <c r="K136" s="39" t="s">
        <v>50</v>
      </c>
      <c r="L136" s="39" t="s">
        <v>2407</v>
      </c>
    </row>
    <row r="137" spans="2:12">
      <c r="B137" s="16" t="s">
        <v>47</v>
      </c>
      <c r="C137" s="80" t="s">
        <v>28</v>
      </c>
      <c r="D137" s="81">
        <v>44232</v>
      </c>
      <c r="E137" s="107"/>
      <c r="F137" s="82"/>
      <c r="G137" s="78"/>
      <c r="H137" s="107"/>
      <c r="I137" s="82" t="s">
        <v>2630</v>
      </c>
      <c r="J137" s="78" t="s">
        <v>2631</v>
      </c>
      <c r="K137" s="39" t="s">
        <v>50</v>
      </c>
      <c r="L137" s="39" t="s">
        <v>2407</v>
      </c>
    </row>
    <row r="138" spans="2:12">
      <c r="B138" s="16" t="s">
        <v>47</v>
      </c>
      <c r="C138" s="80" t="s">
        <v>28</v>
      </c>
      <c r="D138" s="81">
        <v>44232</v>
      </c>
      <c r="E138" s="107"/>
      <c r="F138" s="82"/>
      <c r="G138" s="78"/>
      <c r="H138" s="107"/>
      <c r="I138" s="82">
        <v>10081644</v>
      </c>
      <c r="J138" s="78" t="s">
        <v>2632</v>
      </c>
      <c r="K138" s="39" t="s">
        <v>50</v>
      </c>
      <c r="L138" s="39" t="s">
        <v>2407</v>
      </c>
    </row>
    <row r="139" spans="2:12">
      <c r="B139" s="16" t="s">
        <v>47</v>
      </c>
      <c r="C139" s="80" t="s">
        <v>28</v>
      </c>
      <c r="D139" s="81">
        <v>44232</v>
      </c>
      <c r="E139" s="107"/>
      <c r="F139" s="82"/>
      <c r="G139" s="78"/>
      <c r="H139" s="107"/>
      <c r="I139" s="82" t="s">
        <v>2633</v>
      </c>
      <c r="J139" s="78" t="s">
        <v>2634</v>
      </c>
      <c r="K139" s="39" t="s">
        <v>50</v>
      </c>
      <c r="L139" s="39" t="s">
        <v>2407</v>
      </c>
    </row>
    <row r="140" spans="2:12">
      <c r="B140" s="16" t="s">
        <v>47</v>
      </c>
      <c r="C140" s="80" t="s">
        <v>28</v>
      </c>
      <c r="D140" s="81">
        <v>44232</v>
      </c>
      <c r="E140" s="107"/>
      <c r="F140" s="82"/>
      <c r="G140" s="78"/>
      <c r="H140" s="107"/>
      <c r="I140" s="82" t="s">
        <v>2635</v>
      </c>
      <c r="J140" s="78" t="s">
        <v>2636</v>
      </c>
      <c r="K140" s="39" t="s">
        <v>50</v>
      </c>
      <c r="L140" s="39" t="s">
        <v>2407</v>
      </c>
    </row>
    <row r="141" spans="2:12">
      <c r="B141" s="16" t="s">
        <v>47</v>
      </c>
      <c r="C141" s="80" t="s">
        <v>28</v>
      </c>
      <c r="D141" s="81">
        <v>44232</v>
      </c>
      <c r="E141" s="107"/>
      <c r="F141" s="82"/>
      <c r="G141" s="78"/>
      <c r="H141" s="107"/>
      <c r="I141" s="82" t="s">
        <v>2637</v>
      </c>
      <c r="J141" s="78" t="s">
        <v>2638</v>
      </c>
      <c r="K141" s="39" t="s">
        <v>50</v>
      </c>
      <c r="L141" s="39" t="s">
        <v>2407</v>
      </c>
    </row>
    <row r="142" spans="2:12">
      <c r="B142" s="16" t="s">
        <v>47</v>
      </c>
      <c r="C142" s="80" t="s">
        <v>28</v>
      </c>
      <c r="D142" s="81">
        <v>44232</v>
      </c>
      <c r="E142" s="107"/>
      <c r="F142" s="82"/>
      <c r="G142" s="78"/>
      <c r="H142" s="107"/>
      <c r="I142" s="82" t="s">
        <v>2639</v>
      </c>
      <c r="J142" s="78" t="s">
        <v>2640</v>
      </c>
      <c r="K142" s="39" t="s">
        <v>50</v>
      </c>
      <c r="L142" s="39" t="s">
        <v>2407</v>
      </c>
    </row>
    <row r="143" spans="2:12">
      <c r="B143" s="16" t="s">
        <v>47</v>
      </c>
      <c r="C143" s="80" t="s">
        <v>28</v>
      </c>
      <c r="D143" s="81">
        <v>44232</v>
      </c>
      <c r="E143" s="107"/>
      <c r="F143" s="82"/>
      <c r="G143" s="78"/>
      <c r="H143" s="107"/>
      <c r="I143" s="82" t="s">
        <v>2641</v>
      </c>
      <c r="J143" s="129" t="s">
        <v>2642</v>
      </c>
      <c r="K143" s="128" t="s">
        <v>50</v>
      </c>
      <c r="L143" s="39" t="s">
        <v>2407</v>
      </c>
    </row>
    <row r="144" spans="2:12">
      <c r="B144" s="16" t="s">
        <v>47</v>
      </c>
      <c r="C144" s="80" t="s">
        <v>28</v>
      </c>
      <c r="D144" s="81">
        <v>44239</v>
      </c>
      <c r="E144" s="107"/>
      <c r="F144" s="82"/>
      <c r="G144" s="78"/>
      <c r="H144" s="107"/>
      <c r="I144" s="82" t="s">
        <v>2643</v>
      </c>
      <c r="J144" s="78" t="s">
        <v>2644</v>
      </c>
      <c r="K144" s="128" t="s">
        <v>50</v>
      </c>
      <c r="L144" s="39" t="s">
        <v>2407</v>
      </c>
    </row>
    <row r="145" spans="2:12">
      <c r="B145" s="16" t="s">
        <v>47</v>
      </c>
      <c r="C145" s="80" t="s">
        <v>28</v>
      </c>
      <c r="D145" s="81">
        <v>44239</v>
      </c>
      <c r="E145" s="107"/>
      <c r="F145" s="82"/>
      <c r="G145" s="78"/>
      <c r="H145" s="107"/>
      <c r="I145" s="82" t="s">
        <v>2645</v>
      </c>
      <c r="J145" s="78" t="s">
        <v>2646</v>
      </c>
      <c r="K145" s="39" t="s">
        <v>50</v>
      </c>
      <c r="L145" s="39" t="s">
        <v>2407</v>
      </c>
    </row>
    <row r="146" spans="2:12">
      <c r="B146" s="16" t="s">
        <v>47</v>
      </c>
      <c r="C146" s="46" t="s">
        <v>28</v>
      </c>
      <c r="D146" s="47">
        <v>44246</v>
      </c>
      <c r="F146" s="39"/>
      <c r="G146" s="16"/>
      <c r="I146" s="39" t="s">
        <v>2647</v>
      </c>
      <c r="J146" s="16" t="s">
        <v>2648</v>
      </c>
      <c r="K146" s="39" t="s">
        <v>50</v>
      </c>
      <c r="L146" s="39" t="s">
        <v>2407</v>
      </c>
    </row>
    <row r="147" spans="2:12">
      <c r="B147" s="16" t="s">
        <v>47</v>
      </c>
      <c r="C147" s="46" t="s">
        <v>28</v>
      </c>
      <c r="D147" s="47">
        <v>44246</v>
      </c>
      <c r="F147" s="39"/>
      <c r="G147" s="16"/>
      <c r="I147" s="39" t="s">
        <v>2649</v>
      </c>
      <c r="J147" s="16" t="s">
        <v>2650</v>
      </c>
      <c r="K147" s="39" t="s">
        <v>50</v>
      </c>
      <c r="L147" s="39" t="s">
        <v>2407</v>
      </c>
    </row>
    <row r="148" spans="2:12">
      <c r="B148" s="16" t="s">
        <v>47</v>
      </c>
      <c r="C148" s="46" t="s">
        <v>28</v>
      </c>
      <c r="D148" s="47">
        <v>44246</v>
      </c>
      <c r="F148" s="39"/>
      <c r="G148" s="16"/>
      <c r="I148" s="39" t="s">
        <v>2651</v>
      </c>
      <c r="J148" s="16" t="s">
        <v>2652</v>
      </c>
      <c r="K148" s="39" t="s">
        <v>50</v>
      </c>
      <c r="L148" s="39" t="s">
        <v>2407</v>
      </c>
    </row>
    <row r="149" spans="2:12">
      <c r="B149" s="16" t="s">
        <v>47</v>
      </c>
      <c r="C149" s="46" t="s">
        <v>28</v>
      </c>
      <c r="D149" s="47">
        <v>44246</v>
      </c>
      <c r="F149" s="39"/>
      <c r="G149" s="16"/>
      <c r="I149" s="39" t="s">
        <v>2653</v>
      </c>
      <c r="J149" s="16" t="s">
        <v>2632</v>
      </c>
      <c r="K149" s="39" t="s">
        <v>50</v>
      </c>
      <c r="L149" s="39" t="s">
        <v>2407</v>
      </c>
    </row>
    <row r="150" spans="2:12">
      <c r="B150" s="16" t="s">
        <v>47</v>
      </c>
      <c r="C150" s="46" t="s">
        <v>28</v>
      </c>
      <c r="D150" s="47">
        <v>44246</v>
      </c>
      <c r="F150" s="39"/>
      <c r="G150" s="16"/>
      <c r="I150" s="39" t="s">
        <v>2654</v>
      </c>
      <c r="J150" s="16" t="s">
        <v>2655</v>
      </c>
      <c r="K150" s="39" t="s">
        <v>50</v>
      </c>
      <c r="L150" s="39" t="s">
        <v>2516</v>
      </c>
    </row>
    <row r="151" spans="2:12">
      <c r="B151" s="16" t="s">
        <v>47</v>
      </c>
      <c r="C151" s="46" t="s">
        <v>28</v>
      </c>
      <c r="D151" s="47">
        <v>44267</v>
      </c>
      <c r="F151" s="39"/>
      <c r="G151" s="16"/>
      <c r="I151" s="39">
        <v>10081935</v>
      </c>
      <c r="J151" s="16" t="s">
        <v>2656</v>
      </c>
      <c r="K151" s="39" t="s">
        <v>50</v>
      </c>
      <c r="L151" s="39" t="s">
        <v>2407</v>
      </c>
    </row>
    <row r="152" spans="2:12">
      <c r="B152" s="16" t="s">
        <v>47</v>
      </c>
      <c r="C152" s="46" t="s">
        <v>28</v>
      </c>
      <c r="D152" s="47">
        <v>44267</v>
      </c>
      <c r="F152" s="39"/>
      <c r="G152" s="16"/>
      <c r="I152" s="39">
        <v>10081936</v>
      </c>
      <c r="J152" s="16" t="s">
        <v>2657</v>
      </c>
      <c r="K152" s="39" t="s">
        <v>50</v>
      </c>
      <c r="L152" s="39" t="s">
        <v>2407</v>
      </c>
    </row>
    <row r="153" spans="2:12">
      <c r="B153" s="16" t="s">
        <v>47</v>
      </c>
      <c r="C153" s="46" t="s">
        <v>28</v>
      </c>
      <c r="D153" s="47">
        <v>44267</v>
      </c>
      <c r="F153" s="39"/>
      <c r="G153" s="16"/>
      <c r="I153" s="39">
        <v>10081937</v>
      </c>
      <c r="J153" s="16" t="s">
        <v>2658</v>
      </c>
      <c r="K153" s="39" t="s">
        <v>50</v>
      </c>
      <c r="L153" s="39" t="s">
        <v>2407</v>
      </c>
    </row>
    <row r="154" spans="2:12">
      <c r="B154" s="16" t="s">
        <v>47</v>
      </c>
      <c r="C154" s="46" t="s">
        <v>28</v>
      </c>
      <c r="D154" s="47">
        <v>44267</v>
      </c>
      <c r="F154" s="39"/>
      <c r="G154" s="16"/>
      <c r="I154" s="39">
        <v>10081938</v>
      </c>
      <c r="J154" s="16" t="s">
        <v>2659</v>
      </c>
      <c r="K154" s="39" t="s">
        <v>50</v>
      </c>
      <c r="L154" s="39" t="s">
        <v>2407</v>
      </c>
    </row>
    <row r="155" spans="2:12">
      <c r="B155" s="16" t="s">
        <v>47</v>
      </c>
      <c r="C155" s="46" t="s">
        <v>28</v>
      </c>
      <c r="D155" s="47">
        <v>44267</v>
      </c>
      <c r="F155" s="39"/>
      <c r="G155" s="16"/>
      <c r="I155" s="39">
        <v>10081939</v>
      </c>
      <c r="J155" s="16" t="s">
        <v>2660</v>
      </c>
      <c r="K155" s="39" t="s">
        <v>50</v>
      </c>
      <c r="L155" s="39" t="s">
        <v>2407</v>
      </c>
    </row>
    <row r="156" spans="2:12">
      <c r="B156" s="16" t="s">
        <v>47</v>
      </c>
      <c r="C156" s="46" t="s">
        <v>28</v>
      </c>
      <c r="D156" s="47">
        <v>44267</v>
      </c>
      <c r="F156" s="39"/>
      <c r="G156" s="16"/>
      <c r="I156" s="39">
        <v>10081961</v>
      </c>
      <c r="J156" s="16" t="s">
        <v>2661</v>
      </c>
      <c r="K156" s="39" t="s">
        <v>50</v>
      </c>
      <c r="L156" s="39" t="s">
        <v>2407</v>
      </c>
    </row>
    <row r="157" spans="2:12">
      <c r="B157" s="16" t="s">
        <v>47</v>
      </c>
      <c r="C157" s="46" t="s">
        <v>28</v>
      </c>
      <c r="D157" s="47">
        <v>44267</v>
      </c>
      <c r="F157" s="39"/>
      <c r="G157" s="16"/>
      <c r="I157" s="39">
        <v>10081933</v>
      </c>
      <c r="J157" s="16" t="s">
        <v>2662</v>
      </c>
      <c r="K157" s="39" t="s">
        <v>50</v>
      </c>
      <c r="L157" s="39" t="s">
        <v>2407</v>
      </c>
    </row>
    <row r="158" spans="2:12">
      <c r="B158" s="16" t="s">
        <v>47</v>
      </c>
      <c r="C158" s="46" t="s">
        <v>28</v>
      </c>
      <c r="D158" s="47">
        <v>44267</v>
      </c>
      <c r="F158" s="39"/>
      <c r="G158" s="16"/>
      <c r="I158" s="39">
        <v>10081934</v>
      </c>
      <c r="J158" s="16" t="s">
        <v>2663</v>
      </c>
      <c r="K158" s="39" t="s">
        <v>50</v>
      </c>
      <c r="L158" s="39" t="s">
        <v>2407</v>
      </c>
    </row>
    <row r="159" spans="2:12">
      <c r="B159" s="16" t="s">
        <v>47</v>
      </c>
      <c r="C159" s="46" t="s">
        <v>28</v>
      </c>
      <c r="D159" s="47">
        <v>44281</v>
      </c>
      <c r="F159" s="39"/>
      <c r="G159" s="16"/>
      <c r="I159" s="39" t="s">
        <v>2664</v>
      </c>
      <c r="J159" s="16" t="s">
        <v>2665</v>
      </c>
      <c r="K159" s="39" t="s">
        <v>50</v>
      </c>
      <c r="L159" s="39" t="s">
        <v>2407</v>
      </c>
    </row>
    <row r="160" spans="2:12">
      <c r="B160" s="16" t="s">
        <v>47</v>
      </c>
      <c r="C160" s="46" t="s">
        <v>28</v>
      </c>
      <c r="D160" s="47">
        <v>44281</v>
      </c>
      <c r="F160" s="39"/>
      <c r="G160" s="16"/>
      <c r="I160" s="39" t="s">
        <v>2666</v>
      </c>
      <c r="J160" s="16" t="s">
        <v>2667</v>
      </c>
      <c r="K160" s="39" t="s">
        <v>50</v>
      </c>
      <c r="L160" s="39" t="s">
        <v>2407</v>
      </c>
    </row>
    <row r="161" spans="2:12">
      <c r="B161" s="16" t="s">
        <v>47</v>
      </c>
      <c r="C161" s="46" t="s">
        <v>28</v>
      </c>
      <c r="D161" s="47">
        <v>44281</v>
      </c>
      <c r="F161" s="39"/>
      <c r="G161" s="16"/>
      <c r="I161" s="39" t="s">
        <v>2668</v>
      </c>
      <c r="J161" s="16" t="s">
        <v>2669</v>
      </c>
      <c r="K161" s="39" t="s">
        <v>50</v>
      </c>
      <c r="L161" s="39" t="s">
        <v>2407</v>
      </c>
    </row>
    <row r="162" spans="2:12">
      <c r="B162" s="16" t="s">
        <v>47</v>
      </c>
      <c r="C162" s="46" t="s">
        <v>28</v>
      </c>
      <c r="D162" s="47">
        <v>44281</v>
      </c>
      <c r="F162" s="39"/>
      <c r="G162" s="16"/>
      <c r="I162" s="39" t="s">
        <v>2670</v>
      </c>
      <c r="J162" s="16" t="s">
        <v>2671</v>
      </c>
      <c r="K162" s="39" t="s">
        <v>50</v>
      </c>
      <c r="L162" s="39" t="s">
        <v>2407</v>
      </c>
    </row>
    <row r="163" spans="2:12">
      <c r="B163" s="16" t="s">
        <v>47</v>
      </c>
      <c r="C163" s="46" t="s">
        <v>28</v>
      </c>
      <c r="D163" s="47">
        <v>44281</v>
      </c>
      <c r="F163" s="39"/>
      <c r="G163" s="16"/>
      <c r="I163" s="39" t="s">
        <v>2672</v>
      </c>
      <c r="J163" s="16" t="s">
        <v>2673</v>
      </c>
      <c r="K163" s="39" t="s">
        <v>50</v>
      </c>
      <c r="L163" s="39" t="s">
        <v>2407</v>
      </c>
    </row>
    <row r="164" spans="2:12">
      <c r="B164" s="16" t="s">
        <v>47</v>
      </c>
      <c r="C164" s="46" t="s">
        <v>28</v>
      </c>
      <c r="D164" s="47">
        <v>44281</v>
      </c>
      <c r="F164" s="39"/>
      <c r="G164" s="16"/>
      <c r="I164" s="39" t="s">
        <v>2674</v>
      </c>
      <c r="J164" s="16" t="s">
        <v>2675</v>
      </c>
      <c r="K164" s="39" t="s">
        <v>50</v>
      </c>
      <c r="L164" s="39" t="s">
        <v>2516</v>
      </c>
    </row>
    <row r="165" spans="2:12">
      <c r="B165" s="16" t="s">
        <v>47</v>
      </c>
      <c r="C165" s="46" t="s">
        <v>28</v>
      </c>
      <c r="D165" s="47">
        <v>44295</v>
      </c>
      <c r="F165" s="39"/>
      <c r="G165" s="16"/>
      <c r="I165" s="39" t="s">
        <v>2676</v>
      </c>
      <c r="J165" s="16" t="s">
        <v>2677</v>
      </c>
      <c r="K165" s="39" t="s">
        <v>50</v>
      </c>
      <c r="L165" s="39" t="s">
        <v>2407</v>
      </c>
    </row>
    <row r="166" spans="2:12">
      <c r="B166" s="16" t="s">
        <v>47</v>
      </c>
      <c r="C166" s="46" t="s">
        <v>28</v>
      </c>
      <c r="D166" s="47">
        <v>44295</v>
      </c>
      <c r="F166" s="39"/>
      <c r="G166" s="16"/>
      <c r="I166" s="39">
        <v>10082276</v>
      </c>
      <c r="J166" s="16" t="s">
        <v>2678</v>
      </c>
      <c r="K166" s="39" t="s">
        <v>50</v>
      </c>
      <c r="L166" s="39" t="s">
        <v>2407</v>
      </c>
    </row>
    <row r="167" spans="2:12">
      <c r="B167" s="16" t="s">
        <v>47</v>
      </c>
      <c r="C167" s="46" t="s">
        <v>28</v>
      </c>
      <c r="D167" s="47">
        <v>44295</v>
      </c>
      <c r="F167" s="39"/>
      <c r="G167" s="16"/>
      <c r="I167" s="39">
        <v>10082360</v>
      </c>
      <c r="J167" s="16" t="s">
        <v>2679</v>
      </c>
      <c r="K167" s="39" t="s">
        <v>50</v>
      </c>
      <c r="L167" s="39" t="s">
        <v>2407</v>
      </c>
    </row>
    <row r="168" spans="2:12">
      <c r="B168" s="16" t="s">
        <v>47</v>
      </c>
      <c r="C168" s="46" t="s">
        <v>28</v>
      </c>
      <c r="D168" s="47">
        <v>44295</v>
      </c>
      <c r="F168" s="39"/>
      <c r="G168" s="16"/>
      <c r="I168" s="39" t="s">
        <v>2680</v>
      </c>
      <c r="J168" s="16" t="s">
        <v>2681</v>
      </c>
      <c r="K168" s="39" t="s">
        <v>50</v>
      </c>
      <c r="L168" s="39" t="s">
        <v>2407</v>
      </c>
    </row>
    <row r="169" spans="2:12">
      <c r="B169" s="16" t="s">
        <v>47</v>
      </c>
      <c r="C169" s="46" t="s">
        <v>28</v>
      </c>
      <c r="D169" s="47">
        <v>44295</v>
      </c>
      <c r="F169" s="39"/>
      <c r="G169" s="16"/>
      <c r="I169" s="39" t="s">
        <v>2682</v>
      </c>
      <c r="J169" s="16" t="s">
        <v>2683</v>
      </c>
      <c r="K169" s="39" t="s">
        <v>50</v>
      </c>
      <c r="L169" s="39" t="s">
        <v>2407</v>
      </c>
    </row>
    <row r="170" spans="2:12">
      <c r="B170" s="16" t="s">
        <v>47</v>
      </c>
      <c r="C170" s="46" t="s">
        <v>28</v>
      </c>
      <c r="D170" s="47">
        <v>44295</v>
      </c>
      <c r="F170" s="39"/>
      <c r="G170" s="16"/>
      <c r="I170" s="39" t="s">
        <v>2684</v>
      </c>
      <c r="J170" s="16" t="s">
        <v>2685</v>
      </c>
      <c r="K170" s="39" t="s">
        <v>50</v>
      </c>
      <c r="L170" s="39" t="s">
        <v>2407</v>
      </c>
    </row>
    <row r="171" spans="2:12">
      <c r="B171" s="16" t="s">
        <v>47</v>
      </c>
      <c r="C171" s="46" t="s">
        <v>28</v>
      </c>
      <c r="D171" s="47">
        <v>44295</v>
      </c>
      <c r="F171" s="39"/>
      <c r="G171" s="16"/>
      <c r="I171" s="39" t="s">
        <v>2686</v>
      </c>
      <c r="J171" s="16" t="s">
        <v>2687</v>
      </c>
      <c r="K171" s="39" t="s">
        <v>50</v>
      </c>
      <c r="L171" s="39" t="s">
        <v>2407</v>
      </c>
    </row>
    <row r="172" spans="2:12">
      <c r="B172" s="16" t="s">
        <v>47</v>
      </c>
      <c r="C172" s="46" t="s">
        <v>28</v>
      </c>
      <c r="D172" s="47">
        <v>44295</v>
      </c>
      <c r="F172" s="39"/>
      <c r="G172" s="16"/>
      <c r="I172" s="39" t="s">
        <v>2688</v>
      </c>
      <c r="J172" s="16" t="s">
        <v>2689</v>
      </c>
      <c r="K172" s="39" t="s">
        <v>50</v>
      </c>
      <c r="L172" s="39" t="s">
        <v>2407</v>
      </c>
    </row>
    <row r="173" spans="2:12">
      <c r="B173" s="16" t="s">
        <v>47</v>
      </c>
      <c r="C173" s="46" t="s">
        <v>28</v>
      </c>
      <c r="D173" s="47">
        <v>44302</v>
      </c>
      <c r="F173" s="39"/>
      <c r="G173" s="16"/>
      <c r="I173" s="39" t="s">
        <v>2690</v>
      </c>
      <c r="J173" s="16" t="s">
        <v>2691</v>
      </c>
      <c r="K173" s="39" t="s">
        <v>50</v>
      </c>
      <c r="L173" s="39" t="s">
        <v>2407</v>
      </c>
    </row>
    <row r="174" spans="2:12">
      <c r="B174" s="16" t="s">
        <v>47</v>
      </c>
      <c r="C174" s="46" t="s">
        <v>28</v>
      </c>
      <c r="D174" s="47">
        <v>44302</v>
      </c>
      <c r="F174" s="39"/>
      <c r="G174" s="16"/>
      <c r="I174" s="39" t="s">
        <v>2692</v>
      </c>
      <c r="J174" s="16" t="s">
        <v>2693</v>
      </c>
      <c r="K174" s="39" t="s">
        <v>50</v>
      </c>
      <c r="L174" s="39" t="s">
        <v>2407</v>
      </c>
    </row>
    <row r="175" spans="2:12">
      <c r="B175" s="16" t="s">
        <v>47</v>
      </c>
      <c r="C175" s="46" t="s">
        <v>28</v>
      </c>
      <c r="D175" s="47">
        <v>44323</v>
      </c>
      <c r="F175" s="39"/>
      <c r="G175" s="16"/>
      <c r="I175" s="39" t="s">
        <v>2694</v>
      </c>
      <c r="J175" s="16" t="s">
        <v>2695</v>
      </c>
      <c r="K175" s="39" t="s">
        <v>50</v>
      </c>
      <c r="L175" s="39" t="s">
        <v>2407</v>
      </c>
    </row>
    <row r="176" spans="2:12">
      <c r="B176" s="16" t="s">
        <v>47</v>
      </c>
      <c r="C176" s="46" t="s">
        <v>28</v>
      </c>
      <c r="D176" s="47">
        <v>44323</v>
      </c>
      <c r="F176" s="39"/>
      <c r="G176" s="16"/>
      <c r="I176" s="39" t="s">
        <v>2696</v>
      </c>
      <c r="J176" s="16" t="s">
        <v>2697</v>
      </c>
      <c r="K176" s="39" t="s">
        <v>50</v>
      </c>
      <c r="L176" s="39" t="s">
        <v>2407</v>
      </c>
    </row>
    <row r="177" spans="2:12">
      <c r="B177" s="16" t="s">
        <v>47</v>
      </c>
      <c r="C177" s="46" t="s">
        <v>28</v>
      </c>
      <c r="D177" s="47">
        <v>44323</v>
      </c>
      <c r="F177" s="39"/>
      <c r="G177" s="16"/>
      <c r="I177" s="39">
        <v>10082836</v>
      </c>
      <c r="J177" s="16" t="s">
        <v>2698</v>
      </c>
      <c r="K177" s="39" t="s">
        <v>50</v>
      </c>
      <c r="L177" s="39" t="s">
        <v>2407</v>
      </c>
    </row>
    <row r="178" spans="2:12">
      <c r="B178" s="16" t="s">
        <v>47</v>
      </c>
      <c r="C178" s="46" t="s">
        <v>28</v>
      </c>
      <c r="D178" s="47">
        <v>44323</v>
      </c>
      <c r="F178" s="39"/>
      <c r="G178" s="16"/>
      <c r="I178" s="39">
        <v>10082837</v>
      </c>
      <c r="J178" s="16" t="s">
        <v>2699</v>
      </c>
      <c r="K178" s="39" t="s">
        <v>50</v>
      </c>
      <c r="L178" s="39" t="s">
        <v>2407</v>
      </c>
    </row>
    <row r="179" spans="2:12">
      <c r="B179" s="16" t="s">
        <v>47</v>
      </c>
      <c r="C179" s="46" t="s">
        <v>28</v>
      </c>
      <c r="D179" s="47">
        <v>44323</v>
      </c>
      <c r="F179" s="39"/>
      <c r="G179" s="16"/>
      <c r="I179" s="39">
        <v>10082838</v>
      </c>
      <c r="J179" s="16" t="s">
        <v>2700</v>
      </c>
      <c r="K179" s="39" t="s">
        <v>50</v>
      </c>
      <c r="L179" s="39" t="s">
        <v>2407</v>
      </c>
    </row>
    <row r="180" spans="2:12">
      <c r="B180" s="16" t="s">
        <v>47</v>
      </c>
      <c r="C180" s="80" t="s">
        <v>28</v>
      </c>
      <c r="D180" s="81">
        <v>44337</v>
      </c>
      <c r="E180" s="107"/>
      <c r="F180" s="82"/>
      <c r="G180" s="78"/>
      <c r="H180" s="107"/>
      <c r="I180" s="82" t="s">
        <v>2701</v>
      </c>
      <c r="J180" s="78" t="s">
        <v>2702</v>
      </c>
      <c r="K180" s="39" t="s">
        <v>50</v>
      </c>
      <c r="L180" s="39" t="s">
        <v>2407</v>
      </c>
    </row>
    <row r="181" spans="2:12">
      <c r="B181" s="16" t="s">
        <v>47</v>
      </c>
      <c r="C181" s="80" t="s">
        <v>28</v>
      </c>
      <c r="D181" s="81">
        <v>44337</v>
      </c>
      <c r="E181" s="107"/>
      <c r="F181" s="82"/>
      <c r="G181" s="78"/>
      <c r="H181" s="107"/>
      <c r="I181" s="82" t="s">
        <v>2703</v>
      </c>
      <c r="J181" s="78" t="s">
        <v>2704</v>
      </c>
      <c r="K181" s="39" t="s">
        <v>50</v>
      </c>
      <c r="L181" s="39" t="s">
        <v>2407</v>
      </c>
    </row>
    <row r="182" spans="2:12">
      <c r="B182" s="16" t="s">
        <v>47</v>
      </c>
      <c r="C182" s="80" t="s">
        <v>28</v>
      </c>
      <c r="D182" s="81">
        <v>44337</v>
      </c>
      <c r="E182" s="107"/>
      <c r="F182" s="82"/>
      <c r="G182" s="78"/>
      <c r="H182" s="107"/>
      <c r="I182" s="82" t="s">
        <v>2705</v>
      </c>
      <c r="J182" s="78" t="s">
        <v>2706</v>
      </c>
      <c r="K182" s="39" t="s">
        <v>50</v>
      </c>
      <c r="L182" s="39" t="s">
        <v>2407</v>
      </c>
    </row>
    <row r="183" spans="2:12">
      <c r="B183" s="16" t="s">
        <v>47</v>
      </c>
      <c r="C183" s="80" t="s">
        <v>28</v>
      </c>
      <c r="D183" s="81">
        <v>44337</v>
      </c>
      <c r="E183" s="107"/>
      <c r="F183" s="82"/>
      <c r="G183" s="78"/>
      <c r="H183" s="107"/>
      <c r="I183" s="82" t="s">
        <v>2707</v>
      </c>
      <c r="J183" s="78" t="s">
        <v>2708</v>
      </c>
      <c r="K183" s="39" t="s">
        <v>50</v>
      </c>
      <c r="L183" s="39" t="s">
        <v>2407</v>
      </c>
    </row>
    <row r="184" spans="2:12">
      <c r="B184" s="16" t="s">
        <v>47</v>
      </c>
      <c r="C184" s="46" t="s">
        <v>28</v>
      </c>
      <c r="D184" s="47">
        <v>44337</v>
      </c>
      <c r="F184" s="39"/>
      <c r="G184" s="16"/>
      <c r="I184" s="39" t="s">
        <v>2709</v>
      </c>
      <c r="J184" s="78" t="s">
        <v>2710</v>
      </c>
      <c r="K184" s="39" t="s">
        <v>50</v>
      </c>
      <c r="L184" s="39" t="s">
        <v>2407</v>
      </c>
    </row>
    <row r="185" spans="2:12">
      <c r="B185" s="16" t="s">
        <v>47</v>
      </c>
      <c r="C185" s="46" t="s">
        <v>28</v>
      </c>
      <c r="D185" s="47">
        <v>44337</v>
      </c>
      <c r="F185" s="39"/>
      <c r="G185" s="16"/>
      <c r="I185" s="39" t="s">
        <v>2711</v>
      </c>
      <c r="J185" s="78" t="s">
        <v>2712</v>
      </c>
      <c r="K185" s="39" t="s">
        <v>50</v>
      </c>
      <c r="L185" s="39" t="s">
        <v>2407</v>
      </c>
    </row>
    <row r="186" spans="2:12">
      <c r="B186" s="16" t="s">
        <v>47</v>
      </c>
      <c r="C186" s="46" t="s">
        <v>28</v>
      </c>
      <c r="D186" s="47">
        <v>44337</v>
      </c>
      <c r="F186" s="39"/>
      <c r="G186" s="16"/>
      <c r="I186" s="39" t="s">
        <v>2713</v>
      </c>
      <c r="J186" s="78" t="s">
        <v>2714</v>
      </c>
      <c r="K186" s="39" t="s">
        <v>50</v>
      </c>
      <c r="L186" s="39" t="s">
        <v>2407</v>
      </c>
    </row>
    <row r="187" spans="2:12">
      <c r="B187" s="16" t="s">
        <v>47</v>
      </c>
      <c r="C187" s="46" t="s">
        <v>28</v>
      </c>
      <c r="D187" s="47">
        <v>44372</v>
      </c>
      <c r="F187" s="39"/>
      <c r="G187" s="16"/>
      <c r="I187" s="39" t="s">
        <v>2715</v>
      </c>
      <c r="J187" s="16" t="s">
        <v>2716</v>
      </c>
      <c r="K187" s="39" t="s">
        <v>50</v>
      </c>
      <c r="L187" s="39" t="s">
        <v>2407</v>
      </c>
    </row>
    <row r="188" spans="2:12">
      <c r="B188" s="16" t="s">
        <v>47</v>
      </c>
      <c r="C188" s="46" t="s">
        <v>28</v>
      </c>
      <c r="D188" s="47">
        <v>44372</v>
      </c>
      <c r="F188" s="39"/>
      <c r="G188" s="16"/>
      <c r="I188" s="39" t="s">
        <v>2717</v>
      </c>
      <c r="J188" s="16" t="s">
        <v>2718</v>
      </c>
      <c r="K188" s="39" t="s">
        <v>50</v>
      </c>
      <c r="L188" s="39" t="s">
        <v>2407</v>
      </c>
    </row>
    <row r="189" spans="2:12">
      <c r="B189" s="16" t="s">
        <v>47</v>
      </c>
      <c r="C189" s="46" t="s">
        <v>28</v>
      </c>
      <c r="D189" s="47">
        <v>44372</v>
      </c>
      <c r="F189" s="39"/>
      <c r="G189" s="16"/>
      <c r="I189" s="39" t="s">
        <v>2719</v>
      </c>
      <c r="J189" s="16" t="s">
        <v>2720</v>
      </c>
      <c r="K189" s="39" t="s">
        <v>50</v>
      </c>
      <c r="L189" s="39" t="s">
        <v>2407</v>
      </c>
    </row>
    <row r="190" spans="2:12">
      <c r="B190" s="16" t="s">
        <v>47</v>
      </c>
      <c r="C190" s="46" t="s">
        <v>28</v>
      </c>
      <c r="D190" s="47">
        <v>44379</v>
      </c>
      <c r="F190" s="39"/>
      <c r="G190" s="16"/>
      <c r="I190" s="39" t="s">
        <v>2721</v>
      </c>
      <c r="J190" s="16" t="s">
        <v>2722</v>
      </c>
      <c r="K190" s="39" t="s">
        <v>50</v>
      </c>
      <c r="L190" s="39" t="s">
        <v>2516</v>
      </c>
    </row>
    <row r="191" spans="2:12">
      <c r="B191" s="16" t="s">
        <v>47</v>
      </c>
      <c r="C191" s="46" t="s">
        <v>28</v>
      </c>
      <c r="D191" s="47">
        <v>44379</v>
      </c>
      <c r="F191" s="39"/>
      <c r="G191" s="16"/>
      <c r="I191" s="39" t="s">
        <v>2723</v>
      </c>
      <c r="J191" s="16" t="s">
        <v>2724</v>
      </c>
      <c r="K191" s="39" t="s">
        <v>50</v>
      </c>
      <c r="L191" s="39" t="s">
        <v>2516</v>
      </c>
    </row>
    <row r="192" spans="2:12">
      <c r="B192" s="16" t="s">
        <v>47</v>
      </c>
      <c r="C192" s="46" t="s">
        <v>28</v>
      </c>
      <c r="D192" s="47">
        <v>44393</v>
      </c>
      <c r="F192" s="39"/>
      <c r="G192" s="16"/>
      <c r="I192" s="39" t="s">
        <v>2725</v>
      </c>
      <c r="J192" s="16" t="s">
        <v>2726</v>
      </c>
      <c r="K192" s="39" t="s">
        <v>50</v>
      </c>
      <c r="L192" s="39" t="s">
        <v>2407</v>
      </c>
    </row>
    <row r="193" spans="2:12">
      <c r="B193" s="16" t="s">
        <v>47</v>
      </c>
      <c r="C193" s="46" t="s">
        <v>28</v>
      </c>
      <c r="D193" s="47">
        <v>44393</v>
      </c>
      <c r="F193" s="39"/>
      <c r="G193" s="16"/>
      <c r="I193" s="39" t="s">
        <v>2727</v>
      </c>
      <c r="J193" s="16" t="s">
        <v>2728</v>
      </c>
      <c r="K193" s="39" t="s">
        <v>50</v>
      </c>
      <c r="L193" s="39" t="s">
        <v>2407</v>
      </c>
    </row>
    <row r="194" spans="2:12">
      <c r="B194" s="16" t="s">
        <v>47</v>
      </c>
      <c r="C194" s="46" t="s">
        <v>28</v>
      </c>
      <c r="D194" s="47">
        <v>44393</v>
      </c>
      <c r="F194" s="39"/>
      <c r="G194" s="16"/>
      <c r="I194" s="39" t="s">
        <v>2729</v>
      </c>
      <c r="J194" s="16" t="s">
        <v>2730</v>
      </c>
      <c r="K194" s="39" t="s">
        <v>50</v>
      </c>
      <c r="L194" s="39" t="s">
        <v>2407</v>
      </c>
    </row>
    <row r="195" spans="2:12">
      <c r="B195" s="16" t="s">
        <v>47</v>
      </c>
      <c r="C195" s="46" t="s">
        <v>28</v>
      </c>
      <c r="D195" s="47">
        <v>44393</v>
      </c>
      <c r="F195" s="39"/>
      <c r="G195" s="16"/>
      <c r="I195" s="39" t="s">
        <v>2731</v>
      </c>
      <c r="J195" s="16" t="s">
        <v>2732</v>
      </c>
      <c r="K195" s="39" t="s">
        <v>50</v>
      </c>
      <c r="L195" s="39" t="s">
        <v>2407</v>
      </c>
    </row>
    <row r="196" spans="2:12">
      <c r="B196" s="16" t="s">
        <v>47</v>
      </c>
      <c r="C196" s="46" t="s">
        <v>28</v>
      </c>
      <c r="D196" s="47">
        <v>44393</v>
      </c>
      <c r="F196" s="39"/>
      <c r="G196" s="16"/>
      <c r="I196" s="39" t="s">
        <v>2733</v>
      </c>
      <c r="J196" s="16" t="s">
        <v>2734</v>
      </c>
      <c r="K196" s="39" t="s">
        <v>50</v>
      </c>
      <c r="L196" s="39" t="s">
        <v>2407</v>
      </c>
    </row>
    <row r="197" spans="2:12">
      <c r="B197" s="16" t="s">
        <v>47</v>
      </c>
      <c r="C197" s="46" t="s">
        <v>28</v>
      </c>
      <c r="D197" s="47">
        <v>44393</v>
      </c>
      <c r="F197" s="39"/>
      <c r="G197" s="16"/>
      <c r="I197" s="39" t="s">
        <v>2735</v>
      </c>
      <c r="J197" s="16" t="s">
        <v>2736</v>
      </c>
      <c r="K197" s="39" t="s">
        <v>50</v>
      </c>
      <c r="L197" s="39" t="s">
        <v>2407</v>
      </c>
    </row>
    <row r="198" spans="2:12">
      <c r="B198" s="16" t="s">
        <v>47</v>
      </c>
      <c r="C198" s="46" t="s">
        <v>28</v>
      </c>
      <c r="D198" s="47">
        <v>44393</v>
      </c>
      <c r="F198" s="39"/>
      <c r="G198" s="16"/>
      <c r="I198" s="39" t="s">
        <v>2737</v>
      </c>
      <c r="J198" s="16" t="s">
        <v>2738</v>
      </c>
      <c r="K198" s="39" t="s">
        <v>50</v>
      </c>
      <c r="L198" s="39" t="s">
        <v>2407</v>
      </c>
    </row>
    <row r="199" spans="2:12">
      <c r="B199" s="16" t="s">
        <v>47</v>
      </c>
      <c r="C199" s="46" t="s">
        <v>28</v>
      </c>
      <c r="D199" s="47">
        <v>44393</v>
      </c>
      <c r="F199" s="39"/>
      <c r="G199" s="16"/>
      <c r="I199" s="39" t="s">
        <v>2739</v>
      </c>
      <c r="J199" s="16" t="s">
        <v>2740</v>
      </c>
      <c r="K199" s="39" t="s">
        <v>50</v>
      </c>
      <c r="L199" s="39" t="s">
        <v>2407</v>
      </c>
    </row>
    <row r="200" spans="2:12">
      <c r="B200" s="16" t="s">
        <v>47</v>
      </c>
      <c r="C200" s="46" t="s">
        <v>28</v>
      </c>
      <c r="D200" s="47">
        <v>44393</v>
      </c>
      <c r="F200" s="39"/>
      <c r="G200" s="16"/>
      <c r="I200" s="39" t="s">
        <v>2741</v>
      </c>
      <c r="J200" s="16" t="s">
        <v>2742</v>
      </c>
      <c r="K200" s="39" t="s">
        <v>50</v>
      </c>
      <c r="L200" s="39" t="s">
        <v>2407</v>
      </c>
    </row>
    <row r="201" spans="2:12">
      <c r="B201" s="16" t="s">
        <v>47</v>
      </c>
      <c r="C201" s="46" t="s">
        <v>28</v>
      </c>
      <c r="D201" s="47">
        <v>44393</v>
      </c>
      <c r="F201" s="39"/>
      <c r="G201" s="16"/>
      <c r="I201" s="39" t="s">
        <v>2743</v>
      </c>
      <c r="J201" s="16" t="s">
        <v>2744</v>
      </c>
      <c r="K201" s="39" t="s">
        <v>50</v>
      </c>
      <c r="L201" s="39" t="s">
        <v>2407</v>
      </c>
    </row>
    <row r="202" spans="2:12">
      <c r="B202" s="16" t="s">
        <v>47</v>
      </c>
      <c r="C202" s="46" t="s">
        <v>28</v>
      </c>
      <c r="D202" s="47">
        <v>44393</v>
      </c>
      <c r="F202" s="39"/>
      <c r="G202" s="16"/>
      <c r="I202" s="39" t="s">
        <v>2745</v>
      </c>
      <c r="J202" s="16" t="s">
        <v>2746</v>
      </c>
      <c r="K202" s="39" t="s">
        <v>50</v>
      </c>
      <c r="L202" s="39" t="s">
        <v>2407</v>
      </c>
    </row>
    <row r="203" spans="2:12">
      <c r="B203" s="16" t="s">
        <v>47</v>
      </c>
      <c r="C203" s="46" t="s">
        <v>28</v>
      </c>
      <c r="D203" s="47">
        <v>44393</v>
      </c>
      <c r="F203" s="39"/>
      <c r="G203" s="16"/>
      <c r="I203" s="39" t="s">
        <v>2747</v>
      </c>
      <c r="J203" s="16" t="s">
        <v>2748</v>
      </c>
      <c r="K203" s="39" t="s">
        <v>50</v>
      </c>
      <c r="L203" s="39" t="s">
        <v>2407</v>
      </c>
    </row>
    <row r="204" spans="2:12">
      <c r="B204" s="16" t="s">
        <v>47</v>
      </c>
      <c r="C204" s="46" t="s">
        <v>28</v>
      </c>
      <c r="D204" s="47">
        <v>44393</v>
      </c>
      <c r="F204" s="39"/>
      <c r="G204" s="16"/>
      <c r="I204" s="39" t="s">
        <v>2749</v>
      </c>
      <c r="J204" s="16" t="s">
        <v>2750</v>
      </c>
      <c r="K204" s="39" t="s">
        <v>50</v>
      </c>
      <c r="L204" s="39" t="s">
        <v>2407</v>
      </c>
    </row>
    <row r="205" spans="2:12">
      <c r="B205" s="16" t="s">
        <v>47</v>
      </c>
      <c r="C205" s="46" t="s">
        <v>28</v>
      </c>
      <c r="D205" s="47">
        <v>44393</v>
      </c>
      <c r="F205" s="39"/>
      <c r="G205" s="16"/>
      <c r="I205" s="39" t="s">
        <v>2751</v>
      </c>
      <c r="J205" s="16" t="s">
        <v>2752</v>
      </c>
      <c r="K205" s="39" t="s">
        <v>50</v>
      </c>
      <c r="L205" s="39" t="s">
        <v>2407</v>
      </c>
    </row>
    <row r="206" spans="2:12">
      <c r="B206" s="16" t="s">
        <v>47</v>
      </c>
      <c r="C206" s="46" t="s">
        <v>28</v>
      </c>
      <c r="D206" s="47">
        <v>44393</v>
      </c>
      <c r="F206" s="39"/>
      <c r="G206" s="16"/>
      <c r="I206" s="39" t="s">
        <v>2753</v>
      </c>
      <c r="J206" s="16" t="s">
        <v>2754</v>
      </c>
      <c r="K206" s="39" t="s">
        <v>50</v>
      </c>
      <c r="L206" s="39" t="s">
        <v>2407</v>
      </c>
    </row>
    <row r="207" spans="2:12">
      <c r="B207" s="16" t="s">
        <v>47</v>
      </c>
      <c r="C207" s="46" t="s">
        <v>28</v>
      </c>
      <c r="D207" s="47">
        <v>44393</v>
      </c>
      <c r="F207" s="39"/>
      <c r="G207" s="16"/>
      <c r="I207" s="39" t="s">
        <v>2755</v>
      </c>
      <c r="J207" s="16" t="s">
        <v>2756</v>
      </c>
      <c r="K207" s="39" t="s">
        <v>50</v>
      </c>
      <c r="L207" s="39" t="s">
        <v>2407</v>
      </c>
    </row>
    <row r="208" spans="2:12">
      <c r="B208" s="16" t="s">
        <v>47</v>
      </c>
      <c r="C208" s="46" t="s">
        <v>28</v>
      </c>
      <c r="D208" s="47">
        <v>44393</v>
      </c>
      <c r="F208" s="39"/>
      <c r="G208" s="16"/>
      <c r="I208" s="39" t="s">
        <v>2757</v>
      </c>
      <c r="J208" s="16" t="s">
        <v>2758</v>
      </c>
      <c r="K208" s="39" t="s">
        <v>50</v>
      </c>
      <c r="L208" s="39" t="s">
        <v>2407</v>
      </c>
    </row>
    <row r="209" spans="2:12">
      <c r="B209" s="16" t="s">
        <v>47</v>
      </c>
      <c r="C209" s="46" t="s">
        <v>28</v>
      </c>
      <c r="D209" s="47">
        <v>44393</v>
      </c>
      <c r="F209" s="39"/>
      <c r="G209" s="16"/>
      <c r="I209" s="39" t="s">
        <v>2759</v>
      </c>
      <c r="J209" s="16" t="s">
        <v>2760</v>
      </c>
      <c r="K209" s="39" t="s">
        <v>50</v>
      </c>
      <c r="L209" s="39" t="s">
        <v>2407</v>
      </c>
    </row>
    <row r="210" spans="2:12">
      <c r="B210" s="16" t="s">
        <v>47</v>
      </c>
      <c r="C210" s="46" t="s">
        <v>28</v>
      </c>
      <c r="D210" s="47">
        <v>44393</v>
      </c>
      <c r="F210" s="39"/>
      <c r="G210" s="16"/>
      <c r="I210" s="39" t="s">
        <v>2761</v>
      </c>
      <c r="J210" s="16" t="s">
        <v>2762</v>
      </c>
      <c r="K210" s="39" t="s">
        <v>50</v>
      </c>
      <c r="L210" s="39" t="s">
        <v>2407</v>
      </c>
    </row>
    <row r="211" spans="2:12">
      <c r="B211" s="16" t="s">
        <v>47</v>
      </c>
      <c r="C211" s="46" t="s">
        <v>28</v>
      </c>
      <c r="D211" s="47">
        <v>44393</v>
      </c>
      <c r="F211" s="39"/>
      <c r="G211" s="16"/>
      <c r="I211" s="39" t="s">
        <v>2763</v>
      </c>
      <c r="J211" s="16" t="s">
        <v>2764</v>
      </c>
      <c r="K211" s="39" t="s">
        <v>50</v>
      </c>
      <c r="L211" s="39" t="s">
        <v>2407</v>
      </c>
    </row>
    <row r="212" spans="2:12">
      <c r="B212" s="16" t="s">
        <v>47</v>
      </c>
      <c r="C212" s="46" t="s">
        <v>28</v>
      </c>
      <c r="D212" s="47">
        <v>44393</v>
      </c>
      <c r="F212" s="39"/>
      <c r="G212" s="16"/>
      <c r="I212" s="39" t="s">
        <v>2765</v>
      </c>
      <c r="J212" s="16" t="s">
        <v>2766</v>
      </c>
      <c r="K212" s="39" t="s">
        <v>50</v>
      </c>
      <c r="L212" s="39" t="s">
        <v>2407</v>
      </c>
    </row>
    <row r="213" spans="2:12">
      <c r="B213" s="16" t="s">
        <v>47</v>
      </c>
      <c r="C213" s="46" t="s">
        <v>28</v>
      </c>
      <c r="D213" s="47">
        <v>44393</v>
      </c>
      <c r="F213" s="39"/>
      <c r="G213" s="16"/>
      <c r="I213" s="39" t="s">
        <v>2767</v>
      </c>
      <c r="J213" s="16" t="s">
        <v>2768</v>
      </c>
      <c r="K213" s="39" t="s">
        <v>50</v>
      </c>
      <c r="L213" s="39" t="s">
        <v>2407</v>
      </c>
    </row>
    <row r="214" spans="2:12">
      <c r="B214" s="16" t="s">
        <v>47</v>
      </c>
      <c r="C214" s="46" t="s">
        <v>28</v>
      </c>
      <c r="D214" s="47">
        <v>44393</v>
      </c>
      <c r="F214" s="39"/>
      <c r="G214" s="16"/>
      <c r="I214" s="39" t="s">
        <v>2769</v>
      </c>
      <c r="J214" s="16" t="s">
        <v>2770</v>
      </c>
      <c r="K214" s="39" t="s">
        <v>50</v>
      </c>
      <c r="L214" s="39" t="s">
        <v>2407</v>
      </c>
    </row>
    <row r="215" spans="2:12">
      <c r="B215" s="16" t="s">
        <v>47</v>
      </c>
      <c r="C215" s="46" t="s">
        <v>28</v>
      </c>
      <c r="D215" s="47">
        <v>44428</v>
      </c>
      <c r="F215" s="39"/>
      <c r="G215" s="16"/>
      <c r="I215" s="39" t="s">
        <v>2771</v>
      </c>
      <c r="J215" s="16" t="s">
        <v>2772</v>
      </c>
      <c r="K215" s="39" t="s">
        <v>50</v>
      </c>
      <c r="L215" s="39" t="s">
        <v>2407</v>
      </c>
    </row>
    <row r="216" spans="2:12">
      <c r="B216" s="16" t="s">
        <v>47</v>
      </c>
      <c r="C216" s="46" t="s">
        <v>28</v>
      </c>
      <c r="D216" s="47">
        <v>44428</v>
      </c>
      <c r="F216" s="39"/>
      <c r="G216" s="16"/>
      <c r="I216" s="39" t="s">
        <v>2773</v>
      </c>
      <c r="J216" s="16" t="s">
        <v>2774</v>
      </c>
      <c r="K216" s="39" t="s">
        <v>50</v>
      </c>
      <c r="L216" s="39" t="s">
        <v>2516</v>
      </c>
    </row>
    <row r="217" spans="2:12">
      <c r="B217" s="16" t="s">
        <v>47</v>
      </c>
      <c r="C217" s="46" t="s">
        <v>28</v>
      </c>
      <c r="D217" s="47">
        <v>44435</v>
      </c>
      <c r="F217" s="39"/>
      <c r="G217" s="16"/>
      <c r="I217" s="39" t="s">
        <v>2775</v>
      </c>
      <c r="J217" s="16" t="s">
        <v>2776</v>
      </c>
      <c r="K217" s="39" t="s">
        <v>50</v>
      </c>
      <c r="L217" s="39" t="s">
        <v>2407</v>
      </c>
    </row>
    <row r="218" spans="2:12">
      <c r="B218" s="16" t="s">
        <v>47</v>
      </c>
      <c r="C218" s="46" t="s">
        <v>28</v>
      </c>
      <c r="D218" s="47">
        <v>44435</v>
      </c>
      <c r="F218" s="39"/>
      <c r="G218" s="16"/>
      <c r="I218" s="39" t="s">
        <v>2777</v>
      </c>
      <c r="J218" s="16" t="s">
        <v>2778</v>
      </c>
      <c r="K218" s="39" t="s">
        <v>50</v>
      </c>
      <c r="L218" s="39" t="s">
        <v>2407</v>
      </c>
    </row>
    <row r="219" spans="2:12">
      <c r="B219" s="16" t="s">
        <v>47</v>
      </c>
      <c r="C219" s="46" t="s">
        <v>28</v>
      </c>
      <c r="D219" s="47">
        <v>44442</v>
      </c>
      <c r="F219" s="39"/>
      <c r="G219" s="16"/>
      <c r="I219" s="39" t="s">
        <v>2779</v>
      </c>
      <c r="J219" s="16" t="s">
        <v>2659</v>
      </c>
      <c r="K219" s="39" t="s">
        <v>50</v>
      </c>
      <c r="L219" s="39" t="s">
        <v>2407</v>
      </c>
    </row>
    <row r="220" spans="2:12">
      <c r="B220" s="16" t="s">
        <v>47</v>
      </c>
      <c r="C220" s="46" t="s">
        <v>28</v>
      </c>
      <c r="D220" s="47">
        <v>44442</v>
      </c>
      <c r="F220" s="39"/>
      <c r="G220" s="16"/>
      <c r="I220" s="39" t="s">
        <v>2780</v>
      </c>
      <c r="J220" s="16" t="s">
        <v>2660</v>
      </c>
      <c r="K220" s="39" t="s">
        <v>50</v>
      </c>
      <c r="L220" s="39" t="s">
        <v>2407</v>
      </c>
    </row>
    <row r="221" spans="2:12">
      <c r="B221" s="16" t="s">
        <v>47</v>
      </c>
      <c r="C221" s="46" t="s">
        <v>28</v>
      </c>
      <c r="D221" s="47">
        <v>44442</v>
      </c>
      <c r="F221" s="39"/>
      <c r="G221" s="16"/>
      <c r="I221" s="39" t="s">
        <v>2781</v>
      </c>
      <c r="J221" s="16" t="s">
        <v>2782</v>
      </c>
      <c r="K221" s="39" t="s">
        <v>50</v>
      </c>
      <c r="L221" s="39" t="s">
        <v>2407</v>
      </c>
    </row>
    <row r="222" spans="2:12">
      <c r="B222" s="16" t="s">
        <v>47</v>
      </c>
      <c r="C222" s="46" t="s">
        <v>28</v>
      </c>
      <c r="D222" s="47">
        <v>44442</v>
      </c>
      <c r="F222" s="39"/>
      <c r="G222" s="16"/>
      <c r="I222" s="39" t="s">
        <v>2783</v>
      </c>
      <c r="J222" s="16" t="s">
        <v>2784</v>
      </c>
      <c r="K222" s="39" t="s">
        <v>50</v>
      </c>
      <c r="L222" s="39" t="s">
        <v>2407</v>
      </c>
    </row>
    <row r="223" spans="2:12">
      <c r="B223" s="16" t="s">
        <v>47</v>
      </c>
      <c r="C223" s="46" t="s">
        <v>28</v>
      </c>
      <c r="D223" s="47">
        <v>44442</v>
      </c>
      <c r="F223" s="39"/>
      <c r="G223" s="16"/>
      <c r="I223" s="39" t="s">
        <v>2785</v>
      </c>
      <c r="J223" s="16" t="s">
        <v>2786</v>
      </c>
      <c r="K223" s="39" t="s">
        <v>50</v>
      </c>
      <c r="L223" s="39" t="s">
        <v>2407</v>
      </c>
    </row>
    <row r="224" spans="2:12">
      <c r="B224" s="16" t="s">
        <v>47</v>
      </c>
      <c r="C224" s="46" t="s">
        <v>28</v>
      </c>
      <c r="D224" s="47">
        <v>44442</v>
      </c>
      <c r="F224" s="39"/>
      <c r="G224" s="16"/>
      <c r="I224" s="39" t="s">
        <v>2787</v>
      </c>
      <c r="J224" s="16" t="s">
        <v>2788</v>
      </c>
      <c r="K224" s="39" t="s">
        <v>50</v>
      </c>
      <c r="L224" s="39" t="s">
        <v>2407</v>
      </c>
    </row>
    <row r="225" spans="2:12">
      <c r="B225" s="16" t="s">
        <v>47</v>
      </c>
      <c r="C225" s="46" t="s">
        <v>28</v>
      </c>
      <c r="D225" s="47">
        <v>44442</v>
      </c>
      <c r="F225" s="39"/>
      <c r="G225" s="16"/>
      <c r="I225" s="39" t="s">
        <v>2789</v>
      </c>
      <c r="J225" s="16" t="s">
        <v>2790</v>
      </c>
      <c r="K225" s="39" t="s">
        <v>50</v>
      </c>
      <c r="L225" s="39" t="s">
        <v>2407</v>
      </c>
    </row>
    <row r="226" spans="2:12">
      <c r="B226" s="16" t="s">
        <v>47</v>
      </c>
      <c r="C226" s="46" t="s">
        <v>28</v>
      </c>
      <c r="D226" s="47">
        <v>44442</v>
      </c>
      <c r="F226" s="39"/>
      <c r="G226" s="16"/>
      <c r="I226" s="39" t="s">
        <v>2791</v>
      </c>
      <c r="J226" s="16" t="s">
        <v>2792</v>
      </c>
      <c r="K226" s="39" t="s">
        <v>50</v>
      </c>
      <c r="L226" s="39" t="s">
        <v>2407</v>
      </c>
    </row>
    <row r="227" spans="2:12">
      <c r="B227" s="16" t="s">
        <v>47</v>
      </c>
      <c r="C227" s="46" t="s">
        <v>28</v>
      </c>
      <c r="D227" s="47">
        <v>44442</v>
      </c>
      <c r="F227" s="39"/>
      <c r="G227" s="16"/>
      <c r="I227" s="39" t="s">
        <v>2793</v>
      </c>
      <c r="J227" s="16" t="s">
        <v>2794</v>
      </c>
      <c r="K227" s="39" t="s">
        <v>50</v>
      </c>
      <c r="L227" s="39" t="s">
        <v>2407</v>
      </c>
    </row>
    <row r="228" spans="2:12">
      <c r="B228" s="16" t="s">
        <v>47</v>
      </c>
      <c r="C228" s="46" t="s">
        <v>28</v>
      </c>
      <c r="D228" s="47">
        <v>44442</v>
      </c>
      <c r="F228" s="39"/>
      <c r="G228" s="16"/>
      <c r="I228" s="39" t="s">
        <v>2795</v>
      </c>
      <c r="J228" s="16" t="s">
        <v>2796</v>
      </c>
      <c r="K228" s="39" t="s">
        <v>50</v>
      </c>
      <c r="L228" s="39" t="s">
        <v>2407</v>
      </c>
    </row>
    <row r="229" spans="2:12">
      <c r="B229" s="16" t="s">
        <v>47</v>
      </c>
      <c r="C229" s="46" t="s">
        <v>28</v>
      </c>
      <c r="D229" s="47">
        <v>44442</v>
      </c>
      <c r="F229" s="39"/>
      <c r="G229" s="16"/>
      <c r="I229" s="39" t="s">
        <v>2797</v>
      </c>
      <c r="J229" s="16" t="s">
        <v>2798</v>
      </c>
      <c r="K229" s="39" t="s">
        <v>50</v>
      </c>
      <c r="L229" s="39" t="s">
        <v>2516</v>
      </c>
    </row>
    <row r="230" spans="2:12">
      <c r="B230" s="16" t="s">
        <v>47</v>
      </c>
      <c r="C230" s="46" t="s">
        <v>28</v>
      </c>
      <c r="D230" s="47">
        <v>44442</v>
      </c>
      <c r="F230" s="39"/>
      <c r="G230" s="16"/>
      <c r="I230" s="39" t="s">
        <v>2799</v>
      </c>
      <c r="J230" s="16" t="s">
        <v>2800</v>
      </c>
      <c r="K230" s="39" t="s">
        <v>50</v>
      </c>
      <c r="L230" s="39" t="s">
        <v>2407</v>
      </c>
    </row>
    <row r="231" spans="2:12">
      <c r="B231" s="16" t="s">
        <v>47</v>
      </c>
      <c r="C231" s="46" t="s">
        <v>28</v>
      </c>
      <c r="D231" s="47">
        <v>44449</v>
      </c>
      <c r="F231" s="39"/>
      <c r="G231" s="16"/>
      <c r="I231" s="39" t="s">
        <v>2801</v>
      </c>
      <c r="J231" s="16" t="s">
        <v>2802</v>
      </c>
      <c r="K231" s="39" t="s">
        <v>50</v>
      </c>
      <c r="L231" s="39" t="s">
        <v>2407</v>
      </c>
    </row>
    <row r="232" spans="2:12">
      <c r="B232" s="16" t="s">
        <v>47</v>
      </c>
      <c r="C232" s="46" t="s">
        <v>28</v>
      </c>
      <c r="D232" s="47">
        <v>44449</v>
      </c>
      <c r="F232" s="39"/>
      <c r="G232" s="16"/>
      <c r="I232" s="39" t="s">
        <v>2803</v>
      </c>
      <c r="J232" s="16" t="s">
        <v>2804</v>
      </c>
      <c r="K232" s="39" t="s">
        <v>50</v>
      </c>
      <c r="L232" s="39" t="s">
        <v>2407</v>
      </c>
    </row>
    <row r="233" spans="2:12">
      <c r="B233" s="16" t="s">
        <v>47</v>
      </c>
      <c r="C233" s="46" t="s">
        <v>28</v>
      </c>
      <c r="D233" s="47">
        <v>44463</v>
      </c>
      <c r="F233" s="39"/>
      <c r="G233" s="16"/>
      <c r="I233" s="39" t="s">
        <v>2805</v>
      </c>
      <c r="J233" s="16" t="s">
        <v>2806</v>
      </c>
      <c r="K233" s="39" t="s">
        <v>50</v>
      </c>
      <c r="L233" s="39" t="s">
        <v>2407</v>
      </c>
    </row>
    <row r="234" spans="2:12">
      <c r="B234" s="16" t="s">
        <v>47</v>
      </c>
      <c r="C234" s="46" t="s">
        <v>28</v>
      </c>
      <c r="D234" s="47">
        <v>44463</v>
      </c>
      <c r="F234" s="39"/>
      <c r="G234" s="16"/>
      <c r="I234" s="39" t="s">
        <v>2807</v>
      </c>
      <c r="J234" s="16" t="s">
        <v>2808</v>
      </c>
      <c r="K234" s="39" t="s">
        <v>50</v>
      </c>
      <c r="L234" s="39" t="s">
        <v>2407</v>
      </c>
    </row>
    <row r="235" spans="2:12">
      <c r="B235" s="16" t="s">
        <v>47</v>
      </c>
      <c r="C235" s="46" t="s">
        <v>28</v>
      </c>
      <c r="D235" s="47">
        <v>44470</v>
      </c>
      <c r="F235" s="39"/>
      <c r="G235" s="16"/>
      <c r="I235" s="39" t="s">
        <v>2809</v>
      </c>
      <c r="J235" s="16" t="s">
        <v>2810</v>
      </c>
      <c r="K235" s="39" t="s">
        <v>50</v>
      </c>
      <c r="L235" s="39" t="s">
        <v>2407</v>
      </c>
    </row>
    <row r="236" spans="2:12">
      <c r="B236" s="16" t="s">
        <v>47</v>
      </c>
      <c r="C236" s="46" t="s">
        <v>28</v>
      </c>
      <c r="D236" s="47">
        <v>44470</v>
      </c>
      <c r="F236" s="39"/>
      <c r="G236" s="16"/>
      <c r="I236" s="39" t="s">
        <v>2811</v>
      </c>
      <c r="J236" s="16" t="s">
        <v>2812</v>
      </c>
      <c r="K236" s="39" t="s">
        <v>50</v>
      </c>
      <c r="L236" s="39" t="s">
        <v>2407</v>
      </c>
    </row>
    <row r="237" spans="2:12">
      <c r="B237" s="16" t="s">
        <v>47</v>
      </c>
      <c r="C237" s="46" t="s">
        <v>28</v>
      </c>
      <c r="D237" s="47">
        <v>44470</v>
      </c>
      <c r="F237" s="39"/>
      <c r="G237" s="16"/>
      <c r="I237" s="39" t="s">
        <v>2813</v>
      </c>
      <c r="J237" s="16" t="s">
        <v>2814</v>
      </c>
      <c r="K237" s="39" t="s">
        <v>50</v>
      </c>
      <c r="L237" s="39" t="s">
        <v>2407</v>
      </c>
    </row>
    <row r="238" spans="2:12">
      <c r="B238" s="16" t="s">
        <v>47</v>
      </c>
      <c r="C238" s="46" t="s">
        <v>28</v>
      </c>
      <c r="D238" s="47">
        <v>44470</v>
      </c>
      <c r="F238" s="39"/>
      <c r="G238" s="16"/>
      <c r="I238" s="39" t="s">
        <v>2815</v>
      </c>
      <c r="J238" s="16" t="s">
        <v>2816</v>
      </c>
      <c r="K238" s="39" t="s">
        <v>50</v>
      </c>
      <c r="L238" s="39" t="s">
        <v>2407</v>
      </c>
    </row>
    <row r="239" spans="2:12">
      <c r="B239" s="16" t="s">
        <v>47</v>
      </c>
      <c r="C239" s="46" t="s">
        <v>28</v>
      </c>
      <c r="D239" s="47">
        <v>44470</v>
      </c>
      <c r="F239" s="39"/>
      <c r="G239" s="16"/>
      <c r="I239" s="39" t="s">
        <v>2817</v>
      </c>
      <c r="J239" s="16" t="s">
        <v>2818</v>
      </c>
      <c r="K239" s="39" t="s">
        <v>50</v>
      </c>
      <c r="L239" s="39" t="s">
        <v>2407</v>
      </c>
    </row>
    <row r="240" spans="2:12">
      <c r="B240" s="16" t="s">
        <v>47</v>
      </c>
      <c r="C240" s="46" t="s">
        <v>28</v>
      </c>
      <c r="D240" s="47">
        <v>44470</v>
      </c>
      <c r="F240" s="39"/>
      <c r="G240" s="16"/>
      <c r="I240" s="39" t="s">
        <v>2819</v>
      </c>
      <c r="J240" s="16" t="s">
        <v>2820</v>
      </c>
      <c r="K240" s="39" t="s">
        <v>50</v>
      </c>
      <c r="L240" s="39" t="s">
        <v>2407</v>
      </c>
    </row>
    <row r="241" spans="2:12">
      <c r="B241" s="16" t="s">
        <v>47</v>
      </c>
      <c r="C241" s="46" t="s">
        <v>28</v>
      </c>
      <c r="D241" s="47">
        <v>44470</v>
      </c>
      <c r="F241" s="39"/>
      <c r="G241" s="16"/>
      <c r="I241" s="39" t="s">
        <v>2821</v>
      </c>
      <c r="J241" s="16" t="s">
        <v>2822</v>
      </c>
      <c r="K241" s="39" t="s">
        <v>50</v>
      </c>
      <c r="L241" s="39" t="s">
        <v>2407</v>
      </c>
    </row>
    <row r="242" spans="2:12">
      <c r="B242" s="16" t="s">
        <v>47</v>
      </c>
      <c r="C242" s="46" t="s">
        <v>28</v>
      </c>
      <c r="D242" s="47">
        <v>44470</v>
      </c>
      <c r="F242" s="39"/>
      <c r="G242" s="16"/>
      <c r="I242" s="39" t="s">
        <v>2823</v>
      </c>
      <c r="J242" s="16" t="s">
        <v>2824</v>
      </c>
      <c r="K242" s="39" t="s">
        <v>50</v>
      </c>
      <c r="L242" s="39" t="s">
        <v>2407</v>
      </c>
    </row>
    <row r="243" spans="2:12">
      <c r="B243" s="16" t="s">
        <v>47</v>
      </c>
      <c r="C243" s="46" t="s">
        <v>28</v>
      </c>
      <c r="D243" s="47">
        <v>44470</v>
      </c>
      <c r="F243" s="39"/>
      <c r="G243" s="16"/>
      <c r="I243" s="39" t="s">
        <v>2825</v>
      </c>
      <c r="J243" s="16" t="s">
        <v>2826</v>
      </c>
      <c r="K243" s="39" t="s">
        <v>50</v>
      </c>
      <c r="L243" s="39" t="s">
        <v>2407</v>
      </c>
    </row>
    <row r="244" spans="2:12">
      <c r="B244" s="16" t="s">
        <v>47</v>
      </c>
      <c r="C244" s="46" t="s">
        <v>28</v>
      </c>
      <c r="D244" s="47">
        <v>44491</v>
      </c>
      <c r="F244" s="39"/>
      <c r="G244" s="16"/>
      <c r="I244" s="39" t="s">
        <v>2827</v>
      </c>
      <c r="J244" s="16" t="s">
        <v>2828</v>
      </c>
      <c r="K244" s="39" t="s">
        <v>50</v>
      </c>
      <c r="L244" s="39" t="s">
        <v>2407</v>
      </c>
    </row>
    <row r="245" spans="2:12">
      <c r="B245" s="16" t="s">
        <v>47</v>
      </c>
      <c r="C245" s="46" t="s">
        <v>28</v>
      </c>
      <c r="D245" s="47">
        <v>44491</v>
      </c>
      <c r="F245" s="39"/>
      <c r="G245" s="16"/>
      <c r="I245" s="39" t="s">
        <v>2829</v>
      </c>
      <c r="J245" s="16" t="s">
        <v>2830</v>
      </c>
      <c r="K245" s="39" t="s">
        <v>50</v>
      </c>
      <c r="L245" s="39" t="s">
        <v>2407</v>
      </c>
    </row>
    <row r="246" spans="2:12">
      <c r="B246" s="16" t="s">
        <v>47</v>
      </c>
      <c r="C246" s="46" t="s">
        <v>28</v>
      </c>
      <c r="D246" s="47">
        <v>44491</v>
      </c>
      <c r="F246" s="39"/>
      <c r="G246" s="16"/>
      <c r="I246" s="39" t="s">
        <v>2831</v>
      </c>
      <c r="J246" s="16" t="s">
        <v>2832</v>
      </c>
      <c r="K246" s="39" t="s">
        <v>50</v>
      </c>
      <c r="L246" s="39" t="s">
        <v>2407</v>
      </c>
    </row>
    <row r="247" spans="2:12">
      <c r="B247" s="16" t="s">
        <v>47</v>
      </c>
      <c r="C247" s="46" t="s">
        <v>28</v>
      </c>
      <c r="D247" s="47">
        <v>44491</v>
      </c>
      <c r="F247" s="39"/>
      <c r="G247" s="16"/>
      <c r="I247" s="39" t="s">
        <v>2833</v>
      </c>
      <c r="J247" s="16" t="s">
        <v>2834</v>
      </c>
      <c r="K247" s="39" t="s">
        <v>50</v>
      </c>
      <c r="L247" s="39" t="s">
        <v>2407</v>
      </c>
    </row>
    <row r="248" spans="2:12">
      <c r="B248" s="16" t="s">
        <v>47</v>
      </c>
      <c r="C248" s="46" t="s">
        <v>28</v>
      </c>
      <c r="D248" s="47">
        <v>44491</v>
      </c>
      <c r="F248" s="39"/>
      <c r="G248" s="16"/>
      <c r="I248" s="39" t="s">
        <v>2835</v>
      </c>
      <c r="J248" s="16" t="s">
        <v>2836</v>
      </c>
      <c r="K248" s="39" t="s">
        <v>50</v>
      </c>
      <c r="L248" s="39" t="s">
        <v>2407</v>
      </c>
    </row>
    <row r="249" spans="2:12">
      <c r="B249" s="16" t="s">
        <v>47</v>
      </c>
      <c r="C249" s="46" t="s">
        <v>28</v>
      </c>
      <c r="D249" s="47">
        <v>44491</v>
      </c>
      <c r="F249" s="39"/>
      <c r="G249" s="16"/>
      <c r="I249" s="39" t="s">
        <v>2837</v>
      </c>
      <c r="J249" s="16" t="s">
        <v>2838</v>
      </c>
      <c r="K249" s="39" t="s">
        <v>50</v>
      </c>
      <c r="L249" s="39" t="s">
        <v>2407</v>
      </c>
    </row>
    <row r="250" spans="2:12">
      <c r="B250" s="16" t="s">
        <v>47</v>
      </c>
      <c r="C250" s="46" t="s">
        <v>28</v>
      </c>
      <c r="D250" s="47">
        <v>44491</v>
      </c>
      <c r="F250" s="39"/>
      <c r="G250" s="16"/>
      <c r="I250" s="39" t="s">
        <v>2839</v>
      </c>
      <c r="J250" s="16" t="s">
        <v>2840</v>
      </c>
      <c r="K250" s="39" t="s">
        <v>50</v>
      </c>
      <c r="L250" s="39" t="s">
        <v>2407</v>
      </c>
    </row>
    <row r="251" spans="2:12">
      <c r="B251" s="16" t="s">
        <v>47</v>
      </c>
      <c r="C251" s="46" t="s">
        <v>28</v>
      </c>
      <c r="D251" s="47">
        <v>44491</v>
      </c>
      <c r="F251" s="39"/>
      <c r="G251" s="16"/>
      <c r="I251" s="39" t="s">
        <v>2841</v>
      </c>
      <c r="J251" s="16" t="s">
        <v>2842</v>
      </c>
      <c r="K251" s="39" t="s">
        <v>50</v>
      </c>
      <c r="L251" s="39" t="s">
        <v>2407</v>
      </c>
    </row>
    <row r="252" spans="2:12">
      <c r="B252" s="16" t="s">
        <v>47</v>
      </c>
      <c r="C252" s="46" t="s">
        <v>28</v>
      </c>
      <c r="D252" s="47">
        <v>44491</v>
      </c>
      <c r="F252" s="39"/>
      <c r="G252" s="16"/>
      <c r="I252" s="39" t="s">
        <v>2843</v>
      </c>
      <c r="J252" s="16" t="s">
        <v>2844</v>
      </c>
      <c r="K252" s="39" t="s">
        <v>50</v>
      </c>
      <c r="L252" s="39" t="s">
        <v>2407</v>
      </c>
    </row>
    <row r="253" spans="2:12">
      <c r="B253" s="16" t="s">
        <v>47</v>
      </c>
      <c r="C253" s="46" t="s">
        <v>28</v>
      </c>
      <c r="D253" s="47">
        <v>44512</v>
      </c>
      <c r="F253" s="39"/>
      <c r="G253" s="16"/>
      <c r="I253" s="39" t="s">
        <v>2845</v>
      </c>
      <c r="J253" s="16" t="s">
        <v>2846</v>
      </c>
      <c r="K253" s="39" t="s">
        <v>50</v>
      </c>
      <c r="L253" s="39" t="s">
        <v>2407</v>
      </c>
    </row>
    <row r="254" spans="2:12">
      <c r="B254" s="16" t="s">
        <v>47</v>
      </c>
      <c r="C254" s="46" t="s">
        <v>28</v>
      </c>
      <c r="D254" s="47">
        <v>44512</v>
      </c>
      <c r="F254" s="39"/>
      <c r="G254" s="16"/>
      <c r="I254" s="39" t="s">
        <v>2847</v>
      </c>
      <c r="J254" s="16" t="s">
        <v>2848</v>
      </c>
      <c r="K254" s="39" t="s">
        <v>50</v>
      </c>
      <c r="L254" s="39" t="s">
        <v>2407</v>
      </c>
    </row>
    <row r="255" spans="2:12">
      <c r="B255" s="16" t="s">
        <v>47</v>
      </c>
      <c r="C255" s="46" t="s">
        <v>28</v>
      </c>
      <c r="D255" s="47">
        <v>44512</v>
      </c>
      <c r="F255" s="39"/>
      <c r="G255" s="16"/>
      <c r="I255" s="39" t="s">
        <v>2849</v>
      </c>
      <c r="J255" s="16" t="s">
        <v>2850</v>
      </c>
      <c r="K255" s="39" t="s">
        <v>50</v>
      </c>
      <c r="L255" s="39" t="s">
        <v>2407</v>
      </c>
    </row>
    <row r="256" spans="2:12">
      <c r="B256" s="16" t="s">
        <v>47</v>
      </c>
      <c r="C256" s="46" t="s">
        <v>28</v>
      </c>
      <c r="D256" s="47">
        <v>44512</v>
      </c>
      <c r="F256" s="39"/>
      <c r="G256" s="16"/>
      <c r="I256" s="39" t="s">
        <v>2851</v>
      </c>
      <c r="J256" s="16" t="s">
        <v>2852</v>
      </c>
      <c r="K256" s="39" t="s">
        <v>50</v>
      </c>
      <c r="L256" s="39" t="s">
        <v>2407</v>
      </c>
    </row>
    <row r="257" spans="2:12">
      <c r="B257" s="16" t="s">
        <v>47</v>
      </c>
      <c r="C257" s="46" t="s">
        <v>28</v>
      </c>
      <c r="D257" s="47">
        <v>44519</v>
      </c>
      <c r="F257" s="39"/>
      <c r="G257" s="16"/>
      <c r="I257" s="39" t="s">
        <v>2853</v>
      </c>
      <c r="J257" s="16" t="s">
        <v>2854</v>
      </c>
      <c r="K257" s="39" t="s">
        <v>50</v>
      </c>
      <c r="L257" s="39" t="s">
        <v>2407</v>
      </c>
    </row>
    <row r="258" spans="2:12">
      <c r="B258" s="16" t="s">
        <v>47</v>
      </c>
      <c r="C258" s="46" t="s">
        <v>28</v>
      </c>
      <c r="D258" s="47">
        <v>44519</v>
      </c>
      <c r="F258" s="39"/>
      <c r="G258" s="16"/>
      <c r="I258" s="39" t="s">
        <v>2855</v>
      </c>
      <c r="J258" s="16" t="s">
        <v>2856</v>
      </c>
      <c r="K258" s="39" t="s">
        <v>50</v>
      </c>
      <c r="L258" s="39" t="s">
        <v>2407</v>
      </c>
    </row>
    <row r="259" spans="2:12">
      <c r="B259" s="16" t="s">
        <v>47</v>
      </c>
      <c r="C259" s="46" t="s">
        <v>28</v>
      </c>
      <c r="D259" s="47">
        <v>44519</v>
      </c>
      <c r="F259" s="39"/>
      <c r="G259" s="16"/>
      <c r="I259" s="39" t="s">
        <v>2857</v>
      </c>
      <c r="J259" s="16" t="s">
        <v>2858</v>
      </c>
      <c r="K259" s="39" t="s">
        <v>50</v>
      </c>
      <c r="L259" s="39" t="s">
        <v>2407</v>
      </c>
    </row>
    <row r="260" spans="2:12">
      <c r="B260" s="16" t="s">
        <v>47</v>
      </c>
      <c r="C260" s="46" t="s">
        <v>28</v>
      </c>
      <c r="D260" s="47">
        <v>44526</v>
      </c>
      <c r="F260" s="39"/>
      <c r="G260" s="16"/>
      <c r="I260" s="39" t="s">
        <v>2859</v>
      </c>
      <c r="J260" s="16" t="s">
        <v>2860</v>
      </c>
      <c r="K260" s="39" t="s">
        <v>50</v>
      </c>
      <c r="L260" s="39" t="s">
        <v>2407</v>
      </c>
    </row>
    <row r="261" spans="2:12">
      <c r="B261" s="16" t="s">
        <v>47</v>
      </c>
      <c r="C261" s="46" t="s">
        <v>28</v>
      </c>
      <c r="D261" s="47">
        <v>44526</v>
      </c>
      <c r="F261" s="39"/>
      <c r="G261" s="16"/>
      <c r="I261" s="39" t="s">
        <v>2861</v>
      </c>
      <c r="J261" s="16" t="s">
        <v>2862</v>
      </c>
      <c r="K261" s="39" t="s">
        <v>50</v>
      </c>
      <c r="L261" s="39" t="s">
        <v>2407</v>
      </c>
    </row>
    <row r="262" spans="2:12">
      <c r="B262" s="16" t="s">
        <v>47</v>
      </c>
      <c r="C262" s="46" t="s">
        <v>28</v>
      </c>
      <c r="D262" s="47">
        <v>44526</v>
      </c>
      <c r="F262" s="39"/>
      <c r="G262" s="16"/>
      <c r="I262" s="39" t="s">
        <v>2861</v>
      </c>
      <c r="J262" s="16" t="s">
        <v>2863</v>
      </c>
      <c r="K262" s="39" t="s">
        <v>50</v>
      </c>
      <c r="L262" s="39" t="s">
        <v>2407</v>
      </c>
    </row>
    <row r="263" spans="2:12">
      <c r="B263" s="16" t="s">
        <v>47</v>
      </c>
      <c r="C263" s="46" t="s">
        <v>28</v>
      </c>
      <c r="D263" s="47">
        <v>44526</v>
      </c>
      <c r="F263" s="39"/>
      <c r="G263" s="16"/>
      <c r="I263" s="39" t="s">
        <v>2864</v>
      </c>
      <c r="J263" s="16" t="s">
        <v>2865</v>
      </c>
      <c r="K263" s="39" t="s">
        <v>50</v>
      </c>
      <c r="L263" s="39" t="s">
        <v>2407</v>
      </c>
    </row>
    <row r="264" spans="2:12">
      <c r="B264" s="16" t="s">
        <v>47</v>
      </c>
      <c r="C264" s="46" t="s">
        <v>28</v>
      </c>
      <c r="D264" s="47">
        <v>44547</v>
      </c>
      <c r="F264" s="39"/>
      <c r="G264" s="16"/>
      <c r="I264" s="39" t="s">
        <v>2866</v>
      </c>
      <c r="J264" s="16" t="s">
        <v>2867</v>
      </c>
      <c r="K264" s="39" t="s">
        <v>50</v>
      </c>
      <c r="L264" s="39" t="s">
        <v>2407</v>
      </c>
    </row>
    <row r="265" spans="2:12">
      <c r="B265" s="16" t="s">
        <v>47</v>
      </c>
      <c r="C265" s="46" t="s">
        <v>28</v>
      </c>
      <c r="D265" s="47">
        <v>44575</v>
      </c>
      <c r="F265" s="39"/>
      <c r="G265" s="16"/>
      <c r="I265" s="39">
        <v>10086271</v>
      </c>
      <c r="J265" s="16" t="s">
        <v>2868</v>
      </c>
      <c r="K265" s="39" t="s">
        <v>50</v>
      </c>
      <c r="L265" s="39" t="s">
        <v>2407</v>
      </c>
    </row>
    <row r="266" spans="2:12">
      <c r="B266" s="16" t="s">
        <v>47</v>
      </c>
      <c r="C266" s="46" t="s">
        <v>28</v>
      </c>
      <c r="D266" s="47">
        <v>44575</v>
      </c>
      <c r="F266" s="39"/>
      <c r="G266" s="16"/>
      <c r="I266" s="39">
        <v>10086272</v>
      </c>
      <c r="J266" s="16" t="s">
        <v>2869</v>
      </c>
      <c r="K266" s="39" t="s">
        <v>50</v>
      </c>
      <c r="L266" s="39" t="s">
        <v>2407</v>
      </c>
    </row>
    <row r="267" spans="2:12">
      <c r="B267" s="16" t="s">
        <v>47</v>
      </c>
      <c r="C267" s="46" t="s">
        <v>28</v>
      </c>
      <c r="D267" s="47">
        <v>44582</v>
      </c>
      <c r="F267" s="39"/>
      <c r="G267" s="46" t="s">
        <v>2870</v>
      </c>
      <c r="I267" s="39">
        <v>10087297</v>
      </c>
      <c r="J267" s="16" t="s">
        <v>2871</v>
      </c>
      <c r="K267" s="39" t="s">
        <v>50</v>
      </c>
      <c r="L267" s="39" t="s">
        <v>2407</v>
      </c>
    </row>
    <row r="268" spans="2:12">
      <c r="B268" s="16" t="s">
        <v>47</v>
      </c>
      <c r="C268" s="46" t="s">
        <v>28</v>
      </c>
      <c r="D268" s="47">
        <v>44582</v>
      </c>
      <c r="F268" s="39"/>
      <c r="G268" s="46" t="s">
        <v>2870</v>
      </c>
      <c r="I268" s="39">
        <v>10087298</v>
      </c>
      <c r="J268" s="16" t="s">
        <v>2872</v>
      </c>
      <c r="K268" s="39" t="s">
        <v>50</v>
      </c>
      <c r="L268" s="39" t="s">
        <v>2407</v>
      </c>
    </row>
    <row r="269" spans="2:12">
      <c r="B269" s="16" t="s">
        <v>47</v>
      </c>
      <c r="C269" s="46" t="s">
        <v>28</v>
      </c>
      <c r="D269" s="47">
        <v>44582</v>
      </c>
      <c r="F269" s="39"/>
      <c r="G269" s="46" t="s">
        <v>2870</v>
      </c>
      <c r="I269" s="39">
        <v>10087299</v>
      </c>
      <c r="J269" s="16" t="s">
        <v>2873</v>
      </c>
      <c r="K269" s="39" t="s">
        <v>50</v>
      </c>
      <c r="L269" s="39" t="s">
        <v>2407</v>
      </c>
    </row>
    <row r="270" spans="2:12">
      <c r="B270" s="16" t="s">
        <v>47</v>
      </c>
      <c r="C270" s="46" t="s">
        <v>28</v>
      </c>
      <c r="D270" s="47">
        <v>44582</v>
      </c>
      <c r="F270" s="39"/>
      <c r="G270" s="46" t="s">
        <v>2870</v>
      </c>
      <c r="I270" s="39">
        <v>10087300</v>
      </c>
      <c r="J270" s="16" t="s">
        <v>2874</v>
      </c>
      <c r="K270" s="39" t="s">
        <v>50</v>
      </c>
      <c r="L270" s="39" t="s">
        <v>2407</v>
      </c>
    </row>
    <row r="271" spans="2:12">
      <c r="B271" s="16" t="s">
        <v>47</v>
      </c>
      <c r="C271" s="46" t="s">
        <v>28</v>
      </c>
      <c r="D271" s="47">
        <v>44582</v>
      </c>
      <c r="F271" s="39"/>
      <c r="G271" s="46" t="s">
        <v>2870</v>
      </c>
      <c r="I271" s="39">
        <v>10087301</v>
      </c>
      <c r="J271" s="16" t="s">
        <v>2875</v>
      </c>
      <c r="K271" s="39" t="s">
        <v>50</v>
      </c>
      <c r="L271" s="39" t="s">
        <v>2407</v>
      </c>
    </row>
    <row r="272" spans="2:12">
      <c r="B272" s="16" t="s">
        <v>47</v>
      </c>
      <c r="C272" s="46" t="s">
        <v>28</v>
      </c>
      <c r="D272" s="47">
        <v>44582</v>
      </c>
      <c r="F272" s="39"/>
      <c r="G272" s="46" t="s">
        <v>2870</v>
      </c>
      <c r="I272" s="39">
        <v>10087302</v>
      </c>
      <c r="J272" s="16" t="s">
        <v>2876</v>
      </c>
      <c r="K272" s="39" t="s">
        <v>50</v>
      </c>
      <c r="L272" s="39" t="s">
        <v>2407</v>
      </c>
    </row>
    <row r="273" spans="2:12">
      <c r="B273" s="16" t="s">
        <v>47</v>
      </c>
      <c r="C273" s="46" t="s">
        <v>28</v>
      </c>
      <c r="D273" s="47">
        <v>44582</v>
      </c>
      <c r="F273" s="39"/>
      <c r="G273" s="46" t="s">
        <v>2870</v>
      </c>
      <c r="I273" s="39">
        <v>10087303</v>
      </c>
      <c r="J273" s="16" t="s">
        <v>2877</v>
      </c>
      <c r="K273" s="39" t="s">
        <v>50</v>
      </c>
      <c r="L273" s="39" t="s">
        <v>2407</v>
      </c>
    </row>
    <row r="274" spans="2:12">
      <c r="B274" s="16" t="s">
        <v>47</v>
      </c>
      <c r="C274" s="46" t="s">
        <v>28</v>
      </c>
      <c r="D274" s="47">
        <v>44582</v>
      </c>
      <c r="F274" s="39"/>
      <c r="G274" s="46" t="s">
        <v>2870</v>
      </c>
      <c r="I274" s="39">
        <v>10087304</v>
      </c>
      <c r="J274" s="16" t="s">
        <v>2878</v>
      </c>
      <c r="K274" s="39" t="s">
        <v>50</v>
      </c>
      <c r="L274" s="39" t="s">
        <v>2407</v>
      </c>
    </row>
    <row r="275" spans="2:12">
      <c r="B275" s="16" t="s">
        <v>47</v>
      </c>
      <c r="C275" s="46" t="s">
        <v>28</v>
      </c>
      <c r="D275" s="47">
        <v>44582</v>
      </c>
      <c r="F275" s="39"/>
      <c r="G275" s="46" t="s">
        <v>2870</v>
      </c>
      <c r="I275" s="39">
        <v>10087305</v>
      </c>
      <c r="J275" s="16" t="s">
        <v>2879</v>
      </c>
      <c r="K275" s="39" t="s">
        <v>50</v>
      </c>
      <c r="L275" s="39" t="s">
        <v>2407</v>
      </c>
    </row>
    <row r="276" spans="2:12">
      <c r="B276" s="16" t="s">
        <v>47</v>
      </c>
      <c r="C276" s="46" t="s">
        <v>28</v>
      </c>
      <c r="D276" s="47">
        <v>44582</v>
      </c>
      <c r="F276" s="39"/>
      <c r="G276" s="46" t="s">
        <v>2870</v>
      </c>
      <c r="I276" s="39">
        <v>10087306</v>
      </c>
      <c r="J276" s="16" t="s">
        <v>2880</v>
      </c>
      <c r="K276" s="39" t="s">
        <v>50</v>
      </c>
      <c r="L276" s="39" t="s">
        <v>2407</v>
      </c>
    </row>
    <row r="277" spans="2:12">
      <c r="B277" s="16" t="s">
        <v>47</v>
      </c>
      <c r="C277" s="46" t="s">
        <v>28</v>
      </c>
      <c r="D277" s="47">
        <v>44582</v>
      </c>
      <c r="F277" s="39"/>
      <c r="G277" s="46" t="s">
        <v>2870</v>
      </c>
      <c r="I277" s="39">
        <v>10087307</v>
      </c>
      <c r="J277" s="16" t="s">
        <v>2881</v>
      </c>
      <c r="K277" s="39" t="s">
        <v>50</v>
      </c>
      <c r="L277" s="39" t="s">
        <v>2407</v>
      </c>
    </row>
    <row r="278" spans="2:12">
      <c r="B278" s="16" t="s">
        <v>47</v>
      </c>
      <c r="C278" s="46" t="s">
        <v>28</v>
      </c>
      <c r="D278" s="47">
        <v>44582</v>
      </c>
      <c r="F278" s="39"/>
      <c r="G278" s="46" t="s">
        <v>2870</v>
      </c>
      <c r="I278" s="39">
        <v>10087308</v>
      </c>
      <c r="J278" s="16" t="s">
        <v>2882</v>
      </c>
      <c r="K278" s="39" t="s">
        <v>50</v>
      </c>
      <c r="L278" s="39" t="s">
        <v>2407</v>
      </c>
    </row>
    <row r="279" spans="2:12">
      <c r="B279" s="16" t="s">
        <v>47</v>
      </c>
      <c r="C279" s="46" t="s">
        <v>28</v>
      </c>
      <c r="D279" s="47">
        <v>44582</v>
      </c>
      <c r="F279" s="39"/>
      <c r="G279" s="46" t="s">
        <v>2870</v>
      </c>
      <c r="I279" s="39">
        <v>10087309</v>
      </c>
      <c r="J279" s="16" t="s">
        <v>2883</v>
      </c>
      <c r="K279" s="39" t="s">
        <v>50</v>
      </c>
      <c r="L279" s="39" t="s">
        <v>2407</v>
      </c>
    </row>
    <row r="280" spans="2:12">
      <c r="B280" s="16" t="s">
        <v>47</v>
      </c>
      <c r="C280" s="46" t="s">
        <v>28</v>
      </c>
      <c r="D280" s="47">
        <v>44582</v>
      </c>
      <c r="F280" s="39"/>
      <c r="G280" s="46" t="s">
        <v>2870</v>
      </c>
      <c r="I280" s="39">
        <v>10087310</v>
      </c>
      <c r="J280" s="16" t="s">
        <v>2884</v>
      </c>
      <c r="K280" s="39" t="s">
        <v>50</v>
      </c>
      <c r="L280" s="39" t="s">
        <v>2407</v>
      </c>
    </row>
    <row r="281" spans="2:12">
      <c r="B281" s="16" t="s">
        <v>47</v>
      </c>
      <c r="C281" s="46" t="s">
        <v>28</v>
      </c>
      <c r="D281" s="47">
        <v>44582</v>
      </c>
      <c r="F281" s="39"/>
      <c r="G281" s="46" t="s">
        <v>2870</v>
      </c>
      <c r="I281" s="39">
        <v>10087311</v>
      </c>
      <c r="J281" s="16" t="s">
        <v>2885</v>
      </c>
      <c r="K281" s="39" t="s">
        <v>50</v>
      </c>
      <c r="L281" s="39" t="s">
        <v>2407</v>
      </c>
    </row>
    <row r="282" spans="2:12">
      <c r="B282" s="16" t="s">
        <v>47</v>
      </c>
      <c r="C282" s="46" t="s">
        <v>28</v>
      </c>
      <c r="D282" s="47">
        <v>44582</v>
      </c>
      <c r="F282" s="39"/>
      <c r="G282" s="46" t="s">
        <v>2870</v>
      </c>
      <c r="I282" s="39">
        <v>10087312</v>
      </c>
      <c r="J282" s="16" t="s">
        <v>2886</v>
      </c>
      <c r="K282" s="39" t="s">
        <v>50</v>
      </c>
      <c r="L282" s="39" t="s">
        <v>2407</v>
      </c>
    </row>
    <row r="283" spans="2:12">
      <c r="B283" s="16" t="s">
        <v>47</v>
      </c>
      <c r="C283" s="46" t="s">
        <v>28</v>
      </c>
      <c r="D283" s="47">
        <v>44582</v>
      </c>
      <c r="F283" s="39"/>
      <c r="G283" s="46" t="s">
        <v>2870</v>
      </c>
      <c r="I283" s="39">
        <v>10087313</v>
      </c>
      <c r="J283" s="16" t="s">
        <v>2887</v>
      </c>
      <c r="K283" s="39" t="s">
        <v>50</v>
      </c>
      <c r="L283" s="39" t="s">
        <v>2407</v>
      </c>
    </row>
    <row r="284" spans="2:12">
      <c r="B284" s="16" t="s">
        <v>47</v>
      </c>
      <c r="C284" s="46" t="s">
        <v>28</v>
      </c>
      <c r="D284" s="47">
        <v>44582</v>
      </c>
      <c r="F284" s="39"/>
      <c r="G284" s="46" t="s">
        <v>2870</v>
      </c>
      <c r="I284" s="39">
        <v>10087314</v>
      </c>
      <c r="J284" s="16" t="s">
        <v>2888</v>
      </c>
      <c r="K284" s="39" t="s">
        <v>50</v>
      </c>
      <c r="L284" s="39" t="s">
        <v>2407</v>
      </c>
    </row>
    <row r="285" spans="2:12">
      <c r="B285" s="16" t="s">
        <v>47</v>
      </c>
      <c r="C285" s="46" t="s">
        <v>28</v>
      </c>
      <c r="D285" s="47">
        <v>44582</v>
      </c>
      <c r="F285" s="39"/>
      <c r="G285" s="46" t="s">
        <v>2870</v>
      </c>
      <c r="I285" s="39">
        <v>10087315</v>
      </c>
      <c r="J285" s="16" t="s">
        <v>2889</v>
      </c>
      <c r="K285" s="39" t="s">
        <v>50</v>
      </c>
      <c r="L285" s="39" t="s">
        <v>2407</v>
      </c>
    </row>
    <row r="286" spans="2:12">
      <c r="B286" s="16" t="s">
        <v>47</v>
      </c>
      <c r="C286" s="46" t="s">
        <v>28</v>
      </c>
      <c r="D286" s="47">
        <v>44582</v>
      </c>
      <c r="F286" s="39"/>
      <c r="G286" s="46" t="s">
        <v>2870</v>
      </c>
      <c r="I286" s="39">
        <v>10087316</v>
      </c>
      <c r="J286" s="16" t="s">
        <v>2890</v>
      </c>
      <c r="K286" s="39" t="s">
        <v>50</v>
      </c>
      <c r="L286" s="39" t="s">
        <v>2407</v>
      </c>
    </row>
    <row r="287" spans="2:12">
      <c r="B287" s="16" t="s">
        <v>47</v>
      </c>
      <c r="C287" s="46" t="s">
        <v>28</v>
      </c>
      <c r="D287" s="47">
        <v>44582</v>
      </c>
      <c r="F287" s="39"/>
      <c r="G287" s="46" t="s">
        <v>2870</v>
      </c>
      <c r="I287" s="39">
        <v>10087317</v>
      </c>
      <c r="J287" s="16" t="s">
        <v>2891</v>
      </c>
      <c r="K287" s="39" t="s">
        <v>50</v>
      </c>
      <c r="L287" s="39" t="s">
        <v>2407</v>
      </c>
    </row>
    <row r="288" spans="2:12">
      <c r="B288" s="16" t="s">
        <v>47</v>
      </c>
      <c r="C288" s="46" t="s">
        <v>28</v>
      </c>
      <c r="D288" s="47">
        <v>44582</v>
      </c>
      <c r="F288" s="39"/>
      <c r="G288" s="46" t="s">
        <v>2870</v>
      </c>
      <c r="I288" s="39">
        <v>10087318</v>
      </c>
      <c r="J288" s="16" t="s">
        <v>2892</v>
      </c>
      <c r="K288" s="39" t="s">
        <v>50</v>
      </c>
      <c r="L288" s="39" t="s">
        <v>2407</v>
      </c>
    </row>
    <row r="289" spans="2:12">
      <c r="B289" s="16" t="s">
        <v>47</v>
      </c>
      <c r="C289" s="46" t="s">
        <v>28</v>
      </c>
      <c r="D289" s="47">
        <v>44582</v>
      </c>
      <c r="F289" s="39"/>
      <c r="G289" s="46" t="s">
        <v>2870</v>
      </c>
      <c r="I289" s="39">
        <v>10087319</v>
      </c>
      <c r="J289" s="16" t="s">
        <v>2893</v>
      </c>
      <c r="K289" s="39" t="s">
        <v>50</v>
      </c>
      <c r="L289" s="39" t="s">
        <v>2407</v>
      </c>
    </row>
    <row r="290" spans="2:12">
      <c r="B290" s="16" t="s">
        <v>47</v>
      </c>
      <c r="C290" s="46" t="s">
        <v>28</v>
      </c>
      <c r="D290" s="47">
        <v>44582</v>
      </c>
      <c r="F290" s="39"/>
      <c r="G290" s="46" t="s">
        <v>2870</v>
      </c>
      <c r="I290" s="39">
        <v>10087320</v>
      </c>
      <c r="J290" s="16" t="s">
        <v>2894</v>
      </c>
      <c r="K290" s="39" t="s">
        <v>50</v>
      </c>
      <c r="L290" s="39" t="s">
        <v>2407</v>
      </c>
    </row>
    <row r="291" spans="2:12">
      <c r="B291" s="16" t="s">
        <v>47</v>
      </c>
      <c r="C291" s="46" t="s">
        <v>28</v>
      </c>
      <c r="D291" s="47">
        <v>44582</v>
      </c>
      <c r="F291" s="39"/>
      <c r="G291" s="46" t="s">
        <v>2870</v>
      </c>
      <c r="I291" s="39">
        <v>10087324</v>
      </c>
      <c r="J291" s="16" t="s">
        <v>2895</v>
      </c>
      <c r="K291" s="39" t="s">
        <v>50</v>
      </c>
      <c r="L291" s="39" t="s">
        <v>2407</v>
      </c>
    </row>
    <row r="292" spans="2:12">
      <c r="B292" s="16" t="s">
        <v>47</v>
      </c>
      <c r="C292" s="46" t="s">
        <v>28</v>
      </c>
      <c r="D292" s="47">
        <v>44582</v>
      </c>
      <c r="F292" s="39"/>
      <c r="G292" s="46" t="s">
        <v>2870</v>
      </c>
      <c r="I292" s="39">
        <v>10087325</v>
      </c>
      <c r="J292" s="16" t="s">
        <v>2896</v>
      </c>
      <c r="K292" s="39" t="s">
        <v>50</v>
      </c>
      <c r="L292" s="39" t="s">
        <v>2407</v>
      </c>
    </row>
    <row r="293" spans="2:12">
      <c r="B293" s="16" t="s">
        <v>47</v>
      </c>
      <c r="C293" s="46" t="s">
        <v>28</v>
      </c>
      <c r="D293" s="47">
        <v>44596</v>
      </c>
      <c r="F293" s="39"/>
      <c r="G293" s="16"/>
      <c r="I293" s="39" t="s">
        <v>2897</v>
      </c>
      <c r="J293" s="16" t="s">
        <v>2898</v>
      </c>
      <c r="K293" s="39" t="s">
        <v>50</v>
      </c>
      <c r="L293" s="39" t="s">
        <v>2516</v>
      </c>
    </row>
    <row r="294" spans="2:12">
      <c r="B294" s="16" t="s">
        <v>47</v>
      </c>
      <c r="C294" s="46" t="s">
        <v>28</v>
      </c>
      <c r="D294" s="47">
        <v>44610</v>
      </c>
      <c r="F294" s="39"/>
      <c r="G294" s="16"/>
      <c r="I294" s="39" t="s">
        <v>2899</v>
      </c>
      <c r="J294" s="16" t="s">
        <v>2900</v>
      </c>
      <c r="K294" s="39" t="s">
        <v>50</v>
      </c>
      <c r="L294" s="39" t="s">
        <v>2407</v>
      </c>
    </row>
    <row r="295" spans="2:12">
      <c r="B295" s="16" t="s">
        <v>47</v>
      </c>
      <c r="C295" s="46" t="s">
        <v>28</v>
      </c>
      <c r="D295" s="47">
        <v>44610</v>
      </c>
      <c r="F295" s="39"/>
      <c r="G295" s="16"/>
      <c r="I295" s="39" t="s">
        <v>2901</v>
      </c>
      <c r="J295" s="16" t="s">
        <v>2902</v>
      </c>
      <c r="K295" s="39" t="s">
        <v>50</v>
      </c>
      <c r="L295" s="39" t="s">
        <v>2407</v>
      </c>
    </row>
    <row r="296" spans="2:12">
      <c r="B296" s="16" t="s">
        <v>47</v>
      </c>
      <c r="C296" s="46" t="s">
        <v>28</v>
      </c>
      <c r="D296" s="47">
        <v>44610</v>
      </c>
      <c r="F296" s="39"/>
      <c r="G296" s="16"/>
      <c r="I296" s="39" t="s">
        <v>2903</v>
      </c>
      <c r="J296" s="16" t="s">
        <v>2904</v>
      </c>
      <c r="K296" s="39" t="s">
        <v>50</v>
      </c>
      <c r="L296" s="39" t="s">
        <v>2407</v>
      </c>
    </row>
    <row r="297" spans="2:12">
      <c r="B297" s="16" t="s">
        <v>47</v>
      </c>
      <c r="C297" s="46" t="s">
        <v>28</v>
      </c>
      <c r="D297" s="47">
        <v>44610</v>
      </c>
      <c r="F297" s="39"/>
      <c r="G297" s="16"/>
      <c r="I297" s="39" t="s">
        <v>2905</v>
      </c>
      <c r="J297" s="16" t="s">
        <v>2906</v>
      </c>
      <c r="K297" s="39" t="s">
        <v>50</v>
      </c>
      <c r="L297" s="39" t="s">
        <v>2407</v>
      </c>
    </row>
    <row r="298" spans="2:12">
      <c r="B298" s="16" t="s">
        <v>47</v>
      </c>
      <c r="C298" s="46" t="s">
        <v>28</v>
      </c>
      <c r="D298" s="47">
        <v>44610</v>
      </c>
      <c r="F298" s="39"/>
      <c r="G298" s="16"/>
      <c r="I298" s="39" t="s">
        <v>2907</v>
      </c>
      <c r="J298" s="16" t="s">
        <v>2908</v>
      </c>
      <c r="K298" s="39" t="s">
        <v>50</v>
      </c>
      <c r="L298" s="39" t="s">
        <v>2407</v>
      </c>
    </row>
    <row r="299" spans="2:12">
      <c r="B299" s="16" t="s">
        <v>47</v>
      </c>
      <c r="C299" s="46" t="s">
        <v>28</v>
      </c>
      <c r="D299" s="47">
        <v>44610</v>
      </c>
      <c r="F299" s="39"/>
      <c r="G299" s="16"/>
      <c r="I299" s="39" t="s">
        <v>2909</v>
      </c>
      <c r="J299" s="16" t="s">
        <v>2910</v>
      </c>
      <c r="K299" s="39" t="s">
        <v>50</v>
      </c>
      <c r="L299" s="39" t="s">
        <v>2407</v>
      </c>
    </row>
    <row r="300" spans="2:12">
      <c r="B300" s="16" t="s">
        <v>47</v>
      </c>
      <c r="C300" s="46" t="s">
        <v>28</v>
      </c>
      <c r="D300" s="47">
        <v>44610</v>
      </c>
      <c r="F300" s="39"/>
      <c r="G300" s="16"/>
      <c r="I300" s="39" t="s">
        <v>2911</v>
      </c>
      <c r="J300" s="16" t="s">
        <v>2912</v>
      </c>
      <c r="K300" s="39" t="s">
        <v>50</v>
      </c>
      <c r="L300" s="39" t="s">
        <v>2407</v>
      </c>
    </row>
    <row r="301" spans="2:12">
      <c r="B301" s="16" t="s">
        <v>47</v>
      </c>
      <c r="C301" s="46" t="s">
        <v>28</v>
      </c>
      <c r="D301" s="47">
        <v>44617</v>
      </c>
      <c r="F301" s="39"/>
      <c r="G301" s="16"/>
      <c r="I301" s="39" t="s">
        <v>2913</v>
      </c>
      <c r="J301" s="16" t="s">
        <v>2914</v>
      </c>
      <c r="K301" s="39" t="s">
        <v>50</v>
      </c>
      <c r="L301" s="39" t="s">
        <v>2407</v>
      </c>
    </row>
    <row r="302" spans="2:12">
      <c r="B302" s="16" t="s">
        <v>47</v>
      </c>
      <c r="C302" s="46" t="s">
        <v>28</v>
      </c>
      <c r="D302" s="47">
        <v>44617</v>
      </c>
      <c r="F302" s="39"/>
      <c r="G302" s="16"/>
      <c r="I302" s="39" t="s">
        <v>2915</v>
      </c>
      <c r="J302" s="16" t="s">
        <v>2916</v>
      </c>
      <c r="K302" s="39" t="s">
        <v>50</v>
      </c>
      <c r="L302" s="39" t="s">
        <v>2407</v>
      </c>
    </row>
    <row r="303" spans="2:12">
      <c r="B303" s="16" t="s">
        <v>47</v>
      </c>
      <c r="C303" s="46" t="s">
        <v>28</v>
      </c>
      <c r="D303" s="47">
        <v>44624</v>
      </c>
      <c r="F303" s="39"/>
      <c r="G303" s="16"/>
      <c r="I303" s="39" t="s">
        <v>2917</v>
      </c>
      <c r="J303" s="16" t="s">
        <v>2918</v>
      </c>
      <c r="K303" s="39" t="s">
        <v>50</v>
      </c>
      <c r="L303" s="39" t="s">
        <v>2407</v>
      </c>
    </row>
    <row r="304" spans="2:12">
      <c r="B304" s="16" t="s">
        <v>47</v>
      </c>
      <c r="C304" s="46" t="s">
        <v>28</v>
      </c>
      <c r="D304" s="47">
        <v>44624</v>
      </c>
      <c r="F304" s="39"/>
      <c r="G304" s="16"/>
      <c r="I304" s="39" t="s">
        <v>2919</v>
      </c>
      <c r="J304" s="16" t="s">
        <v>2920</v>
      </c>
      <c r="K304" s="39" t="s">
        <v>50</v>
      </c>
      <c r="L304" s="39" t="s">
        <v>2407</v>
      </c>
    </row>
    <row r="305" spans="2:12">
      <c r="B305" s="16" t="s">
        <v>47</v>
      </c>
      <c r="C305" s="46" t="s">
        <v>28</v>
      </c>
      <c r="D305" s="47">
        <v>44624</v>
      </c>
      <c r="F305" s="39"/>
      <c r="G305" s="16"/>
      <c r="I305" s="39" t="s">
        <v>2921</v>
      </c>
      <c r="J305" s="16" t="s">
        <v>2922</v>
      </c>
      <c r="K305" s="39" t="s">
        <v>50</v>
      </c>
      <c r="L305" s="39" t="s">
        <v>2407</v>
      </c>
    </row>
    <row r="306" spans="2:12">
      <c r="B306" s="16" t="s">
        <v>47</v>
      </c>
      <c r="C306" s="46" t="s">
        <v>28</v>
      </c>
      <c r="D306" s="47">
        <v>44631</v>
      </c>
      <c r="F306" s="39"/>
      <c r="G306" s="16"/>
      <c r="I306" s="39" t="s">
        <v>2923</v>
      </c>
      <c r="J306" s="16" t="s">
        <v>2924</v>
      </c>
      <c r="K306" s="39" t="s">
        <v>50</v>
      </c>
      <c r="L306" s="39" t="s">
        <v>2407</v>
      </c>
    </row>
    <row r="307" spans="2:12">
      <c r="B307" s="16" t="s">
        <v>47</v>
      </c>
      <c r="C307" s="46" t="s">
        <v>28</v>
      </c>
      <c r="D307" s="47">
        <v>44638</v>
      </c>
      <c r="F307" s="39"/>
      <c r="G307" s="16"/>
      <c r="I307" s="39" t="s">
        <v>2925</v>
      </c>
      <c r="J307" s="16" t="s">
        <v>2926</v>
      </c>
      <c r="K307" s="39" t="s">
        <v>50</v>
      </c>
      <c r="L307" s="39" t="s">
        <v>2407</v>
      </c>
    </row>
    <row r="308" spans="2:12">
      <c r="B308" s="16" t="s">
        <v>47</v>
      </c>
      <c r="C308" s="46" t="s">
        <v>28</v>
      </c>
      <c r="D308" s="47">
        <v>44645</v>
      </c>
      <c r="F308" s="39"/>
      <c r="G308" s="16"/>
      <c r="I308" s="39" t="s">
        <v>2927</v>
      </c>
      <c r="J308" s="16" t="s">
        <v>2928</v>
      </c>
      <c r="K308" s="39" t="s">
        <v>50</v>
      </c>
      <c r="L308" s="39" t="s">
        <v>2516</v>
      </c>
    </row>
    <row r="309" spans="2:12">
      <c r="B309" s="16" t="s">
        <v>47</v>
      </c>
      <c r="C309" s="46" t="s">
        <v>28</v>
      </c>
      <c r="D309" s="47">
        <v>44652</v>
      </c>
      <c r="F309" s="39"/>
      <c r="G309" s="16"/>
      <c r="I309" s="39">
        <v>10088120</v>
      </c>
      <c r="J309" s="16" t="s">
        <v>2929</v>
      </c>
      <c r="K309" s="39" t="s">
        <v>50</v>
      </c>
      <c r="L309" s="39" t="s">
        <v>2407</v>
      </c>
    </row>
    <row r="310" spans="2:12">
      <c r="B310" s="16" t="s">
        <v>47</v>
      </c>
      <c r="C310" s="46" t="s">
        <v>28</v>
      </c>
      <c r="D310" s="47">
        <v>44652</v>
      </c>
      <c r="F310" s="39"/>
      <c r="G310" s="16"/>
      <c r="I310" s="39">
        <v>10088119</v>
      </c>
      <c r="J310" s="16" t="s">
        <v>2930</v>
      </c>
      <c r="K310" s="39" t="s">
        <v>50</v>
      </c>
      <c r="L310" s="39" t="s">
        <v>2407</v>
      </c>
    </row>
    <row r="311" spans="2:12">
      <c r="B311" s="16" t="s">
        <v>47</v>
      </c>
      <c r="C311" s="46" t="s">
        <v>28</v>
      </c>
      <c r="D311" s="47">
        <v>44652</v>
      </c>
      <c r="F311" s="39"/>
      <c r="G311" s="16"/>
      <c r="I311" s="39">
        <v>10088128</v>
      </c>
      <c r="J311" s="16" t="s">
        <v>2931</v>
      </c>
      <c r="K311" s="39" t="s">
        <v>50</v>
      </c>
      <c r="L311" s="39" t="s">
        <v>2407</v>
      </c>
    </row>
    <row r="312" spans="2:12">
      <c r="B312" s="16" t="s">
        <v>47</v>
      </c>
      <c r="C312" s="46" t="s">
        <v>28</v>
      </c>
      <c r="D312" s="47">
        <v>44652</v>
      </c>
      <c r="F312" s="39"/>
      <c r="G312" s="16"/>
      <c r="I312" s="39">
        <v>10088129</v>
      </c>
      <c r="J312" s="16" t="s">
        <v>2932</v>
      </c>
      <c r="K312" s="39" t="s">
        <v>50</v>
      </c>
      <c r="L312" s="39" t="s">
        <v>2407</v>
      </c>
    </row>
    <row r="313" spans="2:12">
      <c r="B313" s="16" t="s">
        <v>47</v>
      </c>
      <c r="C313" s="46" t="s">
        <v>28</v>
      </c>
      <c r="D313" s="47">
        <v>44652</v>
      </c>
      <c r="F313" s="39"/>
      <c r="G313" s="16"/>
      <c r="I313" s="39">
        <v>10088130</v>
      </c>
      <c r="J313" s="16" t="s">
        <v>2933</v>
      </c>
      <c r="K313" s="39" t="s">
        <v>50</v>
      </c>
      <c r="L313" s="39" t="s">
        <v>2407</v>
      </c>
    </row>
    <row r="314" spans="2:12">
      <c r="B314" s="16" t="s">
        <v>47</v>
      </c>
      <c r="C314" s="46" t="s">
        <v>28</v>
      </c>
      <c r="D314" s="47">
        <v>44652</v>
      </c>
      <c r="F314" s="39"/>
      <c r="G314" s="16"/>
      <c r="I314" s="39">
        <v>10088134</v>
      </c>
      <c r="J314" s="16" t="s">
        <v>2934</v>
      </c>
      <c r="K314" s="39" t="s">
        <v>50</v>
      </c>
      <c r="L314" s="39" t="s">
        <v>2407</v>
      </c>
    </row>
    <row r="315" spans="2:12">
      <c r="B315" s="16" t="s">
        <v>47</v>
      </c>
      <c r="C315" s="46" t="s">
        <v>28</v>
      </c>
      <c r="D315" s="47">
        <v>44652</v>
      </c>
      <c r="F315" s="39"/>
      <c r="G315" s="16"/>
      <c r="I315" s="39" t="s">
        <v>2935</v>
      </c>
      <c r="J315" s="16" t="s">
        <v>2936</v>
      </c>
      <c r="K315" s="39" t="s">
        <v>50</v>
      </c>
      <c r="L315" s="39" t="s">
        <v>2407</v>
      </c>
    </row>
    <row r="316" spans="2:12">
      <c r="B316" s="16" t="s">
        <v>47</v>
      </c>
      <c r="C316" s="46" t="s">
        <v>28</v>
      </c>
      <c r="D316" s="47">
        <v>44652</v>
      </c>
      <c r="F316" s="39"/>
      <c r="G316" s="16"/>
      <c r="I316" s="39" t="s">
        <v>2937</v>
      </c>
      <c r="J316" s="16" t="s">
        <v>2938</v>
      </c>
      <c r="K316" s="39" t="s">
        <v>50</v>
      </c>
      <c r="L316" s="39" t="s">
        <v>2407</v>
      </c>
    </row>
    <row r="317" spans="2:12">
      <c r="B317" s="16" t="s">
        <v>47</v>
      </c>
      <c r="C317" s="46" t="s">
        <v>28</v>
      </c>
      <c r="D317" s="47">
        <v>44665</v>
      </c>
      <c r="F317" s="39"/>
      <c r="G317" s="16"/>
      <c r="I317" s="39" t="s">
        <v>2939</v>
      </c>
      <c r="J317" s="16" t="s">
        <v>2940</v>
      </c>
      <c r="K317" s="39" t="s">
        <v>50</v>
      </c>
      <c r="L317" s="39" t="s">
        <v>2407</v>
      </c>
    </row>
    <row r="318" spans="2:12">
      <c r="B318" s="16" t="s">
        <v>47</v>
      </c>
      <c r="C318" s="46" t="s">
        <v>28</v>
      </c>
      <c r="D318" s="47">
        <v>44680</v>
      </c>
      <c r="F318" s="39"/>
      <c r="G318" s="16"/>
      <c r="I318" s="39" t="s">
        <v>2941</v>
      </c>
      <c r="J318" s="16" t="s">
        <v>2942</v>
      </c>
      <c r="K318" s="39" t="s">
        <v>50</v>
      </c>
      <c r="L318" s="39" t="s">
        <v>2407</v>
      </c>
    </row>
    <row r="319" spans="2:12">
      <c r="B319" s="16" t="s">
        <v>47</v>
      </c>
      <c r="C319" s="46" t="s">
        <v>28</v>
      </c>
      <c r="D319" s="47">
        <v>44687</v>
      </c>
      <c r="F319" s="39"/>
      <c r="G319" s="16"/>
      <c r="I319" s="39" t="s">
        <v>2943</v>
      </c>
      <c r="J319" s="16" t="s">
        <v>2944</v>
      </c>
      <c r="K319" s="39" t="s">
        <v>50</v>
      </c>
      <c r="L319" s="39" t="s">
        <v>2407</v>
      </c>
    </row>
    <row r="320" spans="2:12">
      <c r="B320" s="16" t="s">
        <v>47</v>
      </c>
      <c r="C320" s="46" t="s">
        <v>28</v>
      </c>
      <c r="D320" s="47">
        <v>44687</v>
      </c>
      <c r="F320" s="39"/>
      <c r="G320" s="16"/>
      <c r="I320" s="39" t="s">
        <v>2945</v>
      </c>
      <c r="J320" s="16" t="s">
        <v>2946</v>
      </c>
      <c r="K320" s="39" t="s">
        <v>50</v>
      </c>
      <c r="L320" s="39" t="s">
        <v>2407</v>
      </c>
    </row>
    <row r="321" spans="2:12">
      <c r="B321" s="16" t="s">
        <v>47</v>
      </c>
      <c r="C321" s="46" t="s">
        <v>28</v>
      </c>
      <c r="D321" s="47">
        <v>44701</v>
      </c>
      <c r="F321" s="39"/>
      <c r="G321" s="16"/>
      <c r="I321" s="39" t="s">
        <v>2947</v>
      </c>
      <c r="J321" s="16" t="s">
        <v>2948</v>
      </c>
      <c r="K321" s="39" t="s">
        <v>50</v>
      </c>
      <c r="L321" s="39" t="s">
        <v>2407</v>
      </c>
    </row>
    <row r="322" spans="2:12">
      <c r="B322" s="16" t="s">
        <v>47</v>
      </c>
      <c r="C322" s="46" t="s">
        <v>28</v>
      </c>
      <c r="D322" s="47">
        <v>44701</v>
      </c>
      <c r="F322" s="39"/>
      <c r="G322" s="16"/>
      <c r="I322" s="39" t="s">
        <v>2949</v>
      </c>
      <c r="J322" s="16" t="s">
        <v>2950</v>
      </c>
      <c r="K322" s="39" t="s">
        <v>50</v>
      </c>
      <c r="L322" s="39" t="s">
        <v>2407</v>
      </c>
    </row>
    <row r="323" spans="2:12">
      <c r="B323" s="16" t="s">
        <v>47</v>
      </c>
      <c r="C323" s="46" t="s">
        <v>28</v>
      </c>
      <c r="D323" s="47">
        <v>44722</v>
      </c>
      <c r="F323" s="39"/>
      <c r="G323" s="16"/>
      <c r="I323" s="39" t="s">
        <v>2951</v>
      </c>
      <c r="J323" s="16" t="s">
        <v>2952</v>
      </c>
      <c r="K323" s="39" t="s">
        <v>50</v>
      </c>
      <c r="L323" s="39" t="s">
        <v>2407</v>
      </c>
    </row>
    <row r="324" spans="2:12">
      <c r="B324" s="16" t="s">
        <v>47</v>
      </c>
      <c r="C324" s="46" t="s">
        <v>28</v>
      </c>
      <c r="D324" s="47">
        <v>44722</v>
      </c>
      <c r="F324" s="39"/>
      <c r="G324" s="16"/>
      <c r="I324" s="39" t="s">
        <v>2953</v>
      </c>
      <c r="J324" s="16" t="s">
        <v>2954</v>
      </c>
      <c r="K324" s="39" t="s">
        <v>50</v>
      </c>
      <c r="L324" s="39" t="s">
        <v>2407</v>
      </c>
    </row>
    <row r="325" spans="2:12">
      <c r="B325" s="16" t="s">
        <v>47</v>
      </c>
      <c r="C325" s="46" t="s">
        <v>28</v>
      </c>
      <c r="D325" s="47">
        <v>44722</v>
      </c>
      <c r="F325" s="39"/>
      <c r="G325" s="16"/>
      <c r="I325" s="39" t="s">
        <v>2955</v>
      </c>
      <c r="J325" s="16" t="s">
        <v>2956</v>
      </c>
      <c r="K325" s="39" t="s">
        <v>50</v>
      </c>
      <c r="L325" s="39" t="s">
        <v>2407</v>
      </c>
    </row>
    <row r="326" spans="2:12">
      <c r="B326" s="16" t="s">
        <v>47</v>
      </c>
      <c r="C326" s="46" t="s">
        <v>28</v>
      </c>
      <c r="D326" s="47">
        <v>44722</v>
      </c>
      <c r="F326" s="39"/>
      <c r="G326" s="16"/>
      <c r="I326" s="39" t="s">
        <v>2957</v>
      </c>
      <c r="J326" s="16" t="s">
        <v>2958</v>
      </c>
      <c r="K326" s="39" t="s">
        <v>50</v>
      </c>
      <c r="L326" s="39" t="s">
        <v>2407</v>
      </c>
    </row>
    <row r="327" spans="2:12">
      <c r="B327" s="16" t="s">
        <v>47</v>
      </c>
      <c r="C327" s="46" t="s">
        <v>28</v>
      </c>
      <c r="D327" s="47">
        <v>44722</v>
      </c>
      <c r="F327" s="39"/>
      <c r="G327" s="16"/>
      <c r="I327" s="39" t="s">
        <v>2959</v>
      </c>
      <c r="J327" s="16" t="s">
        <v>2960</v>
      </c>
      <c r="K327" s="39" t="s">
        <v>50</v>
      </c>
      <c r="L327" s="39" t="s">
        <v>2407</v>
      </c>
    </row>
    <row r="328" spans="2:12">
      <c r="B328" s="16" t="s">
        <v>47</v>
      </c>
      <c r="C328" s="46" t="s">
        <v>28</v>
      </c>
      <c r="D328" s="47">
        <v>44722</v>
      </c>
      <c r="F328" s="39"/>
      <c r="G328" s="16"/>
      <c r="I328" s="39" t="s">
        <v>2961</v>
      </c>
      <c r="J328" s="16" t="s">
        <v>2962</v>
      </c>
      <c r="K328" s="39" t="s">
        <v>50</v>
      </c>
      <c r="L328" s="39" t="s">
        <v>2407</v>
      </c>
    </row>
    <row r="329" spans="2:12">
      <c r="B329" s="16" t="s">
        <v>47</v>
      </c>
      <c r="C329" s="46" t="s">
        <v>28</v>
      </c>
      <c r="D329" s="47">
        <v>44722</v>
      </c>
      <c r="F329" s="39"/>
      <c r="G329" s="16"/>
      <c r="I329" s="39" t="s">
        <v>2963</v>
      </c>
      <c r="J329" s="16" t="s">
        <v>2964</v>
      </c>
      <c r="K329" s="39" t="s">
        <v>50</v>
      </c>
      <c r="L329" s="39" t="s">
        <v>2407</v>
      </c>
    </row>
    <row r="330" spans="2:12">
      <c r="B330" s="16" t="s">
        <v>47</v>
      </c>
      <c r="C330" s="46" t="s">
        <v>28</v>
      </c>
      <c r="D330" s="47">
        <v>44722</v>
      </c>
      <c r="F330" s="39"/>
      <c r="G330" s="16"/>
      <c r="I330" s="39" t="s">
        <v>2965</v>
      </c>
      <c r="J330" s="16" t="s">
        <v>2966</v>
      </c>
      <c r="K330" s="39" t="s">
        <v>50</v>
      </c>
      <c r="L330" s="39" t="s">
        <v>2407</v>
      </c>
    </row>
    <row r="331" spans="2:12">
      <c r="B331" s="16" t="s">
        <v>47</v>
      </c>
      <c r="C331" s="46" t="s">
        <v>28</v>
      </c>
      <c r="D331" s="47">
        <v>44722</v>
      </c>
      <c r="F331" s="39"/>
      <c r="G331" s="16"/>
      <c r="I331" s="39" t="s">
        <v>2967</v>
      </c>
      <c r="J331" s="16" t="s">
        <v>2968</v>
      </c>
      <c r="K331" s="39" t="s">
        <v>50</v>
      </c>
      <c r="L331" s="39" t="s">
        <v>2407</v>
      </c>
    </row>
    <row r="332" spans="2:12">
      <c r="B332" s="16" t="s">
        <v>47</v>
      </c>
      <c r="C332" s="46" t="s">
        <v>28</v>
      </c>
      <c r="D332" s="47">
        <v>44722</v>
      </c>
      <c r="F332" s="39"/>
      <c r="G332" s="16"/>
      <c r="I332" s="39" t="s">
        <v>2969</v>
      </c>
      <c r="J332" s="16" t="s">
        <v>2970</v>
      </c>
      <c r="K332" s="39" t="s">
        <v>50</v>
      </c>
      <c r="L332" s="39" t="s">
        <v>2407</v>
      </c>
    </row>
    <row r="333" spans="2:12">
      <c r="B333" s="16" t="s">
        <v>47</v>
      </c>
      <c r="C333" s="46" t="s">
        <v>28</v>
      </c>
      <c r="D333" s="47">
        <v>44736</v>
      </c>
      <c r="F333" s="39"/>
      <c r="G333" s="16"/>
      <c r="I333" s="39" t="s">
        <v>2971</v>
      </c>
      <c r="J333" s="16" t="s">
        <v>2972</v>
      </c>
      <c r="K333" s="39" t="s">
        <v>50</v>
      </c>
      <c r="L333" s="39" t="s">
        <v>2407</v>
      </c>
    </row>
    <row r="334" spans="2:12">
      <c r="B334" s="16" t="s">
        <v>47</v>
      </c>
      <c r="C334" s="46" t="s">
        <v>28</v>
      </c>
      <c r="D334" s="47">
        <v>44736</v>
      </c>
      <c r="F334" s="39"/>
      <c r="G334" s="16"/>
      <c r="I334" s="39" t="s">
        <v>2973</v>
      </c>
      <c r="J334" s="16" t="s">
        <v>2974</v>
      </c>
      <c r="K334" s="39" t="s">
        <v>50</v>
      </c>
      <c r="L334" s="39" t="s">
        <v>2407</v>
      </c>
    </row>
    <row r="335" spans="2:12">
      <c r="B335" s="16" t="s">
        <v>47</v>
      </c>
      <c r="C335" s="46" t="s">
        <v>28</v>
      </c>
      <c r="D335" s="47">
        <v>44736</v>
      </c>
      <c r="F335" s="39"/>
      <c r="G335" s="16"/>
      <c r="I335" s="39" t="s">
        <v>2975</v>
      </c>
      <c r="J335" s="16" t="s">
        <v>2976</v>
      </c>
      <c r="K335" s="39" t="s">
        <v>50</v>
      </c>
      <c r="L335" s="39" t="s">
        <v>2407</v>
      </c>
    </row>
    <row r="336" spans="2:12">
      <c r="B336" s="16" t="s">
        <v>47</v>
      </c>
      <c r="C336" s="46" t="s">
        <v>28</v>
      </c>
      <c r="D336" s="47">
        <v>44736</v>
      </c>
      <c r="F336" s="39"/>
      <c r="G336" s="16"/>
      <c r="I336" s="39" t="s">
        <v>2977</v>
      </c>
      <c r="J336" s="16" t="s">
        <v>2978</v>
      </c>
      <c r="K336" s="39" t="s">
        <v>50</v>
      </c>
      <c r="L336" s="39" t="s">
        <v>2407</v>
      </c>
    </row>
    <row r="337" spans="2:12">
      <c r="B337" s="16" t="s">
        <v>47</v>
      </c>
      <c r="C337" s="46" t="s">
        <v>28</v>
      </c>
      <c r="D337" s="47">
        <v>44736</v>
      </c>
      <c r="F337" s="39"/>
      <c r="G337" s="16"/>
      <c r="I337" s="39" t="s">
        <v>2979</v>
      </c>
      <c r="J337" s="16" t="s">
        <v>2980</v>
      </c>
      <c r="K337" s="39" t="s">
        <v>50</v>
      </c>
      <c r="L337" s="39" t="s">
        <v>2407</v>
      </c>
    </row>
    <row r="338" spans="2:12">
      <c r="B338" s="16" t="s">
        <v>47</v>
      </c>
      <c r="C338" s="46" t="s">
        <v>28</v>
      </c>
      <c r="D338" s="47">
        <v>44736</v>
      </c>
      <c r="F338" s="39"/>
      <c r="G338" s="16"/>
      <c r="I338" s="39" t="s">
        <v>2981</v>
      </c>
      <c r="J338" s="16" t="s">
        <v>2982</v>
      </c>
      <c r="K338" s="39" t="s">
        <v>50</v>
      </c>
      <c r="L338" s="39" t="s">
        <v>2407</v>
      </c>
    </row>
    <row r="339" spans="2:12">
      <c r="B339" s="16" t="s">
        <v>47</v>
      </c>
      <c r="C339" s="46" t="s">
        <v>28</v>
      </c>
      <c r="D339" s="47">
        <v>44743</v>
      </c>
      <c r="F339" s="39"/>
      <c r="G339" s="16"/>
      <c r="I339" s="39" t="s">
        <v>2983</v>
      </c>
      <c r="J339" s="16" t="s">
        <v>2984</v>
      </c>
      <c r="K339" s="39" t="s">
        <v>50</v>
      </c>
      <c r="L339" s="39" t="s">
        <v>2407</v>
      </c>
    </row>
    <row r="340" spans="2:12">
      <c r="B340" s="16" t="s">
        <v>47</v>
      </c>
      <c r="C340" s="46" t="s">
        <v>28</v>
      </c>
      <c r="D340" s="47">
        <v>44743</v>
      </c>
      <c r="F340" s="39"/>
      <c r="G340" s="16"/>
      <c r="I340" s="39" t="s">
        <v>2985</v>
      </c>
      <c r="J340" s="16" t="s">
        <v>2986</v>
      </c>
      <c r="K340" s="39" t="s">
        <v>50</v>
      </c>
      <c r="L340" s="39" t="s">
        <v>2407</v>
      </c>
    </row>
    <row r="341" spans="2:12">
      <c r="B341" s="16" t="s">
        <v>47</v>
      </c>
      <c r="C341" s="46" t="s">
        <v>28</v>
      </c>
      <c r="D341" s="47">
        <v>44743</v>
      </c>
      <c r="F341" s="39"/>
      <c r="G341" s="16"/>
      <c r="I341" s="39" t="s">
        <v>2987</v>
      </c>
      <c r="J341" s="16" t="s">
        <v>2988</v>
      </c>
      <c r="K341" s="39" t="s">
        <v>50</v>
      </c>
      <c r="L341" s="39" t="s">
        <v>2407</v>
      </c>
    </row>
    <row r="342" spans="2:12">
      <c r="B342" s="16" t="s">
        <v>47</v>
      </c>
      <c r="C342" s="46" t="s">
        <v>28</v>
      </c>
      <c r="D342" s="47">
        <v>44743</v>
      </c>
      <c r="F342" s="39"/>
      <c r="G342" s="16"/>
      <c r="I342" s="39" t="s">
        <v>2989</v>
      </c>
      <c r="J342" s="16" t="s">
        <v>2990</v>
      </c>
      <c r="K342" s="39" t="s">
        <v>50</v>
      </c>
      <c r="L342" s="39" t="s">
        <v>2407</v>
      </c>
    </row>
    <row r="343" spans="2:12">
      <c r="B343" s="16" t="s">
        <v>47</v>
      </c>
      <c r="C343" s="46" t="s">
        <v>28</v>
      </c>
      <c r="D343" s="47">
        <v>44743</v>
      </c>
      <c r="F343" s="39"/>
      <c r="G343" s="16"/>
      <c r="I343" s="39" t="s">
        <v>2991</v>
      </c>
      <c r="J343" s="16" t="s">
        <v>2992</v>
      </c>
      <c r="K343" s="39" t="s">
        <v>50</v>
      </c>
      <c r="L343" s="39" t="s">
        <v>2407</v>
      </c>
    </row>
    <row r="344" spans="2:12">
      <c r="B344" s="16" t="s">
        <v>47</v>
      </c>
      <c r="C344" s="46" t="s">
        <v>28</v>
      </c>
      <c r="D344" s="47">
        <v>44764</v>
      </c>
      <c r="F344" s="39"/>
      <c r="G344" s="16"/>
      <c r="I344" s="39">
        <v>10089260</v>
      </c>
      <c r="J344" s="16" t="s">
        <v>2993</v>
      </c>
      <c r="K344" s="39" t="s">
        <v>50</v>
      </c>
      <c r="L344" s="39" t="s">
        <v>2407</v>
      </c>
    </row>
    <row r="345" spans="2:12">
      <c r="B345" s="16" t="s">
        <v>47</v>
      </c>
      <c r="C345" s="46" t="s">
        <v>28</v>
      </c>
      <c r="D345" s="47">
        <v>44764</v>
      </c>
      <c r="F345" s="39"/>
      <c r="G345" s="16"/>
      <c r="I345" s="39">
        <v>10089262</v>
      </c>
      <c r="J345" s="16" t="s">
        <v>2994</v>
      </c>
      <c r="K345" s="39" t="s">
        <v>50</v>
      </c>
      <c r="L345" s="39" t="s">
        <v>2407</v>
      </c>
    </row>
    <row r="346" spans="2:12">
      <c r="B346" s="16" t="s">
        <v>47</v>
      </c>
      <c r="C346" s="46" t="s">
        <v>28</v>
      </c>
      <c r="D346" s="47">
        <v>44764</v>
      </c>
      <c r="F346" s="39"/>
      <c r="G346" s="16"/>
      <c r="I346" s="39">
        <v>10089263</v>
      </c>
      <c r="J346" s="16" t="s">
        <v>2995</v>
      </c>
      <c r="K346" s="39" t="s">
        <v>50</v>
      </c>
      <c r="L346" s="39" t="s">
        <v>2407</v>
      </c>
    </row>
    <row r="347" spans="2:12">
      <c r="B347" s="16" t="s">
        <v>47</v>
      </c>
      <c r="C347" s="46" t="s">
        <v>28</v>
      </c>
      <c r="D347" s="47">
        <v>44764</v>
      </c>
      <c r="F347" s="39"/>
      <c r="G347" s="16"/>
      <c r="I347" s="39">
        <v>10089264</v>
      </c>
      <c r="J347" s="16" t="s">
        <v>2996</v>
      </c>
      <c r="K347" s="39" t="s">
        <v>50</v>
      </c>
      <c r="L347" s="39" t="s">
        <v>2407</v>
      </c>
    </row>
    <row r="348" spans="2:12">
      <c r="B348" s="16" t="s">
        <v>47</v>
      </c>
      <c r="C348" s="46" t="s">
        <v>28</v>
      </c>
      <c r="D348" s="47">
        <v>44771</v>
      </c>
      <c r="F348" s="39"/>
      <c r="G348" s="16"/>
      <c r="I348" s="39" t="s">
        <v>2997</v>
      </c>
      <c r="J348" s="16" t="s">
        <v>2998</v>
      </c>
      <c r="K348" s="39" t="s">
        <v>50</v>
      </c>
      <c r="L348" s="39" t="s">
        <v>2407</v>
      </c>
    </row>
    <row r="349" spans="2:12">
      <c r="B349" s="16" t="s">
        <v>47</v>
      </c>
      <c r="C349" s="46" t="s">
        <v>28</v>
      </c>
      <c r="D349" s="47">
        <v>44771</v>
      </c>
      <c r="F349" s="39"/>
      <c r="G349" s="16"/>
      <c r="I349" s="39" t="s">
        <v>2999</v>
      </c>
      <c r="J349" s="16" t="s">
        <v>3000</v>
      </c>
      <c r="K349" s="39" t="s">
        <v>50</v>
      </c>
      <c r="L349" s="39" t="s">
        <v>2407</v>
      </c>
    </row>
    <row r="350" spans="2:12">
      <c r="B350" s="16" t="s">
        <v>47</v>
      </c>
      <c r="C350" s="46" t="s">
        <v>28</v>
      </c>
      <c r="D350" s="47">
        <v>44792</v>
      </c>
      <c r="F350" s="39"/>
      <c r="G350" s="16"/>
      <c r="I350" s="39" t="s">
        <v>3001</v>
      </c>
      <c r="J350" s="16" t="s">
        <v>3002</v>
      </c>
      <c r="K350" s="39" t="s">
        <v>50</v>
      </c>
      <c r="L350" s="39" t="s">
        <v>2407</v>
      </c>
    </row>
    <row r="351" spans="2:12">
      <c r="B351" s="16" t="s">
        <v>47</v>
      </c>
      <c r="C351" s="46" t="s">
        <v>28</v>
      </c>
      <c r="D351" s="47">
        <v>44792</v>
      </c>
      <c r="F351" s="39"/>
      <c r="G351" s="16"/>
      <c r="I351" s="39" t="s">
        <v>3003</v>
      </c>
      <c r="J351" s="16" t="s">
        <v>3004</v>
      </c>
      <c r="K351" s="39" t="s">
        <v>50</v>
      </c>
      <c r="L351" s="39" t="s">
        <v>2516</v>
      </c>
    </row>
    <row r="352" spans="2:12">
      <c r="B352" s="16" t="s">
        <v>47</v>
      </c>
      <c r="C352" s="46" t="s">
        <v>28</v>
      </c>
      <c r="D352" s="47">
        <v>44792</v>
      </c>
      <c r="F352" s="39"/>
      <c r="G352" s="16"/>
      <c r="I352" s="39" t="s">
        <v>3005</v>
      </c>
      <c r="J352" s="16" t="s">
        <v>3006</v>
      </c>
      <c r="K352" s="39" t="s">
        <v>50</v>
      </c>
      <c r="L352" s="39" t="s">
        <v>2407</v>
      </c>
    </row>
    <row r="353" spans="2:12">
      <c r="B353" s="16" t="s">
        <v>47</v>
      </c>
      <c r="C353" s="46" t="s">
        <v>28</v>
      </c>
      <c r="D353" s="47">
        <v>44813</v>
      </c>
      <c r="F353" s="39"/>
      <c r="G353" s="16"/>
      <c r="I353" s="39" t="s">
        <v>3007</v>
      </c>
      <c r="J353" s="16" t="s">
        <v>3008</v>
      </c>
      <c r="K353" s="39" t="s">
        <v>50</v>
      </c>
      <c r="L353" s="39" t="s">
        <v>2407</v>
      </c>
    </row>
    <row r="354" spans="2:12">
      <c r="B354" s="16" t="s">
        <v>47</v>
      </c>
      <c r="C354" s="46" t="s">
        <v>28</v>
      </c>
      <c r="D354" s="47">
        <v>44813</v>
      </c>
      <c r="F354" s="39"/>
      <c r="G354" s="16"/>
      <c r="I354" s="39">
        <v>10089971</v>
      </c>
      <c r="J354" s="16" t="s">
        <v>3009</v>
      </c>
      <c r="K354" s="39" t="s">
        <v>50</v>
      </c>
      <c r="L354" s="39" t="s">
        <v>2407</v>
      </c>
    </row>
    <row r="355" spans="2:12">
      <c r="B355" s="16" t="s">
        <v>47</v>
      </c>
      <c r="C355" s="46" t="s">
        <v>28</v>
      </c>
      <c r="D355" s="47">
        <v>44813</v>
      </c>
      <c r="F355" s="39"/>
      <c r="G355" s="16"/>
      <c r="I355" s="39" t="s">
        <v>3010</v>
      </c>
      <c r="J355" s="16" t="s">
        <v>3011</v>
      </c>
      <c r="K355" s="39" t="s">
        <v>50</v>
      </c>
      <c r="L355" s="39" t="s">
        <v>2516</v>
      </c>
    </row>
    <row r="356" spans="2:12">
      <c r="B356" s="16" t="s">
        <v>47</v>
      </c>
      <c r="C356" s="46" t="s">
        <v>28</v>
      </c>
      <c r="D356" s="47">
        <v>44813</v>
      </c>
      <c r="F356" s="39"/>
      <c r="G356" s="16"/>
      <c r="I356" s="39" t="s">
        <v>3012</v>
      </c>
      <c r="J356" s="16" t="s">
        <v>3013</v>
      </c>
      <c r="K356" s="39" t="s">
        <v>50</v>
      </c>
      <c r="L356" s="39" t="s">
        <v>2407</v>
      </c>
    </row>
    <row r="357" spans="2:12">
      <c r="B357" s="16" t="s">
        <v>47</v>
      </c>
      <c r="C357" s="46" t="s">
        <v>28</v>
      </c>
      <c r="D357" s="47">
        <v>44841</v>
      </c>
      <c r="F357" s="39"/>
      <c r="G357" s="16"/>
      <c r="I357" s="39" t="s">
        <v>3014</v>
      </c>
      <c r="J357" s="16" t="s">
        <v>3015</v>
      </c>
      <c r="K357" s="39" t="s">
        <v>50</v>
      </c>
      <c r="L357" s="39" t="s">
        <v>2516</v>
      </c>
    </row>
    <row r="358" spans="2:12">
      <c r="B358" s="16" t="s">
        <v>47</v>
      </c>
      <c r="C358" s="46" t="s">
        <v>28</v>
      </c>
      <c r="D358" s="47">
        <v>44841</v>
      </c>
      <c r="F358" s="39"/>
      <c r="G358" s="16"/>
      <c r="I358" s="39" t="s">
        <v>3016</v>
      </c>
      <c r="J358" s="16" t="s">
        <v>3017</v>
      </c>
      <c r="K358" s="39" t="s">
        <v>50</v>
      </c>
      <c r="L358" s="39" t="s">
        <v>2516</v>
      </c>
    </row>
    <row r="359" spans="2:12">
      <c r="B359" s="16" t="s">
        <v>47</v>
      </c>
      <c r="C359" s="46" t="s">
        <v>28</v>
      </c>
      <c r="D359" s="47">
        <v>44841</v>
      </c>
      <c r="F359" s="39"/>
      <c r="G359" s="16"/>
      <c r="I359" s="39" t="s">
        <v>3018</v>
      </c>
      <c r="J359" s="16" t="s">
        <v>3019</v>
      </c>
      <c r="K359" s="39" t="s">
        <v>50</v>
      </c>
      <c r="L359" s="39" t="s">
        <v>2407</v>
      </c>
    </row>
    <row r="360" spans="2:12">
      <c r="B360" s="16" t="s">
        <v>47</v>
      </c>
      <c r="C360" s="46" t="s">
        <v>28</v>
      </c>
      <c r="D360" s="47">
        <v>44848</v>
      </c>
      <c r="F360" s="39"/>
      <c r="G360" s="16"/>
      <c r="I360" s="39" t="s">
        <v>3020</v>
      </c>
      <c r="J360" s="16" t="s">
        <v>3021</v>
      </c>
      <c r="K360" s="39" t="s">
        <v>50</v>
      </c>
      <c r="L360" s="39" t="s">
        <v>2516</v>
      </c>
    </row>
    <row r="361" spans="2:12">
      <c r="B361" s="16" t="s">
        <v>47</v>
      </c>
      <c r="C361" s="46" t="s">
        <v>28</v>
      </c>
      <c r="D361" s="47">
        <v>44848</v>
      </c>
      <c r="F361" s="39"/>
      <c r="G361" s="16"/>
      <c r="I361" s="39" t="s">
        <v>3022</v>
      </c>
      <c r="J361" s="16" t="s">
        <v>3023</v>
      </c>
      <c r="K361" s="39" t="s">
        <v>50</v>
      </c>
      <c r="L361" s="39" t="s">
        <v>2407</v>
      </c>
    </row>
    <row r="362" spans="2:12">
      <c r="B362" s="16" t="s">
        <v>47</v>
      </c>
      <c r="C362" s="46" t="s">
        <v>28</v>
      </c>
      <c r="D362" s="47">
        <v>44855</v>
      </c>
      <c r="F362" s="39"/>
      <c r="G362" s="16"/>
      <c r="I362" s="39" t="s">
        <v>3024</v>
      </c>
      <c r="J362" s="16" t="s">
        <v>3025</v>
      </c>
      <c r="K362" s="39" t="s">
        <v>50</v>
      </c>
      <c r="L362" s="39" t="s">
        <v>2407</v>
      </c>
    </row>
    <row r="363" spans="2:12">
      <c r="B363" s="16" t="s">
        <v>47</v>
      </c>
      <c r="C363" s="46" t="s">
        <v>28</v>
      </c>
      <c r="D363" s="47">
        <v>44855</v>
      </c>
      <c r="F363" s="39"/>
      <c r="G363" s="16"/>
      <c r="I363" s="39" t="s">
        <v>3026</v>
      </c>
      <c r="J363" s="16" t="s">
        <v>3027</v>
      </c>
      <c r="K363" s="39" t="s">
        <v>50</v>
      </c>
      <c r="L363" s="39" t="s">
        <v>2407</v>
      </c>
    </row>
    <row r="364" spans="2:12">
      <c r="B364" s="16" t="s">
        <v>47</v>
      </c>
      <c r="C364" s="46" t="s">
        <v>28</v>
      </c>
      <c r="D364" s="47">
        <v>44855</v>
      </c>
      <c r="F364" s="39"/>
      <c r="G364" s="16"/>
      <c r="I364" s="39" t="s">
        <v>3028</v>
      </c>
      <c r="J364" s="16" t="s">
        <v>3029</v>
      </c>
      <c r="K364" s="39" t="s">
        <v>50</v>
      </c>
      <c r="L364" s="39" t="s">
        <v>2407</v>
      </c>
    </row>
    <row r="365" spans="2:12">
      <c r="B365" s="16" t="s">
        <v>47</v>
      </c>
      <c r="C365" s="46" t="s">
        <v>28</v>
      </c>
      <c r="D365" s="47">
        <v>44855</v>
      </c>
      <c r="F365" s="39"/>
      <c r="G365" s="16"/>
      <c r="I365" s="39" t="s">
        <v>3030</v>
      </c>
      <c r="J365" s="16" t="s">
        <v>3031</v>
      </c>
      <c r="K365" s="39" t="s">
        <v>50</v>
      </c>
      <c r="L365" s="39" t="s">
        <v>2407</v>
      </c>
    </row>
    <row r="366" spans="2:12">
      <c r="B366" s="16" t="s">
        <v>47</v>
      </c>
      <c r="C366" s="46" t="s">
        <v>28</v>
      </c>
      <c r="D366" s="47">
        <v>44855</v>
      </c>
      <c r="F366" s="39"/>
      <c r="G366" s="16"/>
      <c r="I366" s="39" t="s">
        <v>3032</v>
      </c>
      <c r="J366" s="16" t="s">
        <v>3033</v>
      </c>
      <c r="K366" s="39" t="s">
        <v>50</v>
      </c>
      <c r="L366" s="39" t="s">
        <v>2407</v>
      </c>
    </row>
    <row r="367" spans="2:12">
      <c r="B367" s="16" t="s">
        <v>47</v>
      </c>
      <c r="C367" s="46" t="s">
        <v>28</v>
      </c>
      <c r="D367" s="47">
        <v>44855</v>
      </c>
      <c r="F367" s="39"/>
      <c r="G367" s="16"/>
      <c r="I367" s="39" t="s">
        <v>3034</v>
      </c>
      <c r="J367" s="16" t="s">
        <v>3035</v>
      </c>
      <c r="K367" s="39" t="s">
        <v>50</v>
      </c>
      <c r="L367" s="39" t="s">
        <v>2407</v>
      </c>
    </row>
    <row r="368" spans="2:12">
      <c r="B368" s="16" t="s">
        <v>47</v>
      </c>
      <c r="C368" s="46" t="s">
        <v>28</v>
      </c>
      <c r="D368" s="47">
        <v>44869</v>
      </c>
      <c r="F368" s="39"/>
      <c r="G368" s="16"/>
      <c r="I368" s="39" t="s">
        <v>3036</v>
      </c>
      <c r="J368" s="16" t="s">
        <v>3037</v>
      </c>
      <c r="K368" s="39" t="s">
        <v>50</v>
      </c>
      <c r="L368" s="39" t="s">
        <v>2407</v>
      </c>
    </row>
    <row r="369" spans="2:12">
      <c r="B369" s="16" t="s">
        <v>47</v>
      </c>
      <c r="C369" s="46" t="s">
        <v>28</v>
      </c>
      <c r="D369" s="47">
        <v>44883</v>
      </c>
      <c r="F369" s="39"/>
      <c r="G369" s="16"/>
      <c r="I369" s="39" t="s">
        <v>3038</v>
      </c>
      <c r="J369" s="16" t="s">
        <v>3039</v>
      </c>
      <c r="K369" s="39" t="s">
        <v>50</v>
      </c>
      <c r="L369" s="39" t="s">
        <v>2407</v>
      </c>
    </row>
    <row r="370" spans="2:12">
      <c r="B370" s="16" t="s">
        <v>47</v>
      </c>
      <c r="C370" s="46" t="s">
        <v>28</v>
      </c>
      <c r="D370" s="47">
        <v>44883</v>
      </c>
      <c r="F370" s="39"/>
      <c r="G370" s="16"/>
      <c r="I370" s="39" t="s">
        <v>3040</v>
      </c>
      <c r="J370" s="16" t="s">
        <v>3041</v>
      </c>
      <c r="K370" s="39" t="s">
        <v>50</v>
      </c>
      <c r="L370" s="39" t="s">
        <v>2407</v>
      </c>
    </row>
    <row r="371" spans="2:12">
      <c r="B371" s="16" t="s">
        <v>47</v>
      </c>
      <c r="C371" s="46" t="s">
        <v>28</v>
      </c>
      <c r="D371" s="47">
        <v>44883</v>
      </c>
      <c r="F371" s="39"/>
      <c r="G371" s="16"/>
      <c r="I371" s="39" t="s">
        <v>3042</v>
      </c>
      <c r="J371" s="16" t="s">
        <v>3043</v>
      </c>
      <c r="K371" s="39" t="s">
        <v>50</v>
      </c>
      <c r="L371" s="39" t="s">
        <v>2407</v>
      </c>
    </row>
    <row r="372" spans="2:12">
      <c r="B372" s="16" t="s">
        <v>47</v>
      </c>
      <c r="C372" s="46" t="s">
        <v>28</v>
      </c>
      <c r="D372" s="47">
        <v>44883</v>
      </c>
      <c r="F372" s="39"/>
      <c r="G372" s="16"/>
      <c r="I372" s="39" t="s">
        <v>3044</v>
      </c>
      <c r="J372" s="16" t="s">
        <v>3045</v>
      </c>
      <c r="K372" s="39" t="s">
        <v>50</v>
      </c>
      <c r="L372" s="39" t="s">
        <v>2407</v>
      </c>
    </row>
    <row r="373" spans="2:12">
      <c r="B373" s="16" t="s">
        <v>47</v>
      </c>
      <c r="C373" s="46" t="s">
        <v>28</v>
      </c>
      <c r="D373" s="47">
        <v>44883</v>
      </c>
      <c r="F373" s="39"/>
      <c r="G373" s="16"/>
      <c r="I373" s="39" t="s">
        <v>3046</v>
      </c>
      <c r="J373" s="16" t="s">
        <v>3047</v>
      </c>
      <c r="K373" s="39" t="s">
        <v>50</v>
      </c>
      <c r="L373" s="39" t="s">
        <v>2407</v>
      </c>
    </row>
    <row r="374" spans="2:12">
      <c r="B374" s="16" t="s">
        <v>47</v>
      </c>
      <c r="C374" s="46" t="s">
        <v>28</v>
      </c>
      <c r="D374" s="47">
        <v>44883</v>
      </c>
      <c r="F374" s="39"/>
      <c r="G374" s="16"/>
      <c r="I374" s="39" t="s">
        <v>3048</v>
      </c>
      <c r="J374" s="16" t="s">
        <v>3049</v>
      </c>
      <c r="K374" s="39" t="s">
        <v>50</v>
      </c>
      <c r="L374" s="39" t="s">
        <v>2407</v>
      </c>
    </row>
    <row r="375" spans="2:12">
      <c r="B375" s="16" t="s">
        <v>47</v>
      </c>
      <c r="C375" s="46" t="s">
        <v>28</v>
      </c>
      <c r="D375" s="47">
        <v>44883</v>
      </c>
      <c r="F375" s="39"/>
      <c r="G375" s="16"/>
      <c r="I375" s="39" t="s">
        <v>3050</v>
      </c>
      <c r="J375" s="16" t="s">
        <v>3051</v>
      </c>
      <c r="K375" s="39" t="s">
        <v>50</v>
      </c>
      <c r="L375" s="39" t="s">
        <v>2407</v>
      </c>
    </row>
    <row r="376" spans="2:12">
      <c r="B376" s="16" t="s">
        <v>47</v>
      </c>
      <c r="C376" s="46" t="s">
        <v>28</v>
      </c>
      <c r="D376" s="47">
        <v>44890</v>
      </c>
      <c r="F376" s="39"/>
      <c r="G376" s="16"/>
      <c r="I376" s="39" t="s">
        <v>3052</v>
      </c>
      <c r="J376" s="16" t="s">
        <v>3053</v>
      </c>
      <c r="K376" s="39" t="s">
        <v>50</v>
      </c>
      <c r="L376" s="39" t="s">
        <v>2407</v>
      </c>
    </row>
    <row r="377" spans="2:12">
      <c r="B377" s="16" t="s">
        <v>47</v>
      </c>
      <c r="C377" s="46" t="s">
        <v>28</v>
      </c>
      <c r="D377" s="47">
        <v>44897</v>
      </c>
      <c r="F377" s="39"/>
      <c r="G377" s="16"/>
      <c r="I377" s="39" t="s">
        <v>3054</v>
      </c>
      <c r="J377" s="16" t="s">
        <v>3055</v>
      </c>
      <c r="K377" s="39" t="s">
        <v>50</v>
      </c>
      <c r="L377" s="39" t="s">
        <v>2407</v>
      </c>
    </row>
    <row r="378" spans="2:12">
      <c r="B378" s="16" t="s">
        <v>47</v>
      </c>
      <c r="C378" s="46" t="s">
        <v>28</v>
      </c>
      <c r="D378" s="47">
        <v>44918</v>
      </c>
      <c r="F378" s="39"/>
      <c r="G378" s="16"/>
      <c r="I378" s="39" t="s">
        <v>3056</v>
      </c>
      <c r="J378" s="16" t="s">
        <v>3057</v>
      </c>
      <c r="K378" s="39" t="s">
        <v>50</v>
      </c>
      <c r="L378" s="39" t="s">
        <v>2407</v>
      </c>
    </row>
    <row r="379" spans="2:12">
      <c r="B379" s="16" t="s">
        <v>47</v>
      </c>
      <c r="C379" s="46" t="s">
        <v>28</v>
      </c>
      <c r="D379" s="47">
        <v>44946</v>
      </c>
      <c r="F379" s="39"/>
      <c r="G379" s="16"/>
      <c r="I379" s="39" t="s">
        <v>3058</v>
      </c>
      <c r="J379" s="16" t="s">
        <v>3059</v>
      </c>
      <c r="K379" s="39" t="s">
        <v>50</v>
      </c>
      <c r="L379" s="39" t="s">
        <v>2407</v>
      </c>
    </row>
    <row r="380" spans="2:12">
      <c r="B380" s="16" t="s">
        <v>47</v>
      </c>
      <c r="C380" s="46" t="s">
        <v>28</v>
      </c>
      <c r="D380" s="47">
        <v>44967</v>
      </c>
      <c r="F380" s="39"/>
      <c r="G380" s="16"/>
      <c r="I380" s="39" t="s">
        <v>3060</v>
      </c>
      <c r="J380" s="16" t="s">
        <v>3061</v>
      </c>
      <c r="K380" s="39" t="s">
        <v>50</v>
      </c>
      <c r="L380" s="39" t="s">
        <v>2407</v>
      </c>
    </row>
    <row r="381" spans="2:12">
      <c r="B381" s="16" t="s">
        <v>47</v>
      </c>
      <c r="C381" s="46" t="s">
        <v>28</v>
      </c>
      <c r="D381" s="47">
        <v>44967</v>
      </c>
      <c r="F381" s="39"/>
      <c r="G381" s="16"/>
      <c r="I381" s="39" t="s">
        <v>3062</v>
      </c>
      <c r="J381" s="16" t="s">
        <v>3063</v>
      </c>
      <c r="K381" s="39" t="s">
        <v>50</v>
      </c>
      <c r="L381" s="39" t="s">
        <v>2407</v>
      </c>
    </row>
    <row r="382" spans="2:12">
      <c r="B382" s="16" t="s">
        <v>47</v>
      </c>
      <c r="C382" s="46" t="s">
        <v>28</v>
      </c>
      <c r="D382" s="47">
        <v>44967</v>
      </c>
      <c r="F382" s="39"/>
      <c r="G382" s="16"/>
      <c r="I382" s="39" t="s">
        <v>3064</v>
      </c>
      <c r="J382" s="16" t="s">
        <v>3065</v>
      </c>
      <c r="K382" s="39" t="s">
        <v>50</v>
      </c>
      <c r="L382" s="39" t="s">
        <v>2407</v>
      </c>
    </row>
    <row r="383" spans="2:12">
      <c r="B383" s="16" t="s">
        <v>47</v>
      </c>
      <c r="C383" s="46" t="s">
        <v>28</v>
      </c>
      <c r="D383" s="47">
        <v>44967</v>
      </c>
      <c r="F383" s="39"/>
      <c r="G383" s="16"/>
      <c r="I383" s="39" t="s">
        <v>3066</v>
      </c>
      <c r="J383" s="16" t="s">
        <v>3067</v>
      </c>
      <c r="K383" s="39" t="s">
        <v>50</v>
      </c>
      <c r="L383" s="39" t="s">
        <v>2407</v>
      </c>
    </row>
    <row r="384" spans="2:12">
      <c r="B384" s="16" t="s">
        <v>47</v>
      </c>
      <c r="C384" s="46" t="s">
        <v>28</v>
      </c>
      <c r="D384" s="47">
        <v>44967</v>
      </c>
      <c r="F384" s="39"/>
      <c r="G384" s="16"/>
      <c r="I384" s="39" t="s">
        <v>3068</v>
      </c>
      <c r="J384" s="16" t="s">
        <v>3069</v>
      </c>
      <c r="K384" s="39" t="s">
        <v>50</v>
      </c>
      <c r="L384" s="39" t="s">
        <v>2407</v>
      </c>
    </row>
    <row r="385" spans="2:12">
      <c r="B385" s="16" t="s">
        <v>47</v>
      </c>
      <c r="C385" s="46" t="s">
        <v>28</v>
      </c>
      <c r="D385" s="47">
        <v>44967</v>
      </c>
      <c r="F385" s="39"/>
      <c r="G385" s="16"/>
      <c r="I385" s="39" t="s">
        <v>3070</v>
      </c>
      <c r="J385" s="16" t="s">
        <v>3071</v>
      </c>
      <c r="K385" s="39" t="s">
        <v>50</v>
      </c>
      <c r="L385" s="39" t="s">
        <v>2407</v>
      </c>
    </row>
    <row r="386" spans="2:12">
      <c r="B386" s="16" t="s">
        <v>47</v>
      </c>
      <c r="C386" s="46" t="s">
        <v>28</v>
      </c>
      <c r="D386" s="47">
        <v>44967</v>
      </c>
      <c r="F386" s="39"/>
      <c r="G386" s="16"/>
      <c r="I386" s="39" t="s">
        <v>3072</v>
      </c>
      <c r="J386" s="16" t="s">
        <v>3073</v>
      </c>
      <c r="K386" s="39" t="s">
        <v>50</v>
      </c>
      <c r="L386" s="39" t="s">
        <v>2407</v>
      </c>
    </row>
    <row r="387" spans="2:12">
      <c r="B387" s="16" t="s">
        <v>47</v>
      </c>
      <c r="C387" s="46" t="s">
        <v>28</v>
      </c>
      <c r="D387" s="47">
        <v>44967</v>
      </c>
      <c r="F387" s="39"/>
      <c r="G387" s="16"/>
      <c r="I387" s="39" t="s">
        <v>3074</v>
      </c>
      <c r="J387" s="16" t="s">
        <v>3075</v>
      </c>
      <c r="K387" s="39" t="s">
        <v>50</v>
      </c>
      <c r="L387" s="39" t="s">
        <v>2407</v>
      </c>
    </row>
    <row r="388" spans="2:12">
      <c r="B388" s="16" t="s">
        <v>47</v>
      </c>
      <c r="C388" s="46" t="s">
        <v>28</v>
      </c>
      <c r="D388" s="47">
        <v>44967</v>
      </c>
      <c r="F388" s="39"/>
      <c r="G388" s="16"/>
      <c r="I388" s="39" t="s">
        <v>3076</v>
      </c>
      <c r="J388" s="16" t="s">
        <v>3077</v>
      </c>
      <c r="K388" s="39" t="s">
        <v>50</v>
      </c>
      <c r="L388" s="39" t="s">
        <v>2407</v>
      </c>
    </row>
    <row r="389" spans="2:12">
      <c r="B389" s="16" t="s">
        <v>47</v>
      </c>
      <c r="C389" s="46" t="s">
        <v>28</v>
      </c>
      <c r="D389" s="47">
        <v>44967</v>
      </c>
      <c r="F389" s="39"/>
      <c r="G389" s="16"/>
      <c r="I389" s="39" t="s">
        <v>3078</v>
      </c>
      <c r="J389" s="16" t="s">
        <v>3079</v>
      </c>
      <c r="K389" s="39" t="s">
        <v>50</v>
      </c>
      <c r="L389" s="39" t="s">
        <v>2407</v>
      </c>
    </row>
    <row r="390" spans="2:12">
      <c r="B390" s="16" t="s">
        <v>47</v>
      </c>
      <c r="C390" s="46" t="s">
        <v>28</v>
      </c>
      <c r="D390" s="47">
        <v>44967</v>
      </c>
      <c r="F390" s="39"/>
      <c r="G390" s="16"/>
      <c r="I390" s="39" t="s">
        <v>3080</v>
      </c>
      <c r="J390" s="16" t="s">
        <v>3081</v>
      </c>
      <c r="K390" s="39" t="s">
        <v>50</v>
      </c>
      <c r="L390" s="39" t="s">
        <v>2407</v>
      </c>
    </row>
    <row r="391" spans="2:12">
      <c r="B391" s="16" t="s">
        <v>47</v>
      </c>
      <c r="C391" s="46" t="s">
        <v>28</v>
      </c>
      <c r="D391" s="47">
        <v>44967</v>
      </c>
      <c r="F391" s="39"/>
      <c r="G391" s="16"/>
      <c r="I391" s="39" t="s">
        <v>3082</v>
      </c>
      <c r="J391" s="16" t="s">
        <v>3083</v>
      </c>
      <c r="K391" s="39" t="s">
        <v>50</v>
      </c>
      <c r="L391" s="39" t="s">
        <v>2407</v>
      </c>
    </row>
    <row r="392" spans="2:12">
      <c r="B392" s="16" t="s">
        <v>47</v>
      </c>
      <c r="C392" s="46" t="s">
        <v>28</v>
      </c>
      <c r="D392" s="47">
        <v>44981</v>
      </c>
      <c r="F392" s="39"/>
      <c r="G392" s="16"/>
      <c r="I392" s="39" t="s">
        <v>3084</v>
      </c>
      <c r="J392" s="16" t="s">
        <v>3085</v>
      </c>
      <c r="K392" s="39" t="s">
        <v>50</v>
      </c>
      <c r="L392" s="39" t="s">
        <v>2407</v>
      </c>
    </row>
    <row r="393" spans="2:12">
      <c r="B393" s="16" t="s">
        <v>47</v>
      </c>
      <c r="C393" s="46" t="s">
        <v>28</v>
      </c>
      <c r="D393" s="47">
        <v>44981</v>
      </c>
      <c r="F393" s="39"/>
      <c r="G393" s="16"/>
      <c r="I393" s="39" t="s">
        <v>3086</v>
      </c>
      <c r="J393" s="16" t="s">
        <v>3087</v>
      </c>
      <c r="K393" s="39" t="s">
        <v>50</v>
      </c>
      <c r="L393" s="39" t="s">
        <v>2407</v>
      </c>
    </row>
    <row r="394" spans="2:12">
      <c r="B394" s="16" t="s">
        <v>47</v>
      </c>
      <c r="C394" s="46" t="s">
        <v>28</v>
      </c>
      <c r="D394" s="47">
        <v>44988</v>
      </c>
      <c r="F394" s="39"/>
      <c r="G394" s="16"/>
      <c r="I394" s="39" t="s">
        <v>3088</v>
      </c>
      <c r="J394" s="16" t="s">
        <v>3089</v>
      </c>
      <c r="K394" s="39" t="s">
        <v>50</v>
      </c>
      <c r="L394" s="39" t="s">
        <v>2407</v>
      </c>
    </row>
    <row r="395" spans="2:12">
      <c r="B395" s="16" t="s">
        <v>47</v>
      </c>
      <c r="C395" s="46" t="s">
        <v>28</v>
      </c>
      <c r="D395" s="47">
        <v>44988</v>
      </c>
      <c r="F395" s="39"/>
      <c r="G395" s="16"/>
      <c r="I395" s="39" t="s">
        <v>3090</v>
      </c>
      <c r="J395" s="16" t="s">
        <v>3091</v>
      </c>
      <c r="K395" s="39" t="s">
        <v>50</v>
      </c>
      <c r="L395" s="39" t="s">
        <v>2407</v>
      </c>
    </row>
    <row r="396" spans="2:12">
      <c r="B396" s="16" t="s">
        <v>47</v>
      </c>
      <c r="C396" s="46" t="s">
        <v>28</v>
      </c>
      <c r="D396" s="47">
        <v>44988</v>
      </c>
      <c r="F396" s="39"/>
      <c r="G396" s="16"/>
      <c r="I396" s="39" t="s">
        <v>3092</v>
      </c>
      <c r="J396" s="16" t="s">
        <v>3093</v>
      </c>
      <c r="K396" s="39" t="s">
        <v>50</v>
      </c>
      <c r="L396" s="39" t="s">
        <v>2407</v>
      </c>
    </row>
    <row r="397" spans="2:12">
      <c r="B397" s="16" t="s">
        <v>47</v>
      </c>
      <c r="C397" s="46" t="s">
        <v>28</v>
      </c>
      <c r="D397" s="47">
        <v>45002</v>
      </c>
      <c r="F397" s="39"/>
      <c r="G397" s="16"/>
      <c r="I397" s="39" t="s">
        <v>3094</v>
      </c>
      <c r="J397" s="16" t="s">
        <v>3095</v>
      </c>
      <c r="K397" s="39" t="s">
        <v>50</v>
      </c>
      <c r="L397" s="39" t="s">
        <v>2407</v>
      </c>
    </row>
    <row r="398" spans="2:12">
      <c r="B398" s="16" t="s">
        <v>47</v>
      </c>
      <c r="C398" s="46" t="s">
        <v>28</v>
      </c>
      <c r="D398" s="47">
        <v>45009</v>
      </c>
      <c r="F398" s="39"/>
      <c r="G398" s="16"/>
      <c r="I398" s="39" t="s">
        <v>3096</v>
      </c>
      <c r="J398" s="16" t="s">
        <v>3097</v>
      </c>
      <c r="K398" s="39" t="s">
        <v>50</v>
      </c>
      <c r="L398" s="39" t="s">
        <v>2407</v>
      </c>
    </row>
    <row r="399" spans="2:12">
      <c r="B399" s="16" t="s">
        <v>47</v>
      </c>
      <c r="C399" s="46" t="s">
        <v>28</v>
      </c>
      <c r="D399" s="47">
        <v>45009</v>
      </c>
      <c r="F399" s="39"/>
      <c r="G399" s="16"/>
      <c r="I399" s="39" t="s">
        <v>3098</v>
      </c>
      <c r="J399" s="16" t="s">
        <v>3099</v>
      </c>
      <c r="K399" s="39" t="s">
        <v>50</v>
      </c>
      <c r="L399" s="39" t="s">
        <v>2407</v>
      </c>
    </row>
    <row r="400" spans="2:12">
      <c r="B400" s="16" t="s">
        <v>47</v>
      </c>
      <c r="C400" s="46" t="s">
        <v>28</v>
      </c>
      <c r="D400" s="47">
        <v>45022</v>
      </c>
      <c r="F400" s="39"/>
      <c r="G400" s="16"/>
      <c r="I400" s="39" t="s">
        <v>3100</v>
      </c>
      <c r="J400" s="16" t="s">
        <v>3101</v>
      </c>
      <c r="K400" s="39" t="s">
        <v>50</v>
      </c>
      <c r="L400" s="39" t="s">
        <v>2407</v>
      </c>
    </row>
    <row r="401" spans="2:12">
      <c r="B401" s="16" t="s">
        <v>47</v>
      </c>
      <c r="C401" s="46" t="s">
        <v>28</v>
      </c>
      <c r="D401" s="47">
        <v>45030</v>
      </c>
      <c r="F401" s="39"/>
      <c r="G401" s="16"/>
      <c r="I401" s="39" t="s">
        <v>3102</v>
      </c>
      <c r="J401" s="16" t="s">
        <v>3103</v>
      </c>
      <c r="K401" s="39" t="s">
        <v>50</v>
      </c>
      <c r="L401" s="39" t="s">
        <v>2407</v>
      </c>
    </row>
    <row r="402" spans="2:12">
      <c r="B402" s="16" t="s">
        <v>47</v>
      </c>
      <c r="C402" s="46" t="s">
        <v>28</v>
      </c>
      <c r="D402" s="47">
        <v>45030</v>
      </c>
      <c r="F402" s="39"/>
      <c r="G402" s="16"/>
      <c r="I402" s="39" t="s">
        <v>3104</v>
      </c>
      <c r="J402" s="16" t="s">
        <v>3105</v>
      </c>
      <c r="K402" s="39" t="s">
        <v>50</v>
      </c>
      <c r="L402" s="39" t="s">
        <v>2407</v>
      </c>
    </row>
    <row r="403" spans="2:12">
      <c r="B403" s="16" t="s">
        <v>47</v>
      </c>
      <c r="C403" s="46" t="s">
        <v>28</v>
      </c>
      <c r="D403" s="47">
        <v>45030</v>
      </c>
      <c r="F403" s="39"/>
      <c r="G403" s="16"/>
      <c r="I403" s="39" t="s">
        <v>3106</v>
      </c>
      <c r="J403" s="16" t="s">
        <v>3107</v>
      </c>
      <c r="K403" s="39" t="s">
        <v>50</v>
      </c>
      <c r="L403" s="39" t="s">
        <v>2407</v>
      </c>
    </row>
    <row r="404" spans="2:12">
      <c r="B404" s="16" t="s">
        <v>47</v>
      </c>
      <c r="C404" s="46" t="s">
        <v>28</v>
      </c>
      <c r="D404" s="47">
        <v>45051</v>
      </c>
      <c r="F404" s="39"/>
      <c r="G404" s="16"/>
      <c r="I404" s="39" t="s">
        <v>3108</v>
      </c>
      <c r="J404" s="16" t="s">
        <v>3109</v>
      </c>
      <c r="K404" s="39" t="s">
        <v>50</v>
      </c>
      <c r="L404" s="39" t="s">
        <v>2407</v>
      </c>
    </row>
    <row r="405" spans="2:12">
      <c r="B405" s="16" t="s">
        <v>47</v>
      </c>
      <c r="C405" s="46" t="s">
        <v>28</v>
      </c>
      <c r="D405" s="47">
        <v>45058</v>
      </c>
      <c r="F405" s="39"/>
      <c r="G405" s="16"/>
      <c r="I405" s="39" t="s">
        <v>3110</v>
      </c>
      <c r="J405" s="16" t="s">
        <v>3111</v>
      </c>
      <c r="K405" s="39" t="s">
        <v>50</v>
      </c>
      <c r="L405" s="39" t="s">
        <v>2407</v>
      </c>
    </row>
    <row r="406" spans="2:12">
      <c r="B406" s="16" t="s">
        <v>47</v>
      </c>
      <c r="C406" s="46" t="s">
        <v>28</v>
      </c>
      <c r="D406" s="47">
        <v>45121</v>
      </c>
      <c r="F406" s="39"/>
      <c r="G406" s="16"/>
      <c r="I406" s="39" t="s">
        <v>3112</v>
      </c>
      <c r="J406" s="16" t="s">
        <v>3113</v>
      </c>
      <c r="K406" s="39" t="s">
        <v>50</v>
      </c>
      <c r="L406" s="39" t="s">
        <v>2407</v>
      </c>
    </row>
    <row r="407" spans="2:12">
      <c r="B407" s="16" t="s">
        <v>47</v>
      </c>
      <c r="C407" s="46" t="s">
        <v>28</v>
      </c>
      <c r="D407" s="47">
        <v>45121</v>
      </c>
      <c r="F407" s="39"/>
      <c r="G407" s="16"/>
      <c r="I407" s="39" t="s">
        <v>3114</v>
      </c>
      <c r="J407" s="16" t="s">
        <v>3115</v>
      </c>
      <c r="K407" s="39" t="s">
        <v>50</v>
      </c>
      <c r="L407" s="39" t="s">
        <v>2407</v>
      </c>
    </row>
    <row r="408" spans="2:12">
      <c r="B408" s="16" t="s">
        <v>47</v>
      </c>
      <c r="C408" s="46" t="s">
        <v>28</v>
      </c>
      <c r="D408" s="47">
        <v>45121</v>
      </c>
      <c r="F408" s="39"/>
      <c r="G408" s="16"/>
      <c r="I408" s="39" t="s">
        <v>3116</v>
      </c>
      <c r="J408" s="16" t="s">
        <v>3117</v>
      </c>
      <c r="K408" s="39" t="s">
        <v>50</v>
      </c>
      <c r="L408" s="39" t="s">
        <v>2407</v>
      </c>
    </row>
    <row r="409" spans="2:12">
      <c r="B409" s="16" t="s">
        <v>47</v>
      </c>
      <c r="C409" s="46" t="s">
        <v>28</v>
      </c>
      <c r="D409" s="47">
        <v>45121</v>
      </c>
      <c r="F409" s="39"/>
      <c r="G409" s="16"/>
      <c r="I409" s="39" t="s">
        <v>3118</v>
      </c>
      <c r="J409" s="16" t="s">
        <v>3119</v>
      </c>
      <c r="K409" s="39" t="s">
        <v>50</v>
      </c>
      <c r="L409" s="39" t="s">
        <v>2407</v>
      </c>
    </row>
    <row r="410" spans="2:12">
      <c r="B410" s="16" t="s">
        <v>47</v>
      </c>
      <c r="C410" s="46" t="s">
        <v>28</v>
      </c>
      <c r="D410" s="47">
        <v>45121</v>
      </c>
      <c r="F410" s="39"/>
      <c r="G410" s="16"/>
      <c r="I410" s="39" t="s">
        <v>3120</v>
      </c>
      <c r="J410" s="16" t="s">
        <v>3121</v>
      </c>
      <c r="K410" s="39" t="s">
        <v>50</v>
      </c>
      <c r="L410" s="39" t="s">
        <v>2407</v>
      </c>
    </row>
    <row r="411" spans="2:12">
      <c r="B411" s="16" t="s">
        <v>47</v>
      </c>
      <c r="C411" s="46" t="s">
        <v>28</v>
      </c>
      <c r="D411" s="47">
        <v>45121</v>
      </c>
      <c r="F411" s="39"/>
      <c r="G411" s="16"/>
      <c r="I411" s="39" t="s">
        <v>3122</v>
      </c>
      <c r="J411" s="16" t="s">
        <v>3123</v>
      </c>
      <c r="K411" s="39" t="s">
        <v>50</v>
      </c>
      <c r="L411" s="39" t="s">
        <v>2407</v>
      </c>
    </row>
    <row r="412" spans="2:12">
      <c r="B412" s="16" t="s">
        <v>47</v>
      </c>
      <c r="C412" s="46" t="s">
        <v>28</v>
      </c>
      <c r="D412" s="47">
        <v>45121</v>
      </c>
      <c r="F412" s="39"/>
      <c r="G412" s="16"/>
      <c r="I412" s="39" t="s">
        <v>3124</v>
      </c>
      <c r="J412" s="16" t="s">
        <v>3125</v>
      </c>
      <c r="K412" s="39" t="s">
        <v>50</v>
      </c>
      <c r="L412" s="39" t="s">
        <v>2407</v>
      </c>
    </row>
    <row r="413" spans="2:12">
      <c r="B413" s="16" t="s">
        <v>47</v>
      </c>
      <c r="C413" s="46" t="s">
        <v>28</v>
      </c>
      <c r="D413" s="47">
        <v>45121</v>
      </c>
      <c r="F413" s="39"/>
      <c r="G413" s="16"/>
      <c r="I413" s="39" t="s">
        <v>3126</v>
      </c>
      <c r="J413" s="16" t="s">
        <v>3127</v>
      </c>
      <c r="K413" s="39" t="s">
        <v>50</v>
      </c>
      <c r="L413" s="39" t="s">
        <v>2407</v>
      </c>
    </row>
    <row r="414" spans="2:12">
      <c r="B414" s="16" t="s">
        <v>47</v>
      </c>
      <c r="C414" s="46" t="s">
        <v>28</v>
      </c>
      <c r="D414" s="47">
        <v>45121</v>
      </c>
      <c r="F414" s="39"/>
      <c r="G414" s="16"/>
      <c r="I414" s="39" t="s">
        <v>3128</v>
      </c>
      <c r="J414" s="16" t="s">
        <v>3129</v>
      </c>
      <c r="K414" s="39" t="s">
        <v>50</v>
      </c>
      <c r="L414" s="39" t="s">
        <v>2407</v>
      </c>
    </row>
    <row r="415" spans="2:12">
      <c r="B415" s="16" t="s">
        <v>47</v>
      </c>
      <c r="C415" s="46" t="s">
        <v>28</v>
      </c>
      <c r="D415" s="47">
        <v>45121</v>
      </c>
      <c r="F415" s="39"/>
      <c r="G415" s="16"/>
      <c r="I415" s="39" t="s">
        <v>3130</v>
      </c>
      <c r="J415" s="16" t="s">
        <v>3131</v>
      </c>
      <c r="K415" s="39" t="s">
        <v>50</v>
      </c>
      <c r="L415" s="39" t="s">
        <v>2407</v>
      </c>
    </row>
    <row r="416" spans="2:12">
      <c r="B416" s="16" t="s">
        <v>47</v>
      </c>
      <c r="C416" s="46" t="s">
        <v>28</v>
      </c>
      <c r="D416" s="47">
        <v>45121</v>
      </c>
      <c r="F416" s="39"/>
      <c r="G416" s="16"/>
      <c r="I416" s="39" t="s">
        <v>3132</v>
      </c>
      <c r="J416" s="16" t="s">
        <v>3133</v>
      </c>
      <c r="K416" s="39" t="s">
        <v>50</v>
      </c>
      <c r="L416" s="39" t="s">
        <v>2407</v>
      </c>
    </row>
    <row r="417" spans="2:12">
      <c r="B417" s="16" t="s">
        <v>47</v>
      </c>
      <c r="C417" s="46" t="s">
        <v>28</v>
      </c>
      <c r="D417" s="47">
        <v>45121</v>
      </c>
      <c r="F417" s="39"/>
      <c r="G417" s="16"/>
      <c r="I417" s="39" t="s">
        <v>3134</v>
      </c>
      <c r="J417" s="16" t="s">
        <v>3135</v>
      </c>
      <c r="K417" s="39" t="s">
        <v>50</v>
      </c>
      <c r="L417" s="39" t="s">
        <v>2407</v>
      </c>
    </row>
    <row r="418" spans="2:12">
      <c r="B418" s="16" t="s">
        <v>47</v>
      </c>
      <c r="C418" s="46" t="s">
        <v>28</v>
      </c>
      <c r="D418" s="47">
        <v>45121</v>
      </c>
      <c r="F418" s="39"/>
      <c r="G418" s="16"/>
      <c r="I418" s="39" t="s">
        <v>3136</v>
      </c>
      <c r="J418" s="16" t="s">
        <v>3137</v>
      </c>
      <c r="K418" s="39" t="s">
        <v>50</v>
      </c>
      <c r="L418" s="39" t="s">
        <v>2407</v>
      </c>
    </row>
    <row r="419" spans="2:12">
      <c r="B419" s="16" t="s">
        <v>47</v>
      </c>
      <c r="C419" s="46" t="s">
        <v>28</v>
      </c>
      <c r="D419" s="47">
        <v>45121</v>
      </c>
      <c r="F419" s="39"/>
      <c r="G419" s="16"/>
      <c r="I419" s="39" t="s">
        <v>3138</v>
      </c>
      <c r="J419" s="16" t="s">
        <v>3139</v>
      </c>
      <c r="K419" s="39" t="s">
        <v>50</v>
      </c>
      <c r="L419" s="39" t="s">
        <v>2407</v>
      </c>
    </row>
    <row r="420" spans="2:12">
      <c r="B420" s="16" t="s">
        <v>47</v>
      </c>
      <c r="C420" s="46" t="s">
        <v>28</v>
      </c>
      <c r="D420" s="47">
        <v>45121</v>
      </c>
      <c r="F420" s="39"/>
      <c r="G420" s="16"/>
      <c r="I420" s="39" t="s">
        <v>3140</v>
      </c>
      <c r="J420" s="16" t="s">
        <v>3141</v>
      </c>
      <c r="K420" s="39" t="s">
        <v>50</v>
      </c>
      <c r="L420" s="39" t="s">
        <v>2407</v>
      </c>
    </row>
    <row r="421" spans="2:12">
      <c r="B421" s="16" t="s">
        <v>47</v>
      </c>
      <c r="C421" s="46" t="s">
        <v>28</v>
      </c>
      <c r="D421" s="47">
        <v>45156</v>
      </c>
      <c r="F421" s="39"/>
      <c r="G421" s="16"/>
      <c r="I421" s="39">
        <v>10093178</v>
      </c>
      <c r="J421" s="16" t="s">
        <v>3142</v>
      </c>
      <c r="K421" s="39" t="s">
        <v>50</v>
      </c>
      <c r="L421" s="39" t="s">
        <v>2407</v>
      </c>
    </row>
    <row r="422" spans="2:12">
      <c r="B422" s="16" t="s">
        <v>47</v>
      </c>
      <c r="C422" s="46" t="s">
        <v>28</v>
      </c>
      <c r="D422" s="47">
        <v>45156</v>
      </c>
      <c r="F422" s="39"/>
      <c r="G422" s="16"/>
      <c r="I422" s="39" t="s">
        <v>3143</v>
      </c>
      <c r="J422" s="16" t="s">
        <v>3144</v>
      </c>
      <c r="K422" s="39" t="s">
        <v>50</v>
      </c>
      <c r="L422" s="39" t="s">
        <v>2407</v>
      </c>
    </row>
    <row r="423" spans="2:12">
      <c r="B423" s="16" t="s">
        <v>47</v>
      </c>
      <c r="C423" s="46" t="s">
        <v>28</v>
      </c>
      <c r="D423" s="47">
        <v>45156</v>
      </c>
      <c r="F423" s="39"/>
      <c r="G423" s="16"/>
      <c r="I423" s="39" t="s">
        <v>3145</v>
      </c>
      <c r="J423" s="16" t="s">
        <v>3146</v>
      </c>
      <c r="K423" s="39" t="s">
        <v>50</v>
      </c>
      <c r="L423" s="39" t="s">
        <v>2407</v>
      </c>
    </row>
    <row r="424" spans="2:12">
      <c r="B424" s="16" t="s">
        <v>47</v>
      </c>
      <c r="C424" s="46" t="s">
        <v>28</v>
      </c>
      <c r="D424" s="47">
        <v>45156</v>
      </c>
      <c r="F424" s="39"/>
      <c r="G424" s="16"/>
      <c r="I424" s="39" t="s">
        <v>3147</v>
      </c>
      <c r="J424" s="16" t="s">
        <v>3148</v>
      </c>
      <c r="K424" s="39" t="s">
        <v>50</v>
      </c>
      <c r="L424" s="39" t="s">
        <v>2407</v>
      </c>
    </row>
    <row r="425" spans="2:12">
      <c r="B425" s="16" t="s">
        <v>47</v>
      </c>
      <c r="C425" s="46" t="s">
        <v>28</v>
      </c>
      <c r="D425" s="47">
        <v>45156</v>
      </c>
      <c r="F425" s="39"/>
      <c r="G425" s="16"/>
      <c r="I425" s="39" t="s">
        <v>3149</v>
      </c>
      <c r="J425" s="16" t="s">
        <v>3150</v>
      </c>
      <c r="K425" s="39" t="s">
        <v>50</v>
      </c>
      <c r="L425" s="39" t="s">
        <v>2407</v>
      </c>
    </row>
    <row r="426" spans="2:12">
      <c r="B426" s="16" t="s">
        <v>47</v>
      </c>
      <c r="C426" s="46" t="s">
        <v>28</v>
      </c>
      <c r="D426" s="47">
        <v>45156</v>
      </c>
      <c r="F426" s="39"/>
      <c r="G426" s="16"/>
      <c r="I426" s="39" t="s">
        <v>3151</v>
      </c>
      <c r="J426" s="16" t="s">
        <v>3152</v>
      </c>
      <c r="K426" s="39" t="s">
        <v>50</v>
      </c>
      <c r="L426" s="39" t="s">
        <v>2407</v>
      </c>
    </row>
    <row r="427" spans="2:12">
      <c r="B427" s="16" t="s">
        <v>47</v>
      </c>
      <c r="C427" s="46" t="s">
        <v>28</v>
      </c>
      <c r="D427" s="47">
        <v>45156</v>
      </c>
      <c r="F427" s="39"/>
      <c r="G427" s="16"/>
      <c r="I427" s="39" t="s">
        <v>3153</v>
      </c>
      <c r="J427" s="16" t="s">
        <v>3154</v>
      </c>
      <c r="K427" s="39" t="s">
        <v>50</v>
      </c>
      <c r="L427" s="39" t="s">
        <v>2407</v>
      </c>
    </row>
    <row r="428" spans="2:12">
      <c r="B428" s="16" t="s">
        <v>47</v>
      </c>
      <c r="C428" s="46" t="s">
        <v>28</v>
      </c>
      <c r="D428" s="47">
        <v>45156</v>
      </c>
      <c r="F428" s="39"/>
      <c r="G428" s="16"/>
      <c r="I428" s="39" t="s">
        <v>3155</v>
      </c>
      <c r="J428" s="16" t="s">
        <v>3156</v>
      </c>
      <c r="K428" s="39" t="s">
        <v>50</v>
      </c>
      <c r="L428" s="39" t="s">
        <v>2407</v>
      </c>
    </row>
    <row r="429" spans="2:12">
      <c r="B429" s="16" t="s">
        <v>47</v>
      </c>
      <c r="C429" s="46" t="s">
        <v>28</v>
      </c>
      <c r="D429" s="47">
        <v>45156</v>
      </c>
      <c r="F429" s="39"/>
      <c r="G429" s="16"/>
      <c r="I429" s="39" t="s">
        <v>3157</v>
      </c>
      <c r="J429" s="16" t="s">
        <v>3158</v>
      </c>
      <c r="K429" s="39" t="s">
        <v>50</v>
      </c>
      <c r="L429" s="39" t="s">
        <v>2407</v>
      </c>
    </row>
    <row r="430" spans="2:12">
      <c r="B430" s="16" t="s">
        <v>47</v>
      </c>
      <c r="C430" s="46" t="s">
        <v>28</v>
      </c>
      <c r="D430" s="47">
        <v>45156</v>
      </c>
      <c r="F430" s="39"/>
      <c r="G430" s="16"/>
      <c r="I430" s="39" t="s">
        <v>3159</v>
      </c>
      <c r="J430" s="16" t="s">
        <v>3160</v>
      </c>
      <c r="K430" s="39" t="s">
        <v>50</v>
      </c>
      <c r="L430" s="39" t="s">
        <v>2407</v>
      </c>
    </row>
    <row r="431" spans="2:12">
      <c r="B431" s="16" t="s">
        <v>47</v>
      </c>
      <c r="C431" s="46" t="s">
        <v>28</v>
      </c>
      <c r="D431" s="47">
        <v>45156</v>
      </c>
      <c r="F431" s="39"/>
      <c r="G431" s="16"/>
      <c r="I431" s="39" t="s">
        <v>3161</v>
      </c>
      <c r="J431" s="16" t="s">
        <v>3162</v>
      </c>
      <c r="K431" s="39" t="s">
        <v>50</v>
      </c>
      <c r="L431" s="39" t="s">
        <v>2407</v>
      </c>
    </row>
    <row r="432" spans="2:12">
      <c r="B432" s="16" t="s">
        <v>47</v>
      </c>
      <c r="C432" s="46" t="s">
        <v>28</v>
      </c>
      <c r="D432" s="47">
        <v>45156</v>
      </c>
      <c r="F432" s="39"/>
      <c r="G432" s="16"/>
      <c r="I432" s="39" t="s">
        <v>3163</v>
      </c>
      <c r="J432" s="16" t="s">
        <v>3164</v>
      </c>
      <c r="K432" s="39" t="s">
        <v>50</v>
      </c>
      <c r="L432" s="39" t="s">
        <v>2407</v>
      </c>
    </row>
    <row r="433" spans="2:12">
      <c r="B433" s="16" t="s">
        <v>47</v>
      </c>
      <c r="C433" s="46" t="s">
        <v>28</v>
      </c>
      <c r="D433" s="47">
        <v>45156</v>
      </c>
      <c r="F433" s="39"/>
      <c r="G433" s="16"/>
      <c r="I433" s="39" t="s">
        <v>3165</v>
      </c>
      <c r="J433" s="16" t="s">
        <v>3166</v>
      </c>
      <c r="K433" s="39" t="s">
        <v>50</v>
      </c>
      <c r="L433" s="39" t="s">
        <v>2407</v>
      </c>
    </row>
    <row r="434" spans="2:12">
      <c r="B434" s="16" t="s">
        <v>47</v>
      </c>
      <c r="C434" s="46" t="s">
        <v>28</v>
      </c>
      <c r="D434" s="47">
        <v>45156</v>
      </c>
      <c r="F434" s="39"/>
      <c r="G434" s="16"/>
      <c r="I434" s="39" t="s">
        <v>3167</v>
      </c>
      <c r="J434" s="16" t="s">
        <v>3168</v>
      </c>
      <c r="K434" s="39" t="s">
        <v>50</v>
      </c>
      <c r="L434" s="39" t="s">
        <v>2407</v>
      </c>
    </row>
    <row r="435" spans="2:12">
      <c r="B435" s="16" t="s">
        <v>47</v>
      </c>
      <c r="C435" s="46" t="s">
        <v>28</v>
      </c>
      <c r="D435" s="47">
        <v>45169</v>
      </c>
      <c r="F435" s="39"/>
      <c r="G435" s="16"/>
      <c r="I435" s="39" t="s">
        <v>3169</v>
      </c>
      <c r="J435" s="16" t="s">
        <v>3170</v>
      </c>
      <c r="K435" s="39" t="s">
        <v>50</v>
      </c>
      <c r="L435" s="39" t="s">
        <v>2407</v>
      </c>
    </row>
    <row r="436" spans="2:12">
      <c r="B436" s="16" t="s">
        <v>47</v>
      </c>
      <c r="C436" s="46" t="s">
        <v>28</v>
      </c>
      <c r="D436" s="47">
        <v>45169</v>
      </c>
      <c r="F436" s="39"/>
      <c r="G436" s="16"/>
      <c r="I436" s="39" t="s">
        <v>3171</v>
      </c>
      <c r="J436" s="16" t="s">
        <v>3172</v>
      </c>
      <c r="K436" s="39" t="s">
        <v>50</v>
      </c>
      <c r="L436" s="39" t="s">
        <v>2407</v>
      </c>
    </row>
    <row r="437" spans="2:12">
      <c r="B437" s="16" t="s">
        <v>47</v>
      </c>
      <c r="C437" s="46" t="s">
        <v>28</v>
      </c>
      <c r="D437" s="47">
        <v>45169</v>
      </c>
      <c r="F437" s="39"/>
      <c r="G437" s="16"/>
      <c r="I437" s="39">
        <v>10093245</v>
      </c>
      <c r="J437" s="16" t="s">
        <v>3173</v>
      </c>
      <c r="K437" s="39" t="s">
        <v>50</v>
      </c>
      <c r="L437" s="39" t="s">
        <v>2407</v>
      </c>
    </row>
    <row r="438" spans="2:12">
      <c r="B438" s="16" t="s">
        <v>47</v>
      </c>
      <c r="C438" s="46" t="s">
        <v>28</v>
      </c>
      <c r="D438" s="47">
        <v>45169</v>
      </c>
      <c r="F438" s="39"/>
      <c r="G438" s="16"/>
      <c r="I438" s="39" t="s">
        <v>3174</v>
      </c>
      <c r="J438" s="16" t="s">
        <v>3175</v>
      </c>
      <c r="K438" s="39" t="s">
        <v>50</v>
      </c>
      <c r="L438" s="39" t="s">
        <v>2407</v>
      </c>
    </row>
    <row r="439" spans="2:12">
      <c r="B439" s="16" t="s">
        <v>47</v>
      </c>
      <c r="C439" s="46" t="s">
        <v>28</v>
      </c>
      <c r="D439" s="47">
        <v>45169</v>
      </c>
      <c r="F439" s="39"/>
      <c r="G439" s="16"/>
      <c r="I439" s="39" t="s">
        <v>3176</v>
      </c>
      <c r="J439" s="16" t="s">
        <v>3177</v>
      </c>
      <c r="K439" s="39" t="s">
        <v>50</v>
      </c>
      <c r="L439" s="39" t="s">
        <v>2407</v>
      </c>
    </row>
    <row r="440" spans="2:12">
      <c r="B440" s="16" t="s">
        <v>47</v>
      </c>
      <c r="C440" s="46" t="s">
        <v>28</v>
      </c>
      <c r="D440" s="47">
        <v>45177</v>
      </c>
      <c r="F440" s="39"/>
      <c r="G440" s="16"/>
      <c r="I440" s="39">
        <v>10093290</v>
      </c>
      <c r="J440" s="16" t="s">
        <v>3178</v>
      </c>
      <c r="K440" s="39" t="s">
        <v>50</v>
      </c>
      <c r="L440" s="39" t="s">
        <v>2407</v>
      </c>
    </row>
    <row r="441" spans="2:12">
      <c r="B441" s="16" t="s">
        <v>47</v>
      </c>
      <c r="C441" s="46" t="s">
        <v>28</v>
      </c>
      <c r="D441" s="47">
        <v>45177</v>
      </c>
      <c r="F441" s="39"/>
      <c r="G441" s="16"/>
      <c r="I441" s="39">
        <v>10093289</v>
      </c>
      <c r="J441" s="16" t="s">
        <v>3179</v>
      </c>
      <c r="K441" s="39" t="s">
        <v>50</v>
      </c>
      <c r="L441" s="39" t="s">
        <v>2407</v>
      </c>
    </row>
    <row r="442" spans="2:12">
      <c r="B442" s="16" t="s">
        <v>47</v>
      </c>
      <c r="C442" s="46" t="s">
        <v>28</v>
      </c>
      <c r="D442" s="47">
        <v>45184</v>
      </c>
      <c r="F442" s="39"/>
      <c r="G442" s="16"/>
      <c r="I442" s="39" t="s">
        <v>3180</v>
      </c>
      <c r="J442" s="16" t="s">
        <v>3181</v>
      </c>
      <c r="K442" s="39" t="s">
        <v>50</v>
      </c>
      <c r="L442" s="39" t="s">
        <v>2407</v>
      </c>
    </row>
    <row r="443" spans="2:12">
      <c r="B443" s="16" t="s">
        <v>47</v>
      </c>
      <c r="C443" s="46" t="s">
        <v>28</v>
      </c>
      <c r="D443" s="47">
        <v>45184</v>
      </c>
      <c r="F443" s="39"/>
      <c r="G443" s="16"/>
      <c r="I443" s="39" t="s">
        <v>3182</v>
      </c>
      <c r="J443" s="16" t="s">
        <v>3183</v>
      </c>
      <c r="K443" s="39" t="s">
        <v>50</v>
      </c>
      <c r="L443" s="39" t="s">
        <v>2407</v>
      </c>
    </row>
    <row r="444" spans="2:12">
      <c r="B444" s="16" t="s">
        <v>47</v>
      </c>
      <c r="C444" s="46" t="s">
        <v>28</v>
      </c>
      <c r="D444" s="47">
        <v>45184</v>
      </c>
      <c r="F444" s="39"/>
      <c r="G444" s="16"/>
      <c r="I444" s="39" t="s">
        <v>3184</v>
      </c>
      <c r="J444" s="16" t="s">
        <v>3185</v>
      </c>
      <c r="K444" s="39" t="s">
        <v>50</v>
      </c>
      <c r="L444" s="39" t="s">
        <v>2407</v>
      </c>
    </row>
    <row r="445" spans="2:12">
      <c r="B445" s="16" t="s">
        <v>47</v>
      </c>
      <c r="C445" s="46" t="s">
        <v>28</v>
      </c>
      <c r="D445" s="47">
        <v>45191</v>
      </c>
      <c r="F445" s="39"/>
      <c r="G445" s="16"/>
      <c r="I445" s="39" t="s">
        <v>3186</v>
      </c>
      <c r="J445" s="16" t="s">
        <v>3187</v>
      </c>
      <c r="K445" s="39" t="s">
        <v>50</v>
      </c>
      <c r="L445" s="39" t="s">
        <v>2407</v>
      </c>
    </row>
    <row r="446" spans="2:12">
      <c r="B446" s="16" t="s">
        <v>47</v>
      </c>
      <c r="C446" s="46" t="s">
        <v>28</v>
      </c>
      <c r="D446" s="47">
        <v>45198</v>
      </c>
      <c r="F446" s="39"/>
      <c r="G446" s="16"/>
      <c r="I446" s="22" t="s">
        <v>3188</v>
      </c>
      <c r="J446" s="21" t="s">
        <v>3189</v>
      </c>
      <c r="K446" s="39" t="s">
        <v>50</v>
      </c>
      <c r="L446" s="39" t="s">
        <v>2407</v>
      </c>
    </row>
    <row r="447" spans="2:12">
      <c r="B447" s="16" t="s">
        <v>47</v>
      </c>
      <c r="C447" s="46" t="s">
        <v>28</v>
      </c>
      <c r="D447" s="47">
        <v>45198</v>
      </c>
      <c r="F447" s="39"/>
      <c r="G447" s="16"/>
      <c r="I447" s="39" t="s">
        <v>3190</v>
      </c>
      <c r="J447" s="16" t="s">
        <v>3191</v>
      </c>
      <c r="K447" s="39" t="s">
        <v>50</v>
      </c>
      <c r="L447" s="39" t="s">
        <v>2407</v>
      </c>
    </row>
    <row r="448" spans="2:12">
      <c r="B448" s="16" t="s">
        <v>47</v>
      </c>
      <c r="C448" s="46" t="s">
        <v>28</v>
      </c>
      <c r="D448" s="47">
        <v>45212</v>
      </c>
      <c r="F448" s="39"/>
      <c r="G448" s="16"/>
      <c r="I448" s="39" t="s">
        <v>3192</v>
      </c>
      <c r="J448" s="16" t="s">
        <v>3193</v>
      </c>
      <c r="K448" s="39" t="s">
        <v>50</v>
      </c>
      <c r="L448" s="39" t="s">
        <v>2407</v>
      </c>
    </row>
    <row r="449" spans="2:12">
      <c r="B449" s="16" t="s">
        <v>47</v>
      </c>
      <c r="C449" s="46" t="s">
        <v>28</v>
      </c>
      <c r="D449" s="47">
        <v>45212</v>
      </c>
      <c r="F449" s="39"/>
      <c r="G449" s="16"/>
      <c r="I449" s="39" t="s">
        <v>3194</v>
      </c>
      <c r="J449" s="16" t="s">
        <v>3195</v>
      </c>
      <c r="K449" s="39" t="s">
        <v>50</v>
      </c>
      <c r="L449" s="39" t="s">
        <v>2407</v>
      </c>
    </row>
    <row r="450" spans="2:12">
      <c r="B450" s="16" t="s">
        <v>47</v>
      </c>
      <c r="C450" s="46" t="s">
        <v>28</v>
      </c>
      <c r="D450" s="47">
        <v>45212</v>
      </c>
      <c r="F450" s="39"/>
      <c r="G450" s="16"/>
      <c r="I450" s="39" t="s">
        <v>3196</v>
      </c>
      <c r="J450" s="16" t="s">
        <v>3197</v>
      </c>
      <c r="K450" s="39" t="s">
        <v>50</v>
      </c>
      <c r="L450" s="39" t="s">
        <v>2407</v>
      </c>
    </row>
    <row r="451" spans="2:12">
      <c r="B451" s="16" t="s">
        <v>47</v>
      </c>
      <c r="C451" s="46" t="s">
        <v>28</v>
      </c>
      <c r="D451" s="47">
        <v>45212</v>
      </c>
      <c r="F451" s="39"/>
      <c r="G451" s="16"/>
      <c r="I451" s="39" t="s">
        <v>3198</v>
      </c>
      <c r="J451" s="16" t="s">
        <v>3199</v>
      </c>
      <c r="K451" s="39" t="s">
        <v>50</v>
      </c>
      <c r="L451" s="39" t="s">
        <v>2407</v>
      </c>
    </row>
    <row r="452" spans="2:12">
      <c r="B452" s="16" t="s">
        <v>47</v>
      </c>
      <c r="C452" s="46" t="s">
        <v>28</v>
      </c>
      <c r="D452" s="47">
        <v>45212</v>
      </c>
      <c r="F452" s="39"/>
      <c r="G452" s="16"/>
      <c r="I452" s="39" t="s">
        <v>3200</v>
      </c>
      <c r="J452" s="16" t="s">
        <v>3201</v>
      </c>
      <c r="K452" s="39" t="s">
        <v>50</v>
      </c>
      <c r="L452" s="39" t="s">
        <v>2407</v>
      </c>
    </row>
    <row r="453" spans="2:12">
      <c r="B453" s="16" t="s">
        <v>47</v>
      </c>
      <c r="C453" s="80" t="s">
        <v>28</v>
      </c>
      <c r="D453" s="81">
        <v>45219</v>
      </c>
      <c r="E453" s="107"/>
      <c r="F453" s="82"/>
      <c r="G453" s="78"/>
      <c r="H453" s="107"/>
      <c r="I453" s="82">
        <v>10093680</v>
      </c>
      <c r="J453" s="78" t="s">
        <v>3202</v>
      </c>
      <c r="K453" s="39" t="s">
        <v>50</v>
      </c>
      <c r="L453" s="39" t="s">
        <v>2516</v>
      </c>
    </row>
    <row r="454" spans="2:12">
      <c r="B454" s="16" t="s">
        <v>47</v>
      </c>
      <c r="C454" s="80" t="s">
        <v>28</v>
      </c>
      <c r="D454" s="81">
        <v>45219</v>
      </c>
      <c r="E454" s="107"/>
      <c r="F454" s="82"/>
      <c r="G454" s="78"/>
      <c r="H454" s="107"/>
      <c r="I454" s="82" t="s">
        <v>3203</v>
      </c>
      <c r="J454" s="78" t="s">
        <v>3204</v>
      </c>
      <c r="K454" s="39" t="s">
        <v>50</v>
      </c>
      <c r="L454" s="39" t="s">
        <v>2516</v>
      </c>
    </row>
    <row r="455" spans="2:12">
      <c r="B455" s="16" t="s">
        <v>47</v>
      </c>
      <c r="C455" s="80" t="s">
        <v>28</v>
      </c>
      <c r="D455" s="81">
        <v>45219</v>
      </c>
      <c r="E455" s="107"/>
      <c r="F455" s="82"/>
      <c r="G455" s="78"/>
      <c r="H455" s="107"/>
      <c r="I455" s="82" t="s">
        <v>3205</v>
      </c>
      <c r="J455" s="78" t="s">
        <v>3206</v>
      </c>
      <c r="K455" s="39" t="s">
        <v>50</v>
      </c>
      <c r="L455" s="39" t="s">
        <v>2516</v>
      </c>
    </row>
    <row r="456" spans="2:12">
      <c r="B456" s="16" t="s">
        <v>47</v>
      </c>
      <c r="C456" s="80" t="s">
        <v>28</v>
      </c>
      <c r="D456" s="81">
        <v>45233</v>
      </c>
      <c r="E456" s="107"/>
      <c r="F456" s="82"/>
      <c r="G456" s="78"/>
      <c r="H456" s="107"/>
      <c r="I456" s="82" t="s">
        <v>3207</v>
      </c>
      <c r="J456" s="78" t="s">
        <v>3208</v>
      </c>
      <c r="K456" s="39" t="s">
        <v>50</v>
      </c>
      <c r="L456" s="39" t="s">
        <v>2407</v>
      </c>
    </row>
    <row r="457" spans="2:12">
      <c r="B457" s="16" t="s">
        <v>47</v>
      </c>
      <c r="C457" s="80" t="s">
        <v>28</v>
      </c>
      <c r="D457" s="81">
        <v>45233</v>
      </c>
      <c r="E457" s="107"/>
      <c r="F457" s="82"/>
      <c r="G457" s="78"/>
      <c r="H457" s="107"/>
      <c r="I457" s="82" t="s">
        <v>3209</v>
      </c>
      <c r="J457" s="78" t="s">
        <v>3210</v>
      </c>
      <c r="K457" s="39" t="s">
        <v>50</v>
      </c>
      <c r="L457" s="39" t="s">
        <v>2407</v>
      </c>
    </row>
    <row r="458" spans="2:12">
      <c r="B458" s="16" t="s">
        <v>47</v>
      </c>
      <c r="C458" s="80" t="s">
        <v>28</v>
      </c>
      <c r="D458" s="81">
        <v>45233</v>
      </c>
      <c r="E458" s="107"/>
      <c r="F458" s="82"/>
      <c r="G458" s="78"/>
      <c r="H458" s="107"/>
      <c r="I458" s="82" t="s">
        <v>3211</v>
      </c>
      <c r="J458" s="78" t="s">
        <v>3212</v>
      </c>
      <c r="K458" s="39" t="s">
        <v>50</v>
      </c>
      <c r="L458" s="39" t="s">
        <v>2407</v>
      </c>
    </row>
    <row r="459" spans="2:12">
      <c r="B459" s="16" t="s">
        <v>47</v>
      </c>
      <c r="C459" s="80" t="s">
        <v>28</v>
      </c>
      <c r="D459" s="81">
        <v>45233</v>
      </c>
      <c r="E459" s="107"/>
      <c r="F459" s="82"/>
      <c r="G459" s="78"/>
      <c r="H459" s="107"/>
      <c r="I459" s="82" t="s">
        <v>3213</v>
      </c>
      <c r="J459" s="78" t="s">
        <v>3214</v>
      </c>
      <c r="K459" s="39" t="s">
        <v>50</v>
      </c>
      <c r="L459" s="39" t="s">
        <v>2407</v>
      </c>
    </row>
    <row r="460" spans="2:12">
      <c r="B460" s="16" t="s">
        <v>47</v>
      </c>
      <c r="C460" s="80" t="s">
        <v>28</v>
      </c>
      <c r="D460" s="81">
        <v>45233</v>
      </c>
      <c r="E460" s="107"/>
      <c r="F460" s="82"/>
      <c r="G460" s="78"/>
      <c r="H460" s="107"/>
      <c r="I460" s="82" t="s">
        <v>3215</v>
      </c>
      <c r="J460" s="78" t="s">
        <v>3216</v>
      </c>
      <c r="K460" s="39" t="s">
        <v>50</v>
      </c>
      <c r="L460" s="39" t="s">
        <v>2407</v>
      </c>
    </row>
    <row r="461" spans="2:12">
      <c r="B461" s="16" t="s">
        <v>47</v>
      </c>
      <c r="C461" s="80" t="s">
        <v>28</v>
      </c>
      <c r="D461" s="81">
        <v>45233</v>
      </c>
      <c r="E461" s="107"/>
      <c r="F461" s="82"/>
      <c r="G461" s="78"/>
      <c r="H461" s="107"/>
      <c r="I461" s="82" t="s">
        <v>3217</v>
      </c>
      <c r="J461" s="78" t="s">
        <v>3218</v>
      </c>
      <c r="K461" s="39" t="s">
        <v>50</v>
      </c>
      <c r="L461" s="39" t="s">
        <v>2407</v>
      </c>
    </row>
    <row r="462" spans="2:12">
      <c r="B462" s="16" t="s">
        <v>47</v>
      </c>
      <c r="C462" s="80" t="s">
        <v>28</v>
      </c>
      <c r="D462" s="81">
        <v>45233</v>
      </c>
      <c r="E462" s="107"/>
      <c r="F462" s="82"/>
      <c r="G462" s="78"/>
      <c r="H462" s="107"/>
      <c r="I462" s="82" t="s">
        <v>3219</v>
      </c>
      <c r="J462" s="78" t="s">
        <v>3220</v>
      </c>
      <c r="K462" s="39" t="s">
        <v>50</v>
      </c>
      <c r="L462" s="39" t="s">
        <v>2407</v>
      </c>
    </row>
    <row r="463" spans="2:12">
      <c r="B463" s="16" t="s">
        <v>47</v>
      </c>
      <c r="C463" s="80" t="s">
        <v>28</v>
      </c>
      <c r="D463" s="81">
        <v>45233</v>
      </c>
      <c r="E463" s="107"/>
      <c r="F463" s="82"/>
      <c r="G463" s="78"/>
      <c r="H463" s="107"/>
      <c r="I463" s="82" t="s">
        <v>3221</v>
      </c>
      <c r="J463" s="78" t="s">
        <v>3222</v>
      </c>
      <c r="K463" s="39" t="s">
        <v>50</v>
      </c>
      <c r="L463" s="39" t="s">
        <v>2407</v>
      </c>
    </row>
    <row r="464" spans="2:12">
      <c r="B464" s="16" t="s">
        <v>47</v>
      </c>
      <c r="C464" s="80" t="s">
        <v>28</v>
      </c>
      <c r="D464" s="81">
        <v>45233</v>
      </c>
      <c r="E464" s="107"/>
      <c r="F464" s="82"/>
      <c r="G464" s="78"/>
      <c r="H464" s="107"/>
      <c r="I464" s="82" t="s">
        <v>3223</v>
      </c>
      <c r="J464" s="78" t="s">
        <v>3224</v>
      </c>
      <c r="K464" s="39" t="s">
        <v>50</v>
      </c>
      <c r="L464" s="39" t="s">
        <v>2407</v>
      </c>
    </row>
    <row r="465" spans="2:12">
      <c r="B465" s="16" t="s">
        <v>47</v>
      </c>
      <c r="C465" s="80" t="s">
        <v>28</v>
      </c>
      <c r="D465" s="81">
        <v>45233</v>
      </c>
      <c r="E465" s="107"/>
      <c r="F465" s="82"/>
      <c r="G465" s="78"/>
      <c r="H465" s="107"/>
      <c r="I465" s="82" t="s">
        <v>3225</v>
      </c>
      <c r="J465" s="78" t="s">
        <v>3226</v>
      </c>
      <c r="K465" s="39" t="s">
        <v>50</v>
      </c>
      <c r="L465" s="39" t="s">
        <v>2407</v>
      </c>
    </row>
    <row r="466" spans="2:12">
      <c r="B466" s="16" t="s">
        <v>47</v>
      </c>
      <c r="C466" s="80" t="s">
        <v>28</v>
      </c>
      <c r="D466" s="81">
        <v>45233</v>
      </c>
      <c r="E466" s="107"/>
      <c r="F466" s="82"/>
      <c r="G466" s="78"/>
      <c r="H466" s="107"/>
      <c r="I466" s="82" t="s">
        <v>3227</v>
      </c>
      <c r="J466" s="78" t="s">
        <v>3228</v>
      </c>
      <c r="K466" s="39" t="s">
        <v>50</v>
      </c>
      <c r="L466" s="39" t="s">
        <v>2407</v>
      </c>
    </row>
    <row r="467" spans="2:12">
      <c r="B467" s="16" t="s">
        <v>47</v>
      </c>
      <c r="C467" s="80" t="s">
        <v>28</v>
      </c>
      <c r="D467" s="81">
        <v>45233</v>
      </c>
      <c r="E467" s="107"/>
      <c r="F467" s="82"/>
      <c r="G467" s="78"/>
      <c r="H467" s="107"/>
      <c r="I467" s="82" t="s">
        <v>3229</v>
      </c>
      <c r="J467" s="78" t="s">
        <v>3230</v>
      </c>
      <c r="K467" s="39" t="s">
        <v>50</v>
      </c>
      <c r="L467" s="39" t="s">
        <v>2407</v>
      </c>
    </row>
    <row r="468" spans="2:12">
      <c r="B468" s="16" t="s">
        <v>47</v>
      </c>
      <c r="C468" s="80" t="s">
        <v>28</v>
      </c>
      <c r="D468" s="81">
        <v>45233</v>
      </c>
      <c r="E468" s="107"/>
      <c r="F468" s="82"/>
      <c r="G468" s="78"/>
      <c r="H468" s="107"/>
      <c r="I468" s="82" t="s">
        <v>3231</v>
      </c>
      <c r="J468" s="78" t="s">
        <v>3232</v>
      </c>
      <c r="K468" s="39" t="s">
        <v>50</v>
      </c>
      <c r="L468" s="39" t="s">
        <v>2407</v>
      </c>
    </row>
    <row r="469" spans="2:12">
      <c r="B469" s="16" t="s">
        <v>47</v>
      </c>
      <c r="C469" s="46" t="s">
        <v>28</v>
      </c>
      <c r="D469" s="47">
        <v>45233</v>
      </c>
      <c r="F469" s="39"/>
      <c r="G469" s="16"/>
      <c r="I469" s="39" t="s">
        <v>3233</v>
      </c>
      <c r="J469" s="16" t="s">
        <v>3234</v>
      </c>
      <c r="K469" s="39" t="s">
        <v>50</v>
      </c>
      <c r="L469" s="39" t="s">
        <v>2407</v>
      </c>
    </row>
    <row r="470" spans="2:12">
      <c r="B470" s="16" t="s">
        <v>47</v>
      </c>
      <c r="C470" s="46" t="s">
        <v>28</v>
      </c>
      <c r="D470" s="47">
        <v>45233</v>
      </c>
      <c r="F470" s="39"/>
      <c r="G470" s="16"/>
      <c r="I470" s="39">
        <v>10093904</v>
      </c>
      <c r="J470" s="16" t="s">
        <v>3235</v>
      </c>
      <c r="K470" s="39" t="s">
        <v>50</v>
      </c>
      <c r="L470" s="39" t="s">
        <v>2407</v>
      </c>
    </row>
    <row r="471" spans="2:12">
      <c r="B471" s="16" t="s">
        <v>47</v>
      </c>
      <c r="C471" s="46" t="s">
        <v>28</v>
      </c>
      <c r="D471" s="47">
        <v>45233</v>
      </c>
      <c r="F471" s="39"/>
      <c r="G471" s="16"/>
      <c r="I471" s="39" t="s">
        <v>3236</v>
      </c>
      <c r="J471" s="16" t="s">
        <v>3237</v>
      </c>
      <c r="K471" s="39" t="s">
        <v>50</v>
      </c>
      <c r="L471" s="39" t="s">
        <v>2407</v>
      </c>
    </row>
    <row r="472" spans="2:12">
      <c r="B472" s="16" t="s">
        <v>47</v>
      </c>
      <c r="C472" s="46" t="s">
        <v>28</v>
      </c>
      <c r="D472" s="47">
        <v>45233</v>
      </c>
      <c r="F472" s="39"/>
      <c r="G472" s="16"/>
      <c r="I472" s="39" t="s">
        <v>3238</v>
      </c>
      <c r="J472" s="16" t="s">
        <v>3239</v>
      </c>
      <c r="K472" s="39" t="s">
        <v>50</v>
      </c>
      <c r="L472" s="39" t="s">
        <v>2407</v>
      </c>
    </row>
    <row r="473" spans="2:12">
      <c r="B473" s="16" t="s">
        <v>47</v>
      </c>
      <c r="C473" s="46" t="s">
        <v>28</v>
      </c>
      <c r="D473" s="47">
        <v>45233</v>
      </c>
      <c r="F473" s="39"/>
      <c r="G473" s="16"/>
      <c r="I473" s="39" t="s">
        <v>3240</v>
      </c>
      <c r="J473" s="16" t="s">
        <v>3241</v>
      </c>
      <c r="K473" s="39" t="s">
        <v>50</v>
      </c>
      <c r="L473" s="39" t="s">
        <v>2407</v>
      </c>
    </row>
    <row r="474" spans="2:12">
      <c r="B474" s="16" t="s">
        <v>47</v>
      </c>
      <c r="C474" s="46" t="s">
        <v>28</v>
      </c>
      <c r="D474" s="47">
        <v>45233</v>
      </c>
      <c r="F474" s="39"/>
      <c r="G474" s="16"/>
      <c r="I474" s="39" t="s">
        <v>3242</v>
      </c>
      <c r="J474" s="16" t="s">
        <v>3243</v>
      </c>
      <c r="K474" s="39" t="s">
        <v>50</v>
      </c>
      <c r="L474" s="39" t="s">
        <v>2407</v>
      </c>
    </row>
    <row r="475" spans="2:12">
      <c r="B475" s="16" t="s">
        <v>47</v>
      </c>
      <c r="C475" s="46" t="s">
        <v>28</v>
      </c>
      <c r="D475" s="47">
        <v>45233</v>
      </c>
      <c r="F475" s="39"/>
      <c r="G475" s="16"/>
      <c r="I475" s="39">
        <v>10093900</v>
      </c>
      <c r="J475" s="16" t="s">
        <v>3244</v>
      </c>
      <c r="K475" s="39" t="s">
        <v>50</v>
      </c>
      <c r="L475" s="39" t="s">
        <v>2516</v>
      </c>
    </row>
    <row r="476" spans="2:12">
      <c r="B476" s="16" t="s">
        <v>47</v>
      </c>
      <c r="C476" s="46" t="s">
        <v>28</v>
      </c>
      <c r="D476" s="47">
        <v>45233</v>
      </c>
      <c r="F476" s="39"/>
      <c r="G476" s="16"/>
      <c r="I476" s="39">
        <v>10093901</v>
      </c>
      <c r="J476" s="16" t="s">
        <v>3245</v>
      </c>
      <c r="K476" s="39" t="s">
        <v>50</v>
      </c>
      <c r="L476" s="39" t="s">
        <v>2516</v>
      </c>
    </row>
    <row r="477" spans="2:12">
      <c r="B477" s="16" t="s">
        <v>47</v>
      </c>
      <c r="C477" s="46" t="s">
        <v>28</v>
      </c>
      <c r="D477" s="47">
        <v>45233</v>
      </c>
      <c r="F477" s="39"/>
      <c r="G477" s="16"/>
      <c r="I477" s="39">
        <v>10093902</v>
      </c>
      <c r="J477" s="16" t="s">
        <v>3246</v>
      </c>
      <c r="K477" s="39" t="s">
        <v>50</v>
      </c>
      <c r="L477" s="39" t="s">
        <v>2516</v>
      </c>
    </row>
    <row r="478" spans="2:12">
      <c r="B478" s="16" t="s">
        <v>47</v>
      </c>
      <c r="C478" s="46" t="s">
        <v>28</v>
      </c>
      <c r="D478" s="47">
        <v>45240</v>
      </c>
      <c r="F478" s="39"/>
      <c r="G478" s="16"/>
      <c r="I478" s="39">
        <v>10093896</v>
      </c>
      <c r="J478" s="16" t="s">
        <v>3247</v>
      </c>
      <c r="K478" s="39" t="s">
        <v>50</v>
      </c>
      <c r="L478" s="39" t="s">
        <v>2407</v>
      </c>
    </row>
    <row r="479" spans="2:12">
      <c r="B479" s="16" t="s">
        <v>47</v>
      </c>
      <c r="C479" s="46" t="s">
        <v>28</v>
      </c>
      <c r="D479" s="47">
        <v>45240</v>
      </c>
      <c r="F479" s="39"/>
      <c r="G479" s="16"/>
      <c r="I479" s="39">
        <v>10093897</v>
      </c>
      <c r="J479" s="16" t="s">
        <v>3248</v>
      </c>
      <c r="K479" s="39" t="s">
        <v>50</v>
      </c>
      <c r="L479" s="39" t="s">
        <v>2407</v>
      </c>
    </row>
    <row r="480" spans="2:12">
      <c r="B480" s="16" t="s">
        <v>47</v>
      </c>
      <c r="C480" s="46" t="s">
        <v>28</v>
      </c>
      <c r="D480" s="47">
        <v>45240</v>
      </c>
      <c r="F480" s="39"/>
      <c r="G480" s="16"/>
      <c r="I480" s="39">
        <v>10093898</v>
      </c>
      <c r="J480" s="16" t="s">
        <v>3249</v>
      </c>
      <c r="K480" s="39" t="s">
        <v>50</v>
      </c>
      <c r="L480" s="39" t="s">
        <v>2407</v>
      </c>
    </row>
    <row r="481" spans="2:12">
      <c r="B481" s="16" t="s">
        <v>47</v>
      </c>
      <c r="C481" s="46" t="s">
        <v>28</v>
      </c>
      <c r="D481" s="47">
        <v>45240</v>
      </c>
      <c r="F481" s="39"/>
      <c r="G481" s="16"/>
      <c r="I481" s="39">
        <v>10093947</v>
      </c>
      <c r="J481" s="16" t="s">
        <v>3250</v>
      </c>
      <c r="K481" s="39" t="s">
        <v>50</v>
      </c>
      <c r="L481" s="39" t="s">
        <v>2407</v>
      </c>
    </row>
    <row r="482" spans="2:12">
      <c r="B482" s="16" t="s">
        <v>47</v>
      </c>
      <c r="C482" s="46" t="s">
        <v>28</v>
      </c>
      <c r="D482" s="47">
        <v>45247</v>
      </c>
      <c r="F482" s="39"/>
      <c r="G482" s="16"/>
      <c r="I482" s="39">
        <v>10094004</v>
      </c>
      <c r="J482" s="16" t="s">
        <v>3251</v>
      </c>
      <c r="K482" s="39" t="s">
        <v>50</v>
      </c>
      <c r="L482" s="39" t="s">
        <v>2407</v>
      </c>
    </row>
    <row r="483" spans="2:12">
      <c r="B483" s="16" t="s">
        <v>47</v>
      </c>
      <c r="C483" s="46" t="s">
        <v>28</v>
      </c>
      <c r="D483" s="47">
        <v>45247</v>
      </c>
      <c r="F483" s="39"/>
      <c r="G483" s="16"/>
      <c r="I483" s="39">
        <v>10094001</v>
      </c>
      <c r="J483" s="16" t="s">
        <v>3252</v>
      </c>
      <c r="K483" s="39" t="s">
        <v>50</v>
      </c>
      <c r="L483" s="39" t="s">
        <v>2407</v>
      </c>
    </row>
    <row r="484" spans="2:12">
      <c r="B484" s="16" t="s">
        <v>47</v>
      </c>
      <c r="C484" s="46" t="s">
        <v>28</v>
      </c>
      <c r="D484" s="47">
        <v>45247</v>
      </c>
      <c r="F484" s="39"/>
      <c r="G484" s="16"/>
      <c r="I484" s="39">
        <v>10094008</v>
      </c>
      <c r="J484" s="16" t="s">
        <v>3253</v>
      </c>
      <c r="K484" s="39" t="s">
        <v>50</v>
      </c>
      <c r="L484" s="39" t="s">
        <v>2407</v>
      </c>
    </row>
    <row r="485" spans="2:12">
      <c r="B485" s="16" t="s">
        <v>47</v>
      </c>
      <c r="C485" s="46" t="s">
        <v>28</v>
      </c>
      <c r="D485" s="47">
        <v>45254</v>
      </c>
      <c r="F485" s="39"/>
      <c r="G485" s="16"/>
      <c r="I485" s="39">
        <v>10094066</v>
      </c>
      <c r="J485" s="16" t="s">
        <v>3254</v>
      </c>
      <c r="K485" s="39" t="s">
        <v>50</v>
      </c>
      <c r="L485" s="39" t="s">
        <v>2407</v>
      </c>
    </row>
    <row r="486" spans="2:12">
      <c r="B486" s="16" t="s">
        <v>47</v>
      </c>
      <c r="C486" s="46" t="s">
        <v>28</v>
      </c>
      <c r="D486" s="47">
        <v>45254</v>
      </c>
      <c r="F486" s="39"/>
      <c r="G486" s="16"/>
      <c r="I486" s="39">
        <v>10094065</v>
      </c>
      <c r="J486" s="16" t="s">
        <v>3255</v>
      </c>
      <c r="K486" s="39" t="s">
        <v>50</v>
      </c>
      <c r="L486" s="39" t="s">
        <v>2407</v>
      </c>
    </row>
    <row r="487" spans="2:12">
      <c r="B487" s="16" t="s">
        <v>47</v>
      </c>
      <c r="C487" s="46" t="s">
        <v>28</v>
      </c>
      <c r="D487" s="47">
        <v>45275</v>
      </c>
      <c r="F487" s="39"/>
      <c r="G487" s="16"/>
      <c r="I487" s="39">
        <v>10094429</v>
      </c>
      <c r="J487" s="16" t="s">
        <v>3256</v>
      </c>
      <c r="K487" s="39" t="s">
        <v>50</v>
      </c>
      <c r="L487" s="39" t="s">
        <v>2407</v>
      </c>
    </row>
    <row r="488" spans="2:12">
      <c r="B488" s="16" t="s">
        <v>47</v>
      </c>
      <c r="C488" s="46" t="s">
        <v>28</v>
      </c>
      <c r="D488" s="47">
        <v>45275</v>
      </c>
      <c r="F488" s="39"/>
      <c r="G488" s="16"/>
      <c r="I488" s="39">
        <v>10094428</v>
      </c>
      <c r="J488" s="16" t="s">
        <v>3257</v>
      </c>
      <c r="K488" s="39" t="s">
        <v>50</v>
      </c>
      <c r="L488" s="39" t="s">
        <v>2407</v>
      </c>
    </row>
    <row r="489" spans="2:12">
      <c r="B489" s="16" t="s">
        <v>47</v>
      </c>
      <c r="C489" s="46" t="s">
        <v>28</v>
      </c>
      <c r="D489" s="47">
        <v>45310</v>
      </c>
      <c r="F489" s="39"/>
      <c r="G489" s="16"/>
      <c r="I489" s="39">
        <v>10094789</v>
      </c>
      <c r="J489" s="16" t="s">
        <v>3258</v>
      </c>
      <c r="K489" s="39" t="s">
        <v>50</v>
      </c>
      <c r="L489" s="39" t="s">
        <v>2407</v>
      </c>
    </row>
    <row r="490" spans="2:12">
      <c r="B490" s="16" t="s">
        <v>47</v>
      </c>
      <c r="C490" s="46" t="s">
        <v>28</v>
      </c>
      <c r="D490" s="47">
        <v>45324</v>
      </c>
      <c r="F490" s="39"/>
      <c r="G490" s="16"/>
      <c r="I490" s="39">
        <v>10094862</v>
      </c>
      <c r="J490" s="16" t="s">
        <v>3259</v>
      </c>
      <c r="K490" s="39" t="s">
        <v>50</v>
      </c>
      <c r="L490" s="39" t="s">
        <v>2407</v>
      </c>
    </row>
    <row r="491" spans="2:12">
      <c r="B491" s="16" t="s">
        <v>47</v>
      </c>
      <c r="C491" s="46" t="s">
        <v>28</v>
      </c>
      <c r="D491" s="47">
        <v>45331</v>
      </c>
      <c r="F491" s="39"/>
      <c r="G491" s="16"/>
      <c r="I491" s="39">
        <v>10094937</v>
      </c>
      <c r="J491" s="16" t="s">
        <v>3260</v>
      </c>
      <c r="K491" s="39" t="s">
        <v>50</v>
      </c>
      <c r="L491" s="39" t="s">
        <v>2407</v>
      </c>
    </row>
    <row r="492" spans="2:12">
      <c r="B492" s="16" t="s">
        <v>47</v>
      </c>
      <c r="C492" s="46" t="s">
        <v>28</v>
      </c>
      <c r="D492" s="47">
        <v>45331</v>
      </c>
      <c r="F492" s="39"/>
      <c r="G492" s="16"/>
      <c r="I492" s="39">
        <v>10094936</v>
      </c>
      <c r="J492" s="16" t="s">
        <v>3261</v>
      </c>
      <c r="K492" s="39" t="s">
        <v>50</v>
      </c>
      <c r="L492" s="39" t="s">
        <v>2407</v>
      </c>
    </row>
    <row r="493" spans="2:12">
      <c r="B493" s="16" t="s">
        <v>47</v>
      </c>
      <c r="C493" s="46" t="s">
        <v>28</v>
      </c>
      <c r="D493" s="47">
        <v>45338</v>
      </c>
      <c r="F493" s="39"/>
      <c r="G493" s="16"/>
      <c r="I493" s="39">
        <v>10094935</v>
      </c>
      <c r="J493" s="16" t="s">
        <v>3262</v>
      </c>
      <c r="K493" s="39" t="s">
        <v>50</v>
      </c>
      <c r="L493" s="39" t="s">
        <v>2407</v>
      </c>
    </row>
    <row r="494" spans="2:12">
      <c r="B494" s="16" t="s">
        <v>47</v>
      </c>
      <c r="C494" s="46" t="s">
        <v>28</v>
      </c>
      <c r="D494" s="47">
        <v>45338</v>
      </c>
      <c r="F494" s="39"/>
      <c r="G494" s="16"/>
      <c r="I494" s="39">
        <v>10094934</v>
      </c>
      <c r="J494" s="16" t="s">
        <v>3263</v>
      </c>
      <c r="K494" s="39" t="s">
        <v>50</v>
      </c>
      <c r="L494" s="39" t="s">
        <v>2407</v>
      </c>
    </row>
    <row r="495" spans="2:12">
      <c r="B495" s="16" t="s">
        <v>47</v>
      </c>
      <c r="C495" s="46" t="s">
        <v>28</v>
      </c>
      <c r="D495" s="47">
        <v>45345</v>
      </c>
      <c r="F495" s="39"/>
      <c r="G495" s="16"/>
      <c r="I495" s="39">
        <v>10094984</v>
      </c>
      <c r="J495" s="16" t="s">
        <v>3264</v>
      </c>
      <c r="K495" s="39" t="s">
        <v>50</v>
      </c>
      <c r="L495" s="39" t="s">
        <v>2407</v>
      </c>
    </row>
    <row r="496" spans="2:12">
      <c r="B496" s="16" t="s">
        <v>47</v>
      </c>
      <c r="C496" s="46" t="s">
        <v>28</v>
      </c>
      <c r="D496" s="47">
        <v>45345</v>
      </c>
      <c r="F496" s="39"/>
      <c r="G496" s="16"/>
      <c r="I496" s="39">
        <v>10095006</v>
      </c>
      <c r="J496" s="16" t="s">
        <v>3265</v>
      </c>
      <c r="K496" s="39" t="s">
        <v>50</v>
      </c>
      <c r="L496" s="39" t="s">
        <v>2407</v>
      </c>
    </row>
    <row r="497" spans="2:12">
      <c r="B497" s="16" t="s">
        <v>47</v>
      </c>
      <c r="C497" s="80" t="s">
        <v>28</v>
      </c>
      <c r="D497" s="81">
        <v>45345</v>
      </c>
      <c r="E497" s="107"/>
      <c r="F497" s="82"/>
      <c r="G497" s="78"/>
      <c r="H497" s="107"/>
      <c r="I497" s="82">
        <v>10095010</v>
      </c>
      <c r="J497" s="78" t="s">
        <v>3266</v>
      </c>
      <c r="K497" s="39" t="s">
        <v>50</v>
      </c>
      <c r="L497" s="39" t="s">
        <v>2407</v>
      </c>
    </row>
    <row r="498" spans="2:12">
      <c r="B498" s="16" t="s">
        <v>47</v>
      </c>
      <c r="C498" s="80" t="s">
        <v>28</v>
      </c>
      <c r="D498" s="81">
        <v>45345</v>
      </c>
      <c r="E498" s="107"/>
      <c r="F498" s="82"/>
      <c r="G498" s="78"/>
      <c r="H498" s="107"/>
      <c r="I498" s="82">
        <v>10095014</v>
      </c>
      <c r="J498" s="78" t="s">
        <v>3267</v>
      </c>
      <c r="K498" s="39" t="s">
        <v>50</v>
      </c>
      <c r="L498" s="39" t="s">
        <v>2516</v>
      </c>
    </row>
    <row r="499" spans="2:12">
      <c r="B499" s="16" t="s">
        <v>47</v>
      </c>
      <c r="C499" s="46" t="s">
        <v>28</v>
      </c>
      <c r="D499" s="47">
        <v>45345</v>
      </c>
      <c r="F499" s="39"/>
      <c r="G499" s="16"/>
      <c r="I499" s="39">
        <v>10095015</v>
      </c>
      <c r="J499" s="16" t="s">
        <v>3268</v>
      </c>
      <c r="K499" s="39" t="s">
        <v>50</v>
      </c>
      <c r="L499" s="39" t="s">
        <v>2407</v>
      </c>
    </row>
    <row r="500" spans="2:12">
      <c r="B500" s="16" t="s">
        <v>47</v>
      </c>
      <c r="C500" s="46" t="s">
        <v>28</v>
      </c>
      <c r="D500" s="47">
        <v>45345</v>
      </c>
      <c r="F500" s="39"/>
      <c r="G500" s="16"/>
      <c r="I500" s="39">
        <v>10095016</v>
      </c>
      <c r="J500" s="16" t="s">
        <v>3269</v>
      </c>
      <c r="K500" s="39" t="s">
        <v>50</v>
      </c>
      <c r="L500" s="39" t="s">
        <v>2407</v>
      </c>
    </row>
    <row r="501" spans="2:12">
      <c r="B501" s="16" t="s">
        <v>47</v>
      </c>
      <c r="C501" s="46" t="s">
        <v>28</v>
      </c>
      <c r="D501" s="47">
        <v>45345</v>
      </c>
      <c r="F501" s="39"/>
      <c r="G501" s="16"/>
      <c r="I501" s="39">
        <v>10095017</v>
      </c>
      <c r="J501" s="16" t="s">
        <v>3270</v>
      </c>
      <c r="K501" s="39" t="s">
        <v>50</v>
      </c>
      <c r="L501" s="39" t="s">
        <v>2407</v>
      </c>
    </row>
    <row r="502" spans="2:12">
      <c r="B502" s="16" t="s">
        <v>47</v>
      </c>
      <c r="C502" s="46" t="s">
        <v>28</v>
      </c>
      <c r="D502" s="47">
        <v>45359</v>
      </c>
      <c r="F502" s="39"/>
      <c r="G502" s="16"/>
      <c r="I502" s="39">
        <v>10095088</v>
      </c>
      <c r="J502" s="16" t="s">
        <v>3271</v>
      </c>
      <c r="K502" s="39" t="s">
        <v>50</v>
      </c>
      <c r="L502" s="39" t="s">
        <v>2407</v>
      </c>
    </row>
    <row r="503" spans="2:12">
      <c r="B503" s="16" t="s">
        <v>47</v>
      </c>
      <c r="C503" s="46" t="s">
        <v>28</v>
      </c>
      <c r="D503" s="47">
        <v>45359</v>
      </c>
      <c r="F503" s="39"/>
      <c r="G503" s="16"/>
      <c r="I503" s="39">
        <v>10095090</v>
      </c>
      <c r="J503" s="16" t="s">
        <v>3272</v>
      </c>
      <c r="K503" s="39" t="s">
        <v>50</v>
      </c>
      <c r="L503" s="39" t="s">
        <v>2407</v>
      </c>
    </row>
    <row r="504" spans="2:12">
      <c r="B504" s="16" t="s">
        <v>47</v>
      </c>
      <c r="C504" s="46" t="s">
        <v>28</v>
      </c>
      <c r="D504" s="47">
        <v>45359</v>
      </c>
      <c r="F504" s="39"/>
      <c r="G504" s="16"/>
      <c r="I504" s="39">
        <v>10095091</v>
      </c>
      <c r="J504" s="16" t="s">
        <v>3273</v>
      </c>
      <c r="K504" s="39" t="s">
        <v>50</v>
      </c>
      <c r="L504" s="39" t="s">
        <v>2407</v>
      </c>
    </row>
    <row r="505" spans="2:12">
      <c r="B505" s="16" t="s">
        <v>47</v>
      </c>
      <c r="C505" s="46" t="s">
        <v>28</v>
      </c>
      <c r="D505" s="47">
        <v>45359</v>
      </c>
      <c r="F505" s="39"/>
      <c r="G505" s="16"/>
      <c r="I505" s="39">
        <v>10095092</v>
      </c>
      <c r="J505" s="16" t="s">
        <v>3274</v>
      </c>
      <c r="K505" s="39" t="s">
        <v>50</v>
      </c>
      <c r="L505" s="39" t="s">
        <v>2407</v>
      </c>
    </row>
    <row r="506" spans="2:12">
      <c r="B506" s="16" t="s">
        <v>47</v>
      </c>
      <c r="C506" s="46" t="s">
        <v>28</v>
      </c>
      <c r="D506" s="47">
        <v>45359</v>
      </c>
      <c r="F506" s="39"/>
      <c r="G506" s="16"/>
      <c r="I506" s="39">
        <v>10095093</v>
      </c>
      <c r="J506" s="16" t="s">
        <v>3275</v>
      </c>
      <c r="K506" s="39" t="s">
        <v>50</v>
      </c>
      <c r="L506" s="39" t="s">
        <v>2407</v>
      </c>
    </row>
    <row r="507" spans="2:12">
      <c r="B507" s="16" t="s">
        <v>47</v>
      </c>
      <c r="C507" s="46" t="s">
        <v>28</v>
      </c>
      <c r="D507" s="47">
        <v>45359</v>
      </c>
      <c r="F507" s="39"/>
      <c r="G507" s="16"/>
      <c r="I507" s="39">
        <v>10095203</v>
      </c>
      <c r="J507" s="16" t="s">
        <v>3276</v>
      </c>
      <c r="K507" s="39" t="s">
        <v>50</v>
      </c>
      <c r="L507" s="39" t="s">
        <v>2407</v>
      </c>
    </row>
    <row r="508" spans="2:12">
      <c r="B508" s="16" t="s">
        <v>47</v>
      </c>
      <c r="C508" s="46" t="s">
        <v>28</v>
      </c>
      <c r="D508" s="47">
        <v>45359</v>
      </c>
      <c r="F508" s="39"/>
      <c r="G508" s="16"/>
      <c r="I508" s="39">
        <v>10095204</v>
      </c>
      <c r="J508" s="16" t="s">
        <v>3277</v>
      </c>
      <c r="K508" s="39" t="s">
        <v>50</v>
      </c>
      <c r="L508" s="39" t="s">
        <v>2407</v>
      </c>
    </row>
    <row r="509" spans="2:12">
      <c r="B509" s="16" t="s">
        <v>47</v>
      </c>
      <c r="C509" s="46" t="s">
        <v>28</v>
      </c>
      <c r="D509" s="47">
        <v>45359</v>
      </c>
      <c r="F509" s="39"/>
      <c r="G509" s="16"/>
      <c r="I509" s="39">
        <v>10095207</v>
      </c>
      <c r="J509" s="16" t="s">
        <v>3278</v>
      </c>
      <c r="K509" s="39" t="s">
        <v>50</v>
      </c>
      <c r="L509" s="39" t="s">
        <v>2407</v>
      </c>
    </row>
    <row r="510" spans="2:12">
      <c r="B510" s="16" t="s">
        <v>47</v>
      </c>
      <c r="C510" s="46" t="s">
        <v>28</v>
      </c>
      <c r="D510" s="47">
        <v>45359</v>
      </c>
      <c r="F510" s="39"/>
      <c r="G510" s="16"/>
      <c r="I510" s="39">
        <v>10095206</v>
      </c>
      <c r="J510" s="16" t="s">
        <v>3279</v>
      </c>
      <c r="K510" s="39" t="s">
        <v>50</v>
      </c>
      <c r="L510" s="39" t="s">
        <v>2407</v>
      </c>
    </row>
    <row r="511" spans="2:12">
      <c r="B511" s="16" t="s">
        <v>47</v>
      </c>
      <c r="C511" s="46" t="s">
        <v>28</v>
      </c>
      <c r="D511" s="47">
        <v>45359</v>
      </c>
      <c r="F511" s="39"/>
      <c r="G511" s="16"/>
      <c r="I511" s="39">
        <v>10095205</v>
      </c>
      <c r="J511" s="16" t="s">
        <v>3280</v>
      </c>
      <c r="K511" s="39" t="s">
        <v>50</v>
      </c>
      <c r="L511" s="39" t="s">
        <v>2407</v>
      </c>
    </row>
    <row r="512" spans="2:12">
      <c r="B512" s="16" t="s">
        <v>47</v>
      </c>
      <c r="C512" s="46" t="s">
        <v>28</v>
      </c>
      <c r="D512" s="47">
        <v>45373</v>
      </c>
      <c r="F512" s="39"/>
      <c r="G512" s="16"/>
      <c r="I512" s="39">
        <v>10095202</v>
      </c>
      <c r="J512" s="16" t="s">
        <v>3281</v>
      </c>
      <c r="K512" s="39" t="s">
        <v>50</v>
      </c>
      <c r="L512" s="39" t="s">
        <v>2407</v>
      </c>
    </row>
    <row r="513" spans="2:12">
      <c r="B513" s="16" t="s">
        <v>47</v>
      </c>
      <c r="C513" s="46" t="s">
        <v>28</v>
      </c>
      <c r="D513" s="47">
        <v>45379</v>
      </c>
      <c r="F513" s="39"/>
      <c r="G513" s="16"/>
      <c r="I513" s="39">
        <v>10095271</v>
      </c>
      <c r="J513" s="16" t="s">
        <v>3282</v>
      </c>
      <c r="K513" s="39" t="s">
        <v>50</v>
      </c>
      <c r="L513" s="39" t="s">
        <v>2407</v>
      </c>
    </row>
    <row r="514" spans="2:12">
      <c r="B514" s="16" t="s">
        <v>47</v>
      </c>
      <c r="C514" s="46" t="s">
        <v>28</v>
      </c>
      <c r="D514" s="47">
        <v>45387</v>
      </c>
      <c r="F514" s="39"/>
      <c r="G514" s="16"/>
      <c r="I514" s="39">
        <v>10095395</v>
      </c>
      <c r="J514" s="16" t="s">
        <v>3283</v>
      </c>
      <c r="K514" s="39" t="s">
        <v>50</v>
      </c>
      <c r="L514" s="39" t="s">
        <v>2407</v>
      </c>
    </row>
    <row r="515" spans="2:12">
      <c r="B515" s="16" t="s">
        <v>47</v>
      </c>
      <c r="C515" s="46" t="s">
        <v>28</v>
      </c>
      <c r="D515" s="47">
        <v>45387</v>
      </c>
      <c r="F515" s="39"/>
      <c r="G515" s="16"/>
      <c r="I515" s="39">
        <v>10095392</v>
      </c>
      <c r="J515" s="16" t="s">
        <v>3284</v>
      </c>
      <c r="K515" s="39" t="s">
        <v>50</v>
      </c>
      <c r="L515" s="39" t="s">
        <v>2407</v>
      </c>
    </row>
    <row r="516" spans="2:12">
      <c r="B516" s="16" t="s">
        <v>47</v>
      </c>
      <c r="C516" s="46" t="s">
        <v>28</v>
      </c>
      <c r="D516" s="47">
        <v>45387</v>
      </c>
      <c r="F516" s="39"/>
      <c r="G516" s="16"/>
      <c r="I516" s="39">
        <v>10095390</v>
      </c>
      <c r="J516" s="16" t="s">
        <v>3285</v>
      </c>
      <c r="K516" s="39" t="s">
        <v>50</v>
      </c>
      <c r="L516" s="39" t="s">
        <v>2516</v>
      </c>
    </row>
    <row r="517" spans="2:12">
      <c r="B517" s="16" t="s">
        <v>47</v>
      </c>
      <c r="C517" s="46" t="s">
        <v>28</v>
      </c>
      <c r="D517" s="47">
        <v>45394</v>
      </c>
      <c r="F517" s="39"/>
      <c r="G517" s="16"/>
      <c r="I517" s="39">
        <v>10095440</v>
      </c>
      <c r="J517" s="16" t="s">
        <v>3286</v>
      </c>
      <c r="K517" s="39" t="s">
        <v>50</v>
      </c>
      <c r="L517" s="39" t="s">
        <v>2407</v>
      </c>
    </row>
    <row r="518" spans="2:12">
      <c r="B518" s="16" t="s">
        <v>47</v>
      </c>
      <c r="C518" s="46" t="s">
        <v>28</v>
      </c>
      <c r="D518" s="47">
        <v>45394</v>
      </c>
      <c r="F518" s="39"/>
      <c r="G518" s="16"/>
      <c r="I518" s="39">
        <v>10095439</v>
      </c>
      <c r="J518" s="16" t="s">
        <v>3287</v>
      </c>
      <c r="K518" s="39" t="s">
        <v>50</v>
      </c>
      <c r="L518" s="39" t="s">
        <v>2407</v>
      </c>
    </row>
    <row r="519" spans="2:12">
      <c r="B519" s="16" t="s">
        <v>47</v>
      </c>
      <c r="C519" s="46" t="s">
        <v>28</v>
      </c>
      <c r="D519" s="47">
        <v>45394</v>
      </c>
      <c r="F519" s="39"/>
      <c r="G519" s="16"/>
      <c r="I519" s="39">
        <v>10095438</v>
      </c>
      <c r="J519" s="16" t="s">
        <v>3288</v>
      </c>
      <c r="K519" s="39" t="s">
        <v>50</v>
      </c>
      <c r="L519" s="39" t="s">
        <v>2407</v>
      </c>
    </row>
    <row r="520" spans="2:12">
      <c r="B520" s="16" t="s">
        <v>47</v>
      </c>
      <c r="C520" s="46" t="s">
        <v>28</v>
      </c>
      <c r="D520" s="47">
        <v>45394</v>
      </c>
      <c r="F520" s="39"/>
      <c r="G520" s="16"/>
      <c r="I520" s="39">
        <v>10095435</v>
      </c>
      <c r="J520" s="16" t="s">
        <v>3289</v>
      </c>
      <c r="K520" s="39" t="s">
        <v>50</v>
      </c>
      <c r="L520" s="39" t="s">
        <v>2407</v>
      </c>
    </row>
    <row r="521" spans="2:12">
      <c r="B521" s="16" t="s">
        <v>47</v>
      </c>
      <c r="C521" s="46" t="s">
        <v>28</v>
      </c>
      <c r="D521" s="47">
        <v>45394</v>
      </c>
      <c r="F521" s="39"/>
      <c r="G521" s="16"/>
      <c r="I521" s="39">
        <v>10095434</v>
      </c>
      <c r="J521" s="16" t="s">
        <v>3290</v>
      </c>
      <c r="K521" s="39" t="s">
        <v>50</v>
      </c>
      <c r="L521" s="39" t="s">
        <v>2407</v>
      </c>
    </row>
    <row r="522" spans="2:12">
      <c r="B522" s="16" t="s">
        <v>47</v>
      </c>
      <c r="C522" s="46" t="s">
        <v>28</v>
      </c>
      <c r="D522" s="47">
        <v>45394</v>
      </c>
      <c r="F522" s="39"/>
      <c r="G522" s="16"/>
      <c r="I522" s="39">
        <v>10095436</v>
      </c>
      <c r="J522" s="16" t="s">
        <v>3291</v>
      </c>
      <c r="K522" s="39" t="s">
        <v>50</v>
      </c>
      <c r="L522" s="39" t="s">
        <v>2407</v>
      </c>
    </row>
    <row r="523" spans="2:12">
      <c r="B523" s="16" t="s">
        <v>47</v>
      </c>
      <c r="C523" s="46" t="s">
        <v>28</v>
      </c>
      <c r="D523" s="47">
        <v>45394</v>
      </c>
      <c r="F523" s="39"/>
      <c r="G523" s="16"/>
      <c r="I523" s="39">
        <v>10095430</v>
      </c>
      <c r="J523" s="16" t="s">
        <v>3292</v>
      </c>
      <c r="K523" s="39" t="s">
        <v>50</v>
      </c>
      <c r="L523" s="39" t="s">
        <v>2407</v>
      </c>
    </row>
    <row r="524" spans="2:12">
      <c r="B524" s="16" t="s">
        <v>47</v>
      </c>
      <c r="C524" s="46" t="s">
        <v>28</v>
      </c>
      <c r="D524" s="47">
        <v>45394</v>
      </c>
      <c r="F524" s="39"/>
      <c r="G524" s="16"/>
      <c r="I524" s="39">
        <v>10095431</v>
      </c>
      <c r="J524" s="16" t="s">
        <v>3293</v>
      </c>
      <c r="K524" s="39" t="s">
        <v>50</v>
      </c>
      <c r="L524" s="39" t="s">
        <v>2407</v>
      </c>
    </row>
    <row r="525" spans="2:12">
      <c r="B525" s="16" t="s">
        <v>47</v>
      </c>
      <c r="C525" s="46" t="s">
        <v>28</v>
      </c>
      <c r="D525" s="47">
        <v>45394</v>
      </c>
      <c r="F525" s="39"/>
      <c r="G525" s="16"/>
      <c r="I525" s="39">
        <v>10095432</v>
      </c>
      <c r="J525" s="16" t="s">
        <v>3294</v>
      </c>
      <c r="K525" s="39" t="s">
        <v>50</v>
      </c>
      <c r="L525" s="39" t="s">
        <v>2407</v>
      </c>
    </row>
    <row r="526" spans="2:12">
      <c r="B526" s="16" t="s">
        <v>47</v>
      </c>
      <c r="C526" s="46" t="s">
        <v>28</v>
      </c>
      <c r="D526" s="47">
        <v>45394</v>
      </c>
      <c r="F526" s="39"/>
      <c r="G526" s="16"/>
      <c r="I526" s="39">
        <v>10095429</v>
      </c>
      <c r="J526" s="16" t="s">
        <v>3295</v>
      </c>
      <c r="K526" s="39" t="s">
        <v>50</v>
      </c>
      <c r="L526" s="39" t="s">
        <v>2407</v>
      </c>
    </row>
    <row r="527" spans="2:12">
      <c r="B527" s="16" t="s">
        <v>47</v>
      </c>
      <c r="C527" s="46" t="s">
        <v>28</v>
      </c>
      <c r="D527" s="47">
        <v>45394</v>
      </c>
      <c r="F527" s="39"/>
      <c r="G527" s="16"/>
      <c r="I527" s="39">
        <v>10095441</v>
      </c>
      <c r="J527" s="16" t="s">
        <v>3296</v>
      </c>
      <c r="K527" s="39" t="s">
        <v>50</v>
      </c>
      <c r="L527" s="39" t="s">
        <v>2407</v>
      </c>
    </row>
    <row r="528" spans="2:12">
      <c r="B528" s="16" t="s">
        <v>47</v>
      </c>
      <c r="C528" s="46" t="s">
        <v>28</v>
      </c>
      <c r="D528" s="47">
        <v>45394</v>
      </c>
      <c r="F528" s="39"/>
      <c r="G528" s="16"/>
      <c r="I528" s="39">
        <v>10095425</v>
      </c>
      <c r="J528" s="16" t="s">
        <v>3297</v>
      </c>
      <c r="K528" s="39" t="s">
        <v>50</v>
      </c>
      <c r="L528" s="39" t="s">
        <v>2407</v>
      </c>
    </row>
    <row r="529" spans="2:12">
      <c r="B529" s="16" t="s">
        <v>47</v>
      </c>
      <c r="C529" s="46" t="s">
        <v>28</v>
      </c>
      <c r="D529" s="47">
        <v>45436</v>
      </c>
      <c r="F529" s="39"/>
      <c r="G529" s="16"/>
      <c r="I529" s="22">
        <v>10095785</v>
      </c>
      <c r="J529" s="21" t="s">
        <v>3298</v>
      </c>
      <c r="K529" s="39" t="s">
        <v>50</v>
      </c>
      <c r="L529" s="39" t="s">
        <v>2407</v>
      </c>
    </row>
    <row r="530" spans="2:12">
      <c r="B530" s="16" t="s">
        <v>47</v>
      </c>
      <c r="C530" s="46" t="s">
        <v>28</v>
      </c>
      <c r="D530" s="47">
        <v>45436</v>
      </c>
      <c r="F530" s="39"/>
      <c r="G530" s="16"/>
      <c r="I530" s="22">
        <v>10095786</v>
      </c>
      <c r="J530" s="21" t="s">
        <v>3299</v>
      </c>
      <c r="K530" s="39" t="s">
        <v>50</v>
      </c>
      <c r="L530" s="39" t="s">
        <v>2407</v>
      </c>
    </row>
    <row r="531" spans="2:12">
      <c r="B531" s="16" t="s">
        <v>47</v>
      </c>
      <c r="C531" s="46" t="s">
        <v>28</v>
      </c>
      <c r="D531" s="47">
        <v>45436</v>
      </c>
      <c r="F531" s="39"/>
      <c r="G531" s="16"/>
      <c r="I531" s="22">
        <v>10095787</v>
      </c>
      <c r="J531" s="21" t="s">
        <v>3300</v>
      </c>
      <c r="K531" s="39" t="s">
        <v>50</v>
      </c>
      <c r="L531" s="39" t="s">
        <v>2407</v>
      </c>
    </row>
    <row r="532" spans="2:12">
      <c r="B532" s="16" t="s">
        <v>47</v>
      </c>
      <c r="C532" s="46" t="s">
        <v>28</v>
      </c>
      <c r="D532" s="47">
        <v>45436</v>
      </c>
      <c r="F532" s="39"/>
      <c r="G532" s="16"/>
      <c r="I532" s="22">
        <v>10095788</v>
      </c>
      <c r="J532" s="21" t="s">
        <v>3301</v>
      </c>
      <c r="K532" s="39" t="s">
        <v>50</v>
      </c>
      <c r="L532" s="39" t="s">
        <v>2407</v>
      </c>
    </row>
    <row r="533" spans="2:12">
      <c r="B533" s="16" t="s">
        <v>47</v>
      </c>
      <c r="C533" s="46" t="s">
        <v>28</v>
      </c>
      <c r="D533" s="47">
        <v>45436</v>
      </c>
      <c r="F533" s="39"/>
      <c r="G533" s="16"/>
      <c r="I533" s="22">
        <v>10095789</v>
      </c>
      <c r="J533" s="21" t="s">
        <v>3302</v>
      </c>
      <c r="K533" s="39" t="s">
        <v>50</v>
      </c>
      <c r="L533" s="39" t="s">
        <v>2407</v>
      </c>
    </row>
    <row r="534" spans="2:12">
      <c r="B534" s="16" t="s">
        <v>47</v>
      </c>
      <c r="C534" s="46" t="s">
        <v>28</v>
      </c>
      <c r="D534" s="47">
        <v>45436</v>
      </c>
      <c r="F534" s="39"/>
      <c r="G534" s="16"/>
      <c r="I534" s="22">
        <v>10095790</v>
      </c>
      <c r="J534" s="21" t="s">
        <v>3303</v>
      </c>
      <c r="K534" s="39" t="s">
        <v>50</v>
      </c>
      <c r="L534" s="39" t="s">
        <v>2407</v>
      </c>
    </row>
    <row r="535" spans="2:12">
      <c r="B535" s="16" t="s">
        <v>47</v>
      </c>
      <c r="C535" s="46" t="s">
        <v>28</v>
      </c>
      <c r="D535" s="47">
        <v>45441</v>
      </c>
      <c r="F535" s="39"/>
      <c r="G535" s="16"/>
      <c r="I535" s="22">
        <v>10095883</v>
      </c>
      <c r="J535" s="21" t="s">
        <v>3304</v>
      </c>
      <c r="K535" s="39" t="s">
        <v>50</v>
      </c>
      <c r="L535" s="39" t="s">
        <v>2407</v>
      </c>
    </row>
    <row r="536" spans="2:12">
      <c r="B536" s="16" t="s">
        <v>47</v>
      </c>
      <c r="C536" s="46" t="s">
        <v>28</v>
      </c>
      <c r="D536" s="47">
        <v>45450</v>
      </c>
      <c r="F536" s="39"/>
      <c r="G536" s="16"/>
      <c r="I536" s="22">
        <v>10095907</v>
      </c>
      <c r="J536" s="21" t="s">
        <v>3305</v>
      </c>
      <c r="K536" s="39" t="s">
        <v>50</v>
      </c>
      <c r="L536" s="39" t="s">
        <v>2407</v>
      </c>
    </row>
    <row r="537" spans="2:12">
      <c r="B537" s="16" t="s">
        <v>47</v>
      </c>
      <c r="C537" s="46" t="s">
        <v>28</v>
      </c>
      <c r="D537" s="47">
        <v>45450</v>
      </c>
      <c r="F537" s="39"/>
      <c r="G537" s="16"/>
      <c r="I537" s="22">
        <v>10095906</v>
      </c>
      <c r="J537" s="21" t="s">
        <v>3306</v>
      </c>
      <c r="K537" s="39" t="s">
        <v>50</v>
      </c>
      <c r="L537" s="39" t="s">
        <v>2407</v>
      </c>
    </row>
    <row r="538" spans="2:12">
      <c r="B538" s="16" t="s">
        <v>47</v>
      </c>
      <c r="C538" s="46" t="s">
        <v>28</v>
      </c>
      <c r="D538" s="47">
        <v>45450</v>
      </c>
      <c r="F538" s="39"/>
      <c r="G538" s="16"/>
      <c r="I538" s="22">
        <v>10095908</v>
      </c>
      <c r="J538" s="21" t="s">
        <v>3307</v>
      </c>
      <c r="K538" s="39" t="s">
        <v>50</v>
      </c>
      <c r="L538" s="39" t="s">
        <v>2516</v>
      </c>
    </row>
    <row r="539" spans="2:12">
      <c r="B539" s="16" t="s">
        <v>47</v>
      </c>
      <c r="C539" s="46" t="s">
        <v>28</v>
      </c>
      <c r="D539" s="47">
        <v>45457</v>
      </c>
      <c r="F539" s="39"/>
      <c r="G539" s="16"/>
      <c r="I539" s="39">
        <v>10095979</v>
      </c>
      <c r="J539" s="16" t="s">
        <v>3308</v>
      </c>
      <c r="K539" s="39" t="s">
        <v>50</v>
      </c>
      <c r="L539" s="39" t="s">
        <v>2407</v>
      </c>
    </row>
    <row r="540" spans="2:12">
      <c r="B540" s="16" t="s">
        <v>47</v>
      </c>
      <c r="C540" s="46" t="s">
        <v>28</v>
      </c>
      <c r="D540" s="47">
        <v>45464</v>
      </c>
      <c r="F540" s="39"/>
      <c r="G540" s="16"/>
      <c r="I540" s="39">
        <v>10096220</v>
      </c>
      <c r="J540" s="16" t="s">
        <v>3309</v>
      </c>
      <c r="K540" s="39" t="s">
        <v>50</v>
      </c>
      <c r="L540" s="39" t="s">
        <v>2407</v>
      </c>
    </row>
    <row r="541" spans="2:12">
      <c r="B541" s="16" t="s">
        <v>47</v>
      </c>
      <c r="C541" s="46" t="s">
        <v>28</v>
      </c>
      <c r="D541" s="47">
        <v>45492</v>
      </c>
      <c r="F541" s="39"/>
      <c r="G541" s="16"/>
      <c r="I541" s="39">
        <v>10096322</v>
      </c>
      <c r="J541" s="16" t="s">
        <v>3310</v>
      </c>
      <c r="K541" s="39" t="s">
        <v>50</v>
      </c>
      <c r="L541" s="39" t="s">
        <v>2407</v>
      </c>
    </row>
    <row r="542" spans="2:12">
      <c r="B542" s="16" t="s">
        <v>47</v>
      </c>
      <c r="C542" s="46" t="s">
        <v>28</v>
      </c>
      <c r="D542" s="47">
        <v>45492</v>
      </c>
      <c r="F542" s="39"/>
      <c r="G542" s="16"/>
      <c r="I542" s="39">
        <v>10096323</v>
      </c>
      <c r="J542" s="16" t="s">
        <v>3311</v>
      </c>
      <c r="K542" s="39" t="s">
        <v>50</v>
      </c>
      <c r="L542" s="39" t="s">
        <v>2407</v>
      </c>
    </row>
    <row r="543" spans="2:12">
      <c r="B543" s="16" t="s">
        <v>47</v>
      </c>
      <c r="C543" s="46" t="s">
        <v>28</v>
      </c>
      <c r="D543" s="47">
        <v>45492</v>
      </c>
      <c r="F543" s="39"/>
      <c r="G543" s="16"/>
      <c r="I543" s="39">
        <v>10096324</v>
      </c>
      <c r="J543" s="16" t="s">
        <v>3312</v>
      </c>
      <c r="K543" s="39" t="s">
        <v>50</v>
      </c>
      <c r="L543" s="39" t="s">
        <v>2407</v>
      </c>
    </row>
    <row r="544" spans="2:12">
      <c r="B544" s="16" t="s">
        <v>47</v>
      </c>
      <c r="C544" s="46" t="s">
        <v>28</v>
      </c>
      <c r="D544" s="47">
        <v>45492</v>
      </c>
      <c r="F544" s="39"/>
      <c r="G544" s="16"/>
      <c r="I544" s="39">
        <v>10096321</v>
      </c>
      <c r="J544" s="16" t="s">
        <v>3313</v>
      </c>
      <c r="K544" s="39" t="s">
        <v>50</v>
      </c>
      <c r="L544" s="39" t="s">
        <v>2407</v>
      </c>
    </row>
    <row r="545" spans="2:12">
      <c r="B545" s="16" t="s">
        <v>47</v>
      </c>
      <c r="C545" s="46" t="s">
        <v>28</v>
      </c>
      <c r="D545" s="47">
        <v>45492</v>
      </c>
      <c r="F545" s="39"/>
      <c r="G545" s="16"/>
      <c r="I545" s="39">
        <v>10096319</v>
      </c>
      <c r="J545" s="16" t="s">
        <v>3314</v>
      </c>
      <c r="K545" s="39" t="s">
        <v>50</v>
      </c>
      <c r="L545" s="39" t="s">
        <v>2407</v>
      </c>
    </row>
    <row r="546" spans="2:12">
      <c r="B546" s="16" t="s">
        <v>47</v>
      </c>
      <c r="C546" s="46" t="s">
        <v>28</v>
      </c>
      <c r="D546" s="47">
        <v>45492</v>
      </c>
      <c r="F546" s="39"/>
      <c r="G546" s="16"/>
      <c r="I546" s="39">
        <v>10096318</v>
      </c>
      <c r="J546" s="16" t="s">
        <v>3315</v>
      </c>
      <c r="K546" s="39" t="s">
        <v>50</v>
      </c>
      <c r="L546" s="39" t="s">
        <v>2407</v>
      </c>
    </row>
    <row r="547" spans="2:12">
      <c r="B547" s="16" t="s">
        <v>47</v>
      </c>
      <c r="C547" s="46" t="s">
        <v>28</v>
      </c>
      <c r="D547" s="47">
        <v>45492</v>
      </c>
      <c r="F547" s="39"/>
      <c r="G547" s="16"/>
      <c r="I547" s="39">
        <v>10096317</v>
      </c>
      <c r="J547" s="16" t="s">
        <v>3316</v>
      </c>
      <c r="K547" s="39" t="s">
        <v>50</v>
      </c>
      <c r="L547" s="39" t="s">
        <v>2407</v>
      </c>
    </row>
    <row r="548" spans="2:12">
      <c r="B548" s="16" t="s">
        <v>47</v>
      </c>
      <c r="C548" s="80" t="s">
        <v>28</v>
      </c>
      <c r="D548" s="81">
        <v>45499</v>
      </c>
      <c r="E548" s="107"/>
      <c r="F548" s="82"/>
      <c r="G548" s="78"/>
      <c r="H548" s="107"/>
      <c r="I548" s="82">
        <v>10096352</v>
      </c>
      <c r="J548" s="16" t="s">
        <v>3317</v>
      </c>
      <c r="K548" s="39" t="s">
        <v>50</v>
      </c>
      <c r="L548" s="39" t="s">
        <v>2516</v>
      </c>
    </row>
    <row r="549" spans="2:12">
      <c r="B549" s="16" t="s">
        <v>47</v>
      </c>
      <c r="C549" s="80" t="s">
        <v>28</v>
      </c>
      <c r="D549" s="81">
        <v>45499</v>
      </c>
      <c r="E549" s="107"/>
      <c r="F549" s="82"/>
      <c r="G549" s="78"/>
      <c r="H549" s="107"/>
      <c r="I549" s="82">
        <v>10096375</v>
      </c>
      <c r="J549" s="16" t="s">
        <v>3318</v>
      </c>
      <c r="K549" s="39" t="s">
        <v>50</v>
      </c>
      <c r="L549" s="39" t="s">
        <v>2407</v>
      </c>
    </row>
    <row r="550" spans="2:12">
      <c r="B550" s="16" t="s">
        <v>47</v>
      </c>
      <c r="C550" s="80" t="s">
        <v>28</v>
      </c>
      <c r="D550" s="81">
        <v>45499</v>
      </c>
      <c r="E550" s="107"/>
      <c r="F550" s="82"/>
      <c r="G550" s="78"/>
      <c r="H550" s="107"/>
      <c r="I550" s="82">
        <v>10096528</v>
      </c>
      <c r="J550" s="78" t="s">
        <v>3319</v>
      </c>
      <c r="K550" s="39" t="s">
        <v>50</v>
      </c>
      <c r="L550" s="39" t="s">
        <v>2407</v>
      </c>
    </row>
    <row r="551" spans="2:12">
      <c r="B551" s="16" t="s">
        <v>47</v>
      </c>
      <c r="C551" s="80" t="s">
        <v>28</v>
      </c>
      <c r="D551" s="81">
        <v>45506</v>
      </c>
      <c r="E551" s="107"/>
      <c r="F551" s="82"/>
      <c r="G551" s="78"/>
      <c r="H551" s="107"/>
      <c r="I551" s="82">
        <v>10096553</v>
      </c>
      <c r="J551" s="78" t="s">
        <v>3320</v>
      </c>
      <c r="K551" s="39" t="s">
        <v>50</v>
      </c>
      <c r="L551" s="39" t="s">
        <v>2407</v>
      </c>
    </row>
    <row r="552" spans="2:12">
      <c r="B552" s="16" t="s">
        <v>47</v>
      </c>
      <c r="C552" s="80" t="s">
        <v>28</v>
      </c>
      <c r="D552" s="81">
        <v>45506</v>
      </c>
      <c r="E552" s="107"/>
      <c r="F552" s="82"/>
      <c r="G552" s="78"/>
      <c r="H552" s="107"/>
      <c r="I552" s="82">
        <v>10096554</v>
      </c>
      <c r="J552" s="78" t="s">
        <v>3321</v>
      </c>
      <c r="K552" s="39" t="s">
        <v>50</v>
      </c>
      <c r="L552" s="39" t="s">
        <v>2407</v>
      </c>
    </row>
    <row r="553" spans="2:12">
      <c r="B553" s="16" t="s">
        <v>47</v>
      </c>
      <c r="C553" s="80" t="s">
        <v>28</v>
      </c>
      <c r="D553" s="81">
        <v>45506</v>
      </c>
      <c r="E553" s="107"/>
      <c r="F553" s="82"/>
      <c r="G553" s="78"/>
      <c r="H553" s="107"/>
      <c r="I553" s="82">
        <v>10096555</v>
      </c>
      <c r="J553" s="78" t="s">
        <v>3322</v>
      </c>
      <c r="K553" s="39" t="s">
        <v>50</v>
      </c>
      <c r="L553" s="39" t="s">
        <v>2407</v>
      </c>
    </row>
    <row r="554" spans="2:12">
      <c r="B554" s="16" t="s">
        <v>47</v>
      </c>
      <c r="C554" s="80" t="s">
        <v>28</v>
      </c>
      <c r="D554" s="81">
        <v>45506</v>
      </c>
      <c r="E554" s="107"/>
      <c r="F554" s="82"/>
      <c r="G554" s="78"/>
      <c r="H554" s="107"/>
      <c r="I554" s="82">
        <v>10096556</v>
      </c>
      <c r="J554" s="78" t="s">
        <v>3323</v>
      </c>
      <c r="K554" s="39" t="s">
        <v>50</v>
      </c>
      <c r="L554" s="39" t="s">
        <v>2407</v>
      </c>
    </row>
    <row r="555" spans="2:12">
      <c r="B555" s="16" t="s">
        <v>47</v>
      </c>
      <c r="C555" s="46" t="s">
        <v>28</v>
      </c>
      <c r="D555" s="47">
        <v>45513</v>
      </c>
      <c r="F555" s="39"/>
      <c r="G555" s="39"/>
      <c r="I555" s="39">
        <v>10096586</v>
      </c>
      <c r="J555" s="16" t="s">
        <v>3324</v>
      </c>
      <c r="K555" s="39" t="s">
        <v>50</v>
      </c>
      <c r="L555" s="39" t="s">
        <v>2407</v>
      </c>
    </row>
    <row r="556" spans="2:12">
      <c r="B556" s="16" t="s">
        <v>47</v>
      </c>
      <c r="C556" s="46" t="s">
        <v>28</v>
      </c>
      <c r="D556" s="47">
        <v>45525</v>
      </c>
      <c r="F556" s="39"/>
      <c r="G556" s="16"/>
      <c r="I556" s="39">
        <v>10096643</v>
      </c>
      <c r="J556" s="16" t="s">
        <v>3325</v>
      </c>
      <c r="K556" s="39" t="s">
        <v>50</v>
      </c>
      <c r="L556" s="39" t="s">
        <v>2407</v>
      </c>
    </row>
    <row r="557" spans="2:12">
      <c r="B557" s="16" t="s">
        <v>47</v>
      </c>
      <c r="C557" s="46" t="s">
        <v>28</v>
      </c>
      <c r="D557" s="47">
        <v>45525</v>
      </c>
      <c r="F557" s="39"/>
      <c r="G557" s="16"/>
      <c r="I557" s="39">
        <v>10096644</v>
      </c>
      <c r="J557" s="16" t="s">
        <v>3326</v>
      </c>
      <c r="K557" s="39" t="s">
        <v>50</v>
      </c>
      <c r="L557" s="39" t="s">
        <v>2407</v>
      </c>
    </row>
    <row r="558" spans="2:12">
      <c r="B558" s="16" t="s">
        <v>47</v>
      </c>
      <c r="C558" s="46" t="s">
        <v>28</v>
      </c>
      <c r="D558" s="47">
        <v>45525</v>
      </c>
      <c r="F558" s="39"/>
      <c r="G558" s="16"/>
      <c r="I558" s="39">
        <v>10096645</v>
      </c>
      <c r="J558" s="16" t="s">
        <v>3327</v>
      </c>
      <c r="K558" s="39" t="s">
        <v>50</v>
      </c>
      <c r="L558" s="39" t="s">
        <v>2407</v>
      </c>
    </row>
    <row r="559" spans="2:12">
      <c r="B559" s="16" t="s">
        <v>47</v>
      </c>
      <c r="C559" s="46" t="s">
        <v>28</v>
      </c>
      <c r="D559" s="47">
        <v>45525</v>
      </c>
      <c r="F559" s="39"/>
      <c r="G559" s="16"/>
      <c r="I559" s="39">
        <v>10096646</v>
      </c>
      <c r="J559" s="16" t="s">
        <v>3328</v>
      </c>
      <c r="K559" s="39" t="s">
        <v>50</v>
      </c>
      <c r="L559" s="39" t="s">
        <v>2407</v>
      </c>
    </row>
    <row r="560" spans="2:12">
      <c r="B560" s="16" t="s">
        <v>47</v>
      </c>
      <c r="C560" s="46" t="s">
        <v>28</v>
      </c>
      <c r="D560" s="47">
        <v>45538</v>
      </c>
      <c r="F560" s="39"/>
      <c r="G560" s="16"/>
      <c r="I560" s="39">
        <v>10096680</v>
      </c>
      <c r="J560" s="16" t="s">
        <v>3329</v>
      </c>
      <c r="K560" s="39" t="s">
        <v>50</v>
      </c>
      <c r="L560" s="39" t="s">
        <v>2407</v>
      </c>
    </row>
    <row r="561" spans="2:12">
      <c r="B561" s="16" t="s">
        <v>47</v>
      </c>
      <c r="C561" s="46" t="s">
        <v>28</v>
      </c>
      <c r="D561" s="47">
        <v>45538</v>
      </c>
      <c r="F561" s="39"/>
      <c r="G561" s="16"/>
      <c r="I561" s="39">
        <v>10096681</v>
      </c>
      <c r="J561" s="16" t="s">
        <v>3330</v>
      </c>
      <c r="K561" s="39" t="s">
        <v>50</v>
      </c>
      <c r="L561" s="39" t="s">
        <v>2407</v>
      </c>
    </row>
    <row r="562" spans="2:12">
      <c r="B562" s="16" t="s">
        <v>47</v>
      </c>
      <c r="C562" s="46" t="s">
        <v>28</v>
      </c>
      <c r="D562" s="47">
        <v>45538</v>
      </c>
      <c r="F562" s="39"/>
      <c r="G562" s="16"/>
      <c r="I562" s="39">
        <v>10096682</v>
      </c>
      <c r="J562" s="16" t="s">
        <v>3331</v>
      </c>
      <c r="K562" s="39" t="s">
        <v>50</v>
      </c>
      <c r="L562" s="39" t="s">
        <v>2407</v>
      </c>
    </row>
    <row r="563" spans="2:12">
      <c r="B563" s="16" t="s">
        <v>47</v>
      </c>
      <c r="C563" s="46" t="s">
        <v>28</v>
      </c>
      <c r="D563" s="47">
        <v>45538</v>
      </c>
      <c r="F563" s="39"/>
      <c r="G563" s="16"/>
      <c r="I563" s="39">
        <v>10096683</v>
      </c>
      <c r="J563" s="16" t="s">
        <v>3332</v>
      </c>
      <c r="K563" s="39" t="s">
        <v>50</v>
      </c>
      <c r="L563" s="39" t="s">
        <v>2407</v>
      </c>
    </row>
    <row r="564" spans="2:12">
      <c r="B564" s="16" t="s">
        <v>47</v>
      </c>
      <c r="C564" s="46" t="s">
        <v>28</v>
      </c>
      <c r="D564" s="47">
        <v>45538</v>
      </c>
      <c r="F564" s="39"/>
      <c r="G564" s="16"/>
      <c r="I564" s="39">
        <v>10096688</v>
      </c>
      <c r="J564" s="16" t="s">
        <v>3333</v>
      </c>
      <c r="K564" s="39" t="s">
        <v>50</v>
      </c>
      <c r="L564" s="39" t="s">
        <v>2407</v>
      </c>
    </row>
    <row r="565" spans="2:12">
      <c r="B565" s="16" t="s">
        <v>47</v>
      </c>
      <c r="C565" s="46" t="s">
        <v>28</v>
      </c>
      <c r="D565" s="47">
        <v>45538</v>
      </c>
      <c r="F565" s="39"/>
      <c r="G565" s="16"/>
      <c r="I565" s="39">
        <v>10096689</v>
      </c>
      <c r="J565" s="16" t="s">
        <v>3334</v>
      </c>
      <c r="K565" s="39" t="s">
        <v>50</v>
      </c>
      <c r="L565" s="39" t="s">
        <v>2407</v>
      </c>
    </row>
    <row r="566" spans="2:12">
      <c r="B566" s="16" t="s">
        <v>47</v>
      </c>
      <c r="C566" s="46" t="s">
        <v>28</v>
      </c>
      <c r="D566" s="47">
        <v>45538</v>
      </c>
      <c r="F566" s="39"/>
      <c r="G566" s="16"/>
      <c r="I566" s="39">
        <v>10096695</v>
      </c>
      <c r="J566" s="16" t="s">
        <v>3335</v>
      </c>
      <c r="K566" s="39" t="s">
        <v>50</v>
      </c>
      <c r="L566" s="39" t="s">
        <v>2407</v>
      </c>
    </row>
    <row r="567" spans="2:12">
      <c r="B567" s="16" t="s">
        <v>47</v>
      </c>
      <c r="C567" s="46" t="s">
        <v>28</v>
      </c>
      <c r="D567" s="47">
        <v>45538</v>
      </c>
      <c r="F567" s="39"/>
      <c r="G567" s="16"/>
      <c r="I567" s="39">
        <v>10096690</v>
      </c>
      <c r="J567" s="16" t="s">
        <v>3336</v>
      </c>
      <c r="K567" s="39" t="s">
        <v>50</v>
      </c>
      <c r="L567" s="39" t="s">
        <v>2407</v>
      </c>
    </row>
    <row r="568" spans="2:12">
      <c r="B568" s="16" t="s">
        <v>47</v>
      </c>
      <c r="C568" s="46" t="s">
        <v>28</v>
      </c>
      <c r="D568" s="47">
        <v>45538</v>
      </c>
      <c r="F568" s="39"/>
      <c r="G568" s="16"/>
      <c r="I568" s="39">
        <v>10096691</v>
      </c>
      <c r="J568" s="16" t="s">
        <v>3337</v>
      </c>
      <c r="K568" s="39" t="s">
        <v>50</v>
      </c>
      <c r="L568" s="39" t="s">
        <v>2407</v>
      </c>
    </row>
    <row r="569" spans="2:12">
      <c r="B569" s="16" t="s">
        <v>47</v>
      </c>
      <c r="C569" s="46" t="s">
        <v>28</v>
      </c>
      <c r="D569" s="47">
        <v>45539</v>
      </c>
      <c r="F569" s="39"/>
      <c r="G569" s="16"/>
      <c r="I569" s="39">
        <v>10096702</v>
      </c>
      <c r="J569" s="16" t="s">
        <v>3338</v>
      </c>
      <c r="K569" s="39" t="s">
        <v>50</v>
      </c>
      <c r="L569" s="39" t="s">
        <v>2516</v>
      </c>
    </row>
    <row r="570" spans="2:12">
      <c r="B570" s="16" t="s">
        <v>47</v>
      </c>
      <c r="C570" s="46" t="s">
        <v>28</v>
      </c>
      <c r="D570" s="47">
        <v>45539</v>
      </c>
      <c r="F570" s="39"/>
      <c r="G570" s="16"/>
      <c r="I570" s="39">
        <v>10096703</v>
      </c>
      <c r="J570" s="16" t="s">
        <v>3339</v>
      </c>
      <c r="K570" s="39" t="s">
        <v>50</v>
      </c>
      <c r="L570" s="39" t="s">
        <v>2407</v>
      </c>
    </row>
    <row r="571" spans="2:12">
      <c r="B571" s="16" t="s">
        <v>47</v>
      </c>
      <c r="C571" s="80" t="s">
        <v>28</v>
      </c>
      <c r="D571" s="81">
        <v>45569</v>
      </c>
      <c r="E571" s="107"/>
      <c r="F571" s="82"/>
      <c r="G571" s="78"/>
      <c r="H571" s="107"/>
      <c r="I571" s="82">
        <v>10096794</v>
      </c>
      <c r="J571" s="16" t="s">
        <v>3340</v>
      </c>
      <c r="K571" s="39" t="s">
        <v>50</v>
      </c>
      <c r="L571" s="39" t="s">
        <v>2516</v>
      </c>
    </row>
    <row r="572" spans="2:12">
      <c r="B572" s="16" t="s">
        <v>47</v>
      </c>
      <c r="C572" s="80" t="s">
        <v>28</v>
      </c>
      <c r="D572" s="81">
        <v>45569</v>
      </c>
      <c r="E572" s="107"/>
      <c r="F572" s="82"/>
      <c r="G572" s="78"/>
      <c r="H572" s="107"/>
      <c r="I572" s="82">
        <v>10096795</v>
      </c>
      <c r="J572" s="16" t="s">
        <v>3341</v>
      </c>
      <c r="K572" s="39" t="s">
        <v>50</v>
      </c>
      <c r="L572" s="39" t="s">
        <v>2407</v>
      </c>
    </row>
    <row r="573" spans="2:12">
      <c r="B573" s="16" t="s">
        <v>47</v>
      </c>
      <c r="C573" s="80" t="s">
        <v>28</v>
      </c>
      <c r="D573" s="81">
        <v>45604</v>
      </c>
      <c r="E573" s="107"/>
      <c r="F573" s="82"/>
      <c r="G573" s="78"/>
      <c r="H573" s="107"/>
      <c r="I573" s="82">
        <v>10097011</v>
      </c>
      <c r="J573" s="78" t="s">
        <v>3342</v>
      </c>
      <c r="K573" s="39" t="s">
        <v>50</v>
      </c>
      <c r="L573" s="39" t="s">
        <v>2407</v>
      </c>
    </row>
    <row r="574" spans="2:12">
      <c r="B574" s="16" t="s">
        <v>47</v>
      </c>
      <c r="C574" s="46" t="s">
        <v>28</v>
      </c>
      <c r="D574" s="47">
        <v>45618</v>
      </c>
      <c r="F574" s="39"/>
      <c r="G574" s="16"/>
      <c r="I574" s="39">
        <v>10097083</v>
      </c>
      <c r="J574" s="16" t="s">
        <v>3343</v>
      </c>
      <c r="K574" s="39" t="s">
        <v>50</v>
      </c>
      <c r="L574" s="39" t="s">
        <v>2516</v>
      </c>
    </row>
    <row r="575" spans="2:12">
      <c r="B575" s="16" t="s">
        <v>47</v>
      </c>
      <c r="C575" s="46" t="s">
        <v>28</v>
      </c>
      <c r="D575" s="47">
        <v>45618</v>
      </c>
      <c r="F575" s="39"/>
      <c r="G575" s="16"/>
      <c r="I575" s="39">
        <v>10097079</v>
      </c>
      <c r="J575" s="16" t="s">
        <v>3344</v>
      </c>
      <c r="K575" s="39" t="s">
        <v>50</v>
      </c>
      <c r="L575" s="39" t="s">
        <v>2407</v>
      </c>
    </row>
    <row r="576" spans="2:12">
      <c r="B576" s="16" t="s">
        <v>47</v>
      </c>
      <c r="C576" s="46" t="s">
        <v>28</v>
      </c>
      <c r="D576" s="47">
        <v>45625</v>
      </c>
      <c r="F576" s="39"/>
      <c r="G576" s="16"/>
      <c r="I576" s="39">
        <v>10097113</v>
      </c>
      <c r="J576" s="16" t="s">
        <v>3345</v>
      </c>
      <c r="K576" s="39" t="s">
        <v>50</v>
      </c>
      <c r="L576" s="39" t="s">
        <v>2407</v>
      </c>
    </row>
    <row r="577" spans="2:12">
      <c r="B577" s="16" t="s">
        <v>47</v>
      </c>
      <c r="C577" s="46" t="s">
        <v>28</v>
      </c>
      <c r="D577" s="47">
        <v>45625</v>
      </c>
      <c r="F577" s="39"/>
      <c r="G577" s="16"/>
      <c r="I577" s="39">
        <v>10097139</v>
      </c>
      <c r="J577" s="16" t="s">
        <v>3346</v>
      </c>
      <c r="K577" s="39" t="s">
        <v>50</v>
      </c>
      <c r="L577" s="39" t="s">
        <v>2516</v>
      </c>
    </row>
    <row r="578" spans="2:12" s="107" customFormat="1">
      <c r="B578" s="78" t="s">
        <v>47</v>
      </c>
      <c r="C578" s="46" t="s">
        <v>28</v>
      </c>
      <c r="D578" s="47">
        <v>45639</v>
      </c>
      <c r="E578"/>
      <c r="F578" s="39"/>
      <c r="G578" s="16"/>
      <c r="H578"/>
      <c r="I578" s="39">
        <v>10097238</v>
      </c>
      <c r="J578" s="16" t="s">
        <v>3347</v>
      </c>
      <c r="K578" s="82" t="s">
        <v>50</v>
      </c>
      <c r="L578" s="82" t="s">
        <v>2407</v>
      </c>
    </row>
    <row r="579" spans="2:12" s="107" customFormat="1">
      <c r="B579" s="78" t="s">
        <v>47</v>
      </c>
      <c r="C579" s="46" t="s">
        <v>28</v>
      </c>
      <c r="D579" s="47">
        <v>45639</v>
      </c>
      <c r="E579"/>
      <c r="F579" s="39"/>
      <c r="G579" s="16"/>
      <c r="H579"/>
      <c r="I579" s="39">
        <v>10097239</v>
      </c>
      <c r="J579" s="16" t="s">
        <v>3348</v>
      </c>
      <c r="K579" s="82" t="s">
        <v>50</v>
      </c>
      <c r="L579" s="82" t="s">
        <v>2407</v>
      </c>
    </row>
    <row r="580" spans="2:12">
      <c r="B580" s="78" t="s">
        <v>47</v>
      </c>
      <c r="C580" s="46" t="s">
        <v>28</v>
      </c>
      <c r="D580" s="47">
        <v>45646</v>
      </c>
      <c r="F580" s="39"/>
      <c r="G580" s="16"/>
      <c r="I580" s="39">
        <v>10097240</v>
      </c>
      <c r="J580" s="16" t="s">
        <v>3349</v>
      </c>
      <c r="K580" s="82" t="s">
        <v>50</v>
      </c>
      <c r="L580" s="82" t="s">
        <v>2407</v>
      </c>
    </row>
    <row r="581" spans="2:12">
      <c r="B581" s="78" t="s">
        <v>47</v>
      </c>
      <c r="C581" s="46" t="s">
        <v>28</v>
      </c>
      <c r="D581" s="47">
        <v>45702</v>
      </c>
      <c r="F581" s="39"/>
      <c r="G581" s="16"/>
      <c r="I581" s="39">
        <v>10097489</v>
      </c>
      <c r="J581" s="16" t="s">
        <v>3350</v>
      </c>
      <c r="K581" s="82" t="s">
        <v>50</v>
      </c>
      <c r="L581" s="82" t="s">
        <v>2407</v>
      </c>
    </row>
    <row r="582" spans="2:12">
      <c r="B582" s="78" t="s">
        <v>47</v>
      </c>
      <c r="C582" s="46" t="s">
        <v>28</v>
      </c>
      <c r="D582" s="47">
        <v>45709</v>
      </c>
      <c r="F582" s="39"/>
      <c r="G582" s="16"/>
      <c r="I582" s="39">
        <v>10097563</v>
      </c>
      <c r="J582" s="16" t="s">
        <v>3351</v>
      </c>
      <c r="K582" s="82" t="s">
        <v>50</v>
      </c>
      <c r="L582" s="82" t="s">
        <v>2407</v>
      </c>
    </row>
    <row r="583" spans="2:12">
      <c r="B583" s="78" t="s">
        <v>47</v>
      </c>
      <c r="C583" s="46" t="s">
        <v>28</v>
      </c>
      <c r="D583" s="47">
        <v>45709</v>
      </c>
      <c r="F583" s="39"/>
      <c r="G583" s="16"/>
      <c r="I583" s="39">
        <v>10110032</v>
      </c>
      <c r="J583" s="16" t="s">
        <v>3352</v>
      </c>
      <c r="K583" s="82" t="s">
        <v>50</v>
      </c>
      <c r="L583" s="82" t="s">
        <v>2407</v>
      </c>
    </row>
    <row r="584" spans="2:12">
      <c r="B584" s="78" t="s">
        <v>47</v>
      </c>
      <c r="C584" s="46" t="s">
        <v>28</v>
      </c>
      <c r="D584" s="47">
        <v>45723</v>
      </c>
      <c r="F584" s="39"/>
      <c r="G584" s="16"/>
      <c r="I584" s="39">
        <v>10110081</v>
      </c>
      <c r="J584" s="16" t="s">
        <v>3353</v>
      </c>
      <c r="K584" s="82" t="s">
        <v>50</v>
      </c>
      <c r="L584" s="82" t="s">
        <v>2407</v>
      </c>
    </row>
    <row r="585" spans="2:12">
      <c r="B585" s="78" t="s">
        <v>47</v>
      </c>
      <c r="C585" s="46" t="s">
        <v>28</v>
      </c>
      <c r="D585" s="47">
        <v>45723</v>
      </c>
      <c r="F585" s="39"/>
      <c r="G585" s="16"/>
      <c r="I585" s="39">
        <v>10110082</v>
      </c>
      <c r="J585" s="16" t="s">
        <v>3354</v>
      </c>
      <c r="K585" s="82" t="s">
        <v>50</v>
      </c>
      <c r="L585" s="82" t="s">
        <v>2407</v>
      </c>
    </row>
    <row r="586" spans="2:12">
      <c r="B586" s="78" t="s">
        <v>47</v>
      </c>
      <c r="C586" s="46" t="s">
        <v>28</v>
      </c>
      <c r="D586" s="47">
        <v>45758</v>
      </c>
      <c r="F586" s="39"/>
      <c r="G586" s="16"/>
      <c r="I586" s="39">
        <v>10110147</v>
      </c>
      <c r="J586" s="16" t="s">
        <v>3355</v>
      </c>
      <c r="K586" s="82" t="s">
        <v>50</v>
      </c>
      <c r="L586" s="82" t="s">
        <v>2407</v>
      </c>
    </row>
    <row r="587" spans="2:12">
      <c r="B587" s="78" t="s">
        <v>47</v>
      </c>
      <c r="C587" s="46" t="s">
        <v>28</v>
      </c>
      <c r="D587" s="47">
        <v>45758</v>
      </c>
      <c r="F587" s="39"/>
      <c r="G587" s="16"/>
      <c r="I587" s="39">
        <v>10110146</v>
      </c>
      <c r="J587" s="16" t="s">
        <v>3356</v>
      </c>
      <c r="K587" s="82" t="s">
        <v>50</v>
      </c>
      <c r="L587" s="82" t="s">
        <v>2407</v>
      </c>
    </row>
    <row r="588" spans="2:12">
      <c r="B588" s="78" t="s">
        <v>47</v>
      </c>
      <c r="C588" s="46" t="s">
        <v>28</v>
      </c>
      <c r="D588" s="47">
        <v>45758</v>
      </c>
      <c r="F588" s="39"/>
      <c r="G588" s="16"/>
      <c r="I588" s="39">
        <v>10097945</v>
      </c>
      <c r="J588" s="16" t="s">
        <v>3357</v>
      </c>
      <c r="K588" s="82" t="s">
        <v>50</v>
      </c>
      <c r="L588" s="82" t="s">
        <v>2407</v>
      </c>
    </row>
    <row r="589" spans="2:12">
      <c r="B589" s="78" t="s">
        <v>47</v>
      </c>
      <c r="C589" s="46" t="s">
        <v>28</v>
      </c>
      <c r="D589" s="47">
        <v>45758</v>
      </c>
      <c r="F589" s="39"/>
      <c r="G589" s="16"/>
      <c r="I589" s="39">
        <v>10110160</v>
      </c>
      <c r="J589" s="16" t="s">
        <v>3358</v>
      </c>
      <c r="K589" s="82" t="s">
        <v>50</v>
      </c>
      <c r="L589" s="82" t="s">
        <v>2407</v>
      </c>
    </row>
    <row r="590" spans="2:12">
      <c r="B590" s="78" t="s">
        <v>47</v>
      </c>
      <c r="C590" s="46" t="s">
        <v>28</v>
      </c>
      <c r="D590" s="47">
        <v>45764</v>
      </c>
      <c r="F590" s="39"/>
      <c r="G590" s="16"/>
      <c r="I590" s="39">
        <v>10098161</v>
      </c>
      <c r="J590" s="16" t="s">
        <v>3359</v>
      </c>
      <c r="K590" s="82" t="s">
        <v>50</v>
      </c>
      <c r="L590" s="82" t="s">
        <v>2516</v>
      </c>
    </row>
    <row r="591" spans="2:12">
      <c r="B591" s="78" t="s">
        <v>47</v>
      </c>
      <c r="C591" s="46" t="s">
        <v>28</v>
      </c>
      <c r="D591" s="47">
        <v>45764</v>
      </c>
      <c r="F591" s="39"/>
      <c r="G591" s="16"/>
      <c r="I591" s="39">
        <v>10110175</v>
      </c>
      <c r="J591" s="16" t="s">
        <v>3360</v>
      </c>
      <c r="K591" s="82" t="s">
        <v>50</v>
      </c>
      <c r="L591" s="82" t="s">
        <v>2516</v>
      </c>
    </row>
    <row r="592" spans="2:12">
      <c r="B592" s="78" t="s">
        <v>47</v>
      </c>
      <c r="C592" s="46" t="s">
        <v>28</v>
      </c>
      <c r="D592" s="47">
        <v>45764</v>
      </c>
      <c r="F592" s="39"/>
      <c r="G592" s="16"/>
      <c r="I592" s="39">
        <v>10110176</v>
      </c>
      <c r="J592" s="16" t="s">
        <v>3361</v>
      </c>
      <c r="K592" s="82" t="s">
        <v>50</v>
      </c>
      <c r="L592" s="82" t="s">
        <v>2516</v>
      </c>
    </row>
    <row r="593" spans="2:12">
      <c r="B593" s="78" t="s">
        <v>47</v>
      </c>
      <c r="C593" s="46" t="s">
        <v>28</v>
      </c>
      <c r="D593" s="47">
        <v>45772</v>
      </c>
      <c r="F593" s="39"/>
      <c r="G593" s="16"/>
      <c r="I593" s="39">
        <v>10110187</v>
      </c>
      <c r="J593" s="16" t="s">
        <v>3362</v>
      </c>
      <c r="K593" s="82" t="s">
        <v>50</v>
      </c>
      <c r="L593" s="82" t="s">
        <v>2516</v>
      </c>
    </row>
    <row r="594" spans="2:12">
      <c r="B594" s="78" t="s">
        <v>47</v>
      </c>
      <c r="C594" s="46" t="s">
        <v>28</v>
      </c>
      <c r="D594" s="47">
        <v>45772</v>
      </c>
      <c r="F594" s="39"/>
      <c r="G594" s="16"/>
      <c r="I594" s="39">
        <v>10110188</v>
      </c>
      <c r="J594" s="16" t="s">
        <v>3363</v>
      </c>
      <c r="K594" s="82" t="s">
        <v>50</v>
      </c>
      <c r="L594" s="82" t="s">
        <v>2516</v>
      </c>
    </row>
    <row r="595" spans="2:12">
      <c r="B595" s="78" t="s">
        <v>47</v>
      </c>
      <c r="C595" s="46" t="s">
        <v>28</v>
      </c>
      <c r="D595" s="47">
        <v>45786</v>
      </c>
      <c r="F595" s="39"/>
      <c r="G595" s="16"/>
      <c r="I595" s="39">
        <v>10098196</v>
      </c>
      <c r="J595" s="16" t="s">
        <v>3364</v>
      </c>
      <c r="K595" s="82" t="s">
        <v>50</v>
      </c>
      <c r="L595" s="82" t="s">
        <v>2516</v>
      </c>
    </row>
    <row r="596" spans="2:12">
      <c r="B596" s="78" t="s">
        <v>47</v>
      </c>
      <c r="C596" s="46" t="s">
        <v>28</v>
      </c>
      <c r="D596" s="47">
        <v>45786</v>
      </c>
      <c r="F596" s="39"/>
      <c r="G596" s="16"/>
      <c r="I596" s="39">
        <v>10098197</v>
      </c>
      <c r="J596" s="16" t="s">
        <v>3365</v>
      </c>
      <c r="K596" s="82" t="s">
        <v>50</v>
      </c>
      <c r="L596" s="82" t="s">
        <v>2516</v>
      </c>
    </row>
    <row r="597" spans="2:12">
      <c r="B597" s="78" t="s">
        <v>47</v>
      </c>
      <c r="C597" s="46" t="s">
        <v>28</v>
      </c>
      <c r="D597" s="47">
        <v>45786</v>
      </c>
      <c r="F597" s="39"/>
      <c r="G597" s="16"/>
      <c r="I597" s="39">
        <v>10098203</v>
      </c>
      <c r="J597" s="16" t="s">
        <v>3366</v>
      </c>
      <c r="K597" s="82" t="s">
        <v>50</v>
      </c>
      <c r="L597" s="82" t="s">
        <v>2516</v>
      </c>
    </row>
    <row r="598" spans="2:12">
      <c r="B598" s="16" t="s">
        <v>47</v>
      </c>
      <c r="C598" s="46" t="s">
        <v>28</v>
      </c>
      <c r="D598" s="47">
        <v>45793</v>
      </c>
      <c r="F598" s="39"/>
      <c r="G598" s="16"/>
      <c r="I598" s="39">
        <v>10110203</v>
      </c>
      <c r="J598" s="16" t="s">
        <v>3367</v>
      </c>
      <c r="K598" s="82" t="s">
        <v>50</v>
      </c>
      <c r="L598" s="82" t="s">
        <v>2516</v>
      </c>
    </row>
    <row r="599" spans="2:12">
      <c r="B599" s="16" t="s">
        <v>47</v>
      </c>
      <c r="C599" s="46" t="s">
        <v>28</v>
      </c>
      <c r="D599" s="47">
        <v>45800</v>
      </c>
      <c r="F599" s="39"/>
      <c r="G599" s="16"/>
      <c r="I599" s="39">
        <v>10098384</v>
      </c>
      <c r="J599" s="16" t="s">
        <v>3368</v>
      </c>
      <c r="K599" s="82" t="s">
        <v>50</v>
      </c>
      <c r="L599" s="39" t="s">
        <v>2407</v>
      </c>
    </row>
    <row r="600" spans="2:12">
      <c r="B600" s="16" t="s">
        <v>47</v>
      </c>
      <c r="C600" s="112" t="s">
        <v>28</v>
      </c>
      <c r="D600" s="47">
        <v>45821</v>
      </c>
      <c r="F600" s="39"/>
      <c r="G600" s="16"/>
      <c r="I600" s="39">
        <v>10098544</v>
      </c>
      <c r="J600" s="16" t="s">
        <v>3369</v>
      </c>
      <c r="K600" s="82" t="s">
        <v>50</v>
      </c>
      <c r="L600" s="39" t="s">
        <v>2407</v>
      </c>
    </row>
    <row r="601" spans="2:12">
      <c r="B601" s="16" t="s">
        <v>47</v>
      </c>
      <c r="C601" s="112" t="s">
        <v>28</v>
      </c>
      <c r="D601" s="47">
        <v>45856</v>
      </c>
      <c r="F601" s="39"/>
      <c r="G601" s="16"/>
      <c r="I601" s="39">
        <v>10099051</v>
      </c>
      <c r="J601" s="16" t="s">
        <v>3370</v>
      </c>
      <c r="K601" s="39" t="s">
        <v>2552</v>
      </c>
      <c r="L601" s="39" t="s">
        <v>2516</v>
      </c>
    </row>
    <row r="602" spans="2:12">
      <c r="B602" s="16" t="s">
        <v>47</v>
      </c>
      <c r="C602" s="46" t="s">
        <v>28</v>
      </c>
      <c r="D602" s="47">
        <v>45896</v>
      </c>
      <c r="F602" s="39"/>
      <c r="G602" s="16"/>
      <c r="I602" s="39">
        <v>10099238</v>
      </c>
      <c r="J602" s="16" t="s">
        <v>3371</v>
      </c>
      <c r="K602" s="39" t="s">
        <v>2552</v>
      </c>
      <c r="L602" s="39" t="s">
        <v>2516</v>
      </c>
    </row>
    <row r="603" spans="2:12">
      <c r="B603" s="16" t="s">
        <v>47</v>
      </c>
      <c r="C603" s="46" t="s">
        <v>28</v>
      </c>
      <c r="D603" s="47">
        <v>45940</v>
      </c>
      <c r="F603" s="39"/>
      <c r="G603" s="16"/>
      <c r="I603" s="39">
        <v>10099448</v>
      </c>
      <c r="J603" s="16" t="s">
        <v>3372</v>
      </c>
      <c r="K603" s="39" t="s">
        <v>2552</v>
      </c>
      <c r="L603" s="39" t="s">
        <v>2516</v>
      </c>
    </row>
    <row r="604" spans="2:12">
      <c r="B604" s="16" t="s">
        <v>47</v>
      </c>
      <c r="C604" s="46" t="s">
        <v>28</v>
      </c>
      <c r="D604" s="47">
        <v>45940</v>
      </c>
      <c r="F604" s="39"/>
      <c r="G604" s="16"/>
      <c r="I604" s="39">
        <v>10099572</v>
      </c>
      <c r="J604" s="16" t="s">
        <v>3373</v>
      </c>
      <c r="K604" s="39" t="s">
        <v>2552</v>
      </c>
      <c r="L604" s="39" t="s">
        <v>2516</v>
      </c>
    </row>
    <row r="605" spans="2:12">
      <c r="B605" s="16" t="s">
        <v>47</v>
      </c>
      <c r="C605" s="46" t="s">
        <v>28</v>
      </c>
      <c r="D605" s="47">
        <v>45947</v>
      </c>
      <c r="F605" s="39"/>
      <c r="G605" s="16"/>
      <c r="I605" s="39">
        <v>10099631</v>
      </c>
      <c r="J605" s="16" t="s">
        <v>3374</v>
      </c>
      <c r="K605" s="39" t="s">
        <v>2552</v>
      </c>
      <c r="L605" s="39" t="s">
        <v>2516</v>
      </c>
    </row>
    <row r="606" spans="2:12">
      <c r="B606" s="16" t="s">
        <v>47</v>
      </c>
      <c r="C606" s="46" t="s">
        <v>28</v>
      </c>
      <c r="D606" s="47">
        <v>45954</v>
      </c>
      <c r="F606" s="39"/>
      <c r="G606" s="16"/>
      <c r="I606" s="39">
        <v>10099661</v>
      </c>
      <c r="J606" s="16" t="s">
        <v>3375</v>
      </c>
      <c r="K606" s="39" t="s">
        <v>2552</v>
      </c>
      <c r="L606" s="39" t="s">
        <v>2407</v>
      </c>
    </row>
    <row r="607" spans="2:12">
      <c r="B607" s="16" t="s">
        <v>47</v>
      </c>
      <c r="C607" s="46" t="s">
        <v>28</v>
      </c>
      <c r="D607" s="47">
        <v>45954</v>
      </c>
      <c r="F607" s="39"/>
      <c r="G607" s="16"/>
      <c r="I607" s="39">
        <v>10099681</v>
      </c>
      <c r="J607" s="16" t="s">
        <v>3376</v>
      </c>
      <c r="K607" s="39" t="s">
        <v>2552</v>
      </c>
      <c r="L607" s="39" t="s">
        <v>2407</v>
      </c>
    </row>
    <row r="608" spans="2:12">
      <c r="B608" s="16" t="s">
        <v>47</v>
      </c>
      <c r="C608" s="46" t="s">
        <v>28</v>
      </c>
      <c r="D608" s="47">
        <v>45954</v>
      </c>
      <c r="F608" s="39"/>
      <c r="G608" s="16"/>
      <c r="I608" s="39">
        <v>10099680</v>
      </c>
      <c r="J608" s="16" t="s">
        <v>3377</v>
      </c>
      <c r="K608" s="39" t="s">
        <v>2552</v>
      </c>
      <c r="L608" s="39" t="s">
        <v>2407</v>
      </c>
    </row>
    <row r="609" spans="2:12">
      <c r="B609" s="16" t="s">
        <v>47</v>
      </c>
      <c r="C609" s="46" t="s">
        <v>28</v>
      </c>
      <c r="D609" s="47">
        <v>45975</v>
      </c>
      <c r="F609" s="39"/>
      <c r="G609" s="16"/>
      <c r="I609" s="39">
        <v>10099768</v>
      </c>
      <c r="J609" s="16" t="s">
        <v>3378</v>
      </c>
      <c r="K609" s="39" t="s">
        <v>2552</v>
      </c>
      <c r="L609" s="39" t="s">
        <v>2516</v>
      </c>
    </row>
    <row r="610" spans="2:12">
      <c r="B610" s="16" t="s">
        <v>47</v>
      </c>
      <c r="C610" s="46" t="s">
        <v>28</v>
      </c>
      <c r="D610" s="47">
        <v>45975</v>
      </c>
      <c r="F610" s="39"/>
      <c r="G610" s="16"/>
      <c r="I610" s="39">
        <v>10099769</v>
      </c>
      <c r="J610" s="16" t="s">
        <v>3379</v>
      </c>
      <c r="K610" s="39" t="s">
        <v>2552</v>
      </c>
      <c r="L610" s="39" t="s">
        <v>2516</v>
      </c>
    </row>
    <row r="611" spans="2:12">
      <c r="B611" s="16" t="s">
        <v>47</v>
      </c>
      <c r="C611" s="46" t="s">
        <v>28</v>
      </c>
      <c r="D611" s="47">
        <v>45975</v>
      </c>
      <c r="F611" s="39"/>
      <c r="G611" s="16"/>
      <c r="I611" s="39">
        <v>10099770</v>
      </c>
      <c r="J611" s="16" t="s">
        <v>3380</v>
      </c>
      <c r="K611" s="39" t="s">
        <v>2552</v>
      </c>
      <c r="L611" s="39" t="s">
        <v>2516</v>
      </c>
    </row>
    <row r="612" spans="2:12">
      <c r="B612" s="16" t="s">
        <v>47</v>
      </c>
      <c r="C612" s="46" t="s">
        <v>28</v>
      </c>
      <c r="D612" s="47">
        <v>45975</v>
      </c>
      <c r="F612" s="39"/>
      <c r="G612" s="16"/>
      <c r="I612" s="39">
        <v>10099771</v>
      </c>
      <c r="J612" s="16" t="s">
        <v>3381</v>
      </c>
      <c r="K612" s="39" t="s">
        <v>2552</v>
      </c>
      <c r="L612" s="39" t="s">
        <v>2516</v>
      </c>
    </row>
    <row r="613" spans="2:12">
      <c r="B613" s="16" t="s">
        <v>47</v>
      </c>
      <c r="C613" s="46" t="s">
        <v>28</v>
      </c>
      <c r="D613" s="47">
        <v>45975</v>
      </c>
      <c r="F613" s="39"/>
      <c r="G613" s="16"/>
      <c r="I613" s="39">
        <v>10099766</v>
      </c>
      <c r="J613" s="16" t="s">
        <v>3382</v>
      </c>
      <c r="K613" s="39" t="s">
        <v>2552</v>
      </c>
      <c r="L613" s="39" t="s">
        <v>2516</v>
      </c>
    </row>
    <row r="614" spans="2:12">
      <c r="B614" s="16" t="s">
        <v>47</v>
      </c>
      <c r="C614" s="46" t="s">
        <v>28</v>
      </c>
      <c r="D614" s="47">
        <v>45975</v>
      </c>
      <c r="F614" s="39"/>
      <c r="G614" s="16"/>
      <c r="I614" s="39">
        <v>10099767</v>
      </c>
      <c r="J614" s="16" t="s">
        <v>3383</v>
      </c>
      <c r="K614" s="39" t="s">
        <v>2552</v>
      </c>
      <c r="L614" s="39" t="s">
        <v>2516</v>
      </c>
    </row>
    <row r="615" spans="2:12">
      <c r="B615" s="16" t="s">
        <v>47</v>
      </c>
      <c r="C615" s="46" t="s">
        <v>28</v>
      </c>
      <c r="D615" s="47">
        <v>45975</v>
      </c>
      <c r="F615" s="39"/>
      <c r="G615" s="16"/>
      <c r="I615" s="39">
        <v>10099823</v>
      </c>
      <c r="J615" s="16" t="s">
        <v>3384</v>
      </c>
      <c r="K615" s="39" t="s">
        <v>2552</v>
      </c>
      <c r="L615" s="39" t="s">
        <v>2516</v>
      </c>
    </row>
    <row r="616" spans="2:12">
      <c r="B616" s="16" t="s">
        <v>47</v>
      </c>
      <c r="C616" s="46" t="s">
        <v>28</v>
      </c>
      <c r="D616" s="47">
        <v>45975</v>
      </c>
      <c r="F616" s="39"/>
      <c r="G616" s="16"/>
      <c r="I616" s="39">
        <v>10099824</v>
      </c>
      <c r="J616" s="16" t="s">
        <v>3385</v>
      </c>
      <c r="K616" s="39" t="s">
        <v>2552</v>
      </c>
      <c r="L616" s="39" t="s">
        <v>2516</v>
      </c>
    </row>
    <row r="617" spans="2:12">
      <c r="B617" s="16" t="s">
        <v>47</v>
      </c>
      <c r="C617" s="46" t="s">
        <v>28</v>
      </c>
      <c r="D617" s="47">
        <v>45975</v>
      </c>
      <c r="F617" s="39"/>
      <c r="G617" s="16"/>
      <c r="I617" s="39">
        <v>10099825</v>
      </c>
      <c r="J617" s="16" t="s">
        <v>3386</v>
      </c>
      <c r="K617" s="39" t="s">
        <v>2552</v>
      </c>
      <c r="L617" s="39" t="s">
        <v>2516</v>
      </c>
    </row>
    <row r="618" spans="2:12">
      <c r="B618" s="16" t="s">
        <v>47</v>
      </c>
      <c r="C618" s="46" t="s">
        <v>28</v>
      </c>
      <c r="D618" s="47">
        <v>45982</v>
      </c>
      <c r="F618" s="39"/>
      <c r="G618" s="16"/>
      <c r="I618" s="39">
        <v>10099901</v>
      </c>
      <c r="J618" s="16" t="s">
        <v>3387</v>
      </c>
      <c r="K618" s="39" t="s">
        <v>2552</v>
      </c>
      <c r="L618" s="39" t="s">
        <v>2516</v>
      </c>
    </row>
    <row r="619" spans="2:12">
      <c r="B619" s="16" t="s">
        <v>47</v>
      </c>
      <c r="C619" s="46" t="s">
        <v>28</v>
      </c>
      <c r="D619" s="47">
        <v>45982</v>
      </c>
      <c r="F619" s="39"/>
      <c r="G619" s="16"/>
      <c r="I619" s="39">
        <v>10099902</v>
      </c>
      <c r="J619" s="16" t="s">
        <v>3388</v>
      </c>
      <c r="K619" s="39" t="s">
        <v>2552</v>
      </c>
      <c r="L619" s="39" t="s">
        <v>2516</v>
      </c>
    </row>
    <row r="620" spans="2:12">
      <c r="B620" s="16" t="s">
        <v>47</v>
      </c>
      <c r="C620" s="46" t="s">
        <v>28</v>
      </c>
      <c r="D620" s="47">
        <v>45989</v>
      </c>
      <c r="F620" s="39"/>
      <c r="G620" s="16"/>
      <c r="I620" s="39">
        <v>10099903</v>
      </c>
      <c r="J620" s="16" t="s">
        <v>3389</v>
      </c>
      <c r="K620" s="39" t="s">
        <v>2552</v>
      </c>
      <c r="L620" s="39" t="s">
        <v>2407</v>
      </c>
    </row>
    <row r="621" spans="2:12">
      <c r="B621" s="16" t="s">
        <v>47</v>
      </c>
      <c r="C621" s="46" t="s">
        <v>28</v>
      </c>
      <c r="D621" s="47">
        <v>45989</v>
      </c>
      <c r="F621" s="39"/>
      <c r="G621" s="16"/>
      <c r="I621" s="39">
        <v>10099904</v>
      </c>
      <c r="J621" s="16" t="s">
        <v>3390</v>
      </c>
      <c r="K621" s="39" t="s">
        <v>2552</v>
      </c>
      <c r="L621" s="39" t="s">
        <v>2407</v>
      </c>
    </row>
    <row r="622" spans="2:12">
      <c r="B622" s="16" t="s">
        <v>47</v>
      </c>
      <c r="C622" s="46" t="s">
        <v>28</v>
      </c>
      <c r="D622" s="47">
        <v>45989</v>
      </c>
      <c r="F622" s="39"/>
      <c r="G622" s="16"/>
      <c r="I622" s="39">
        <v>10099995</v>
      </c>
      <c r="J622" s="16" t="s">
        <v>3391</v>
      </c>
      <c r="K622" s="39" t="s">
        <v>2552</v>
      </c>
      <c r="L622" s="39" t="s">
        <v>2407</v>
      </c>
    </row>
    <row r="623" spans="2:12">
      <c r="B623" s="16" t="s">
        <v>47</v>
      </c>
      <c r="C623" s="46" t="s">
        <v>28</v>
      </c>
      <c r="D623" s="47">
        <v>46045</v>
      </c>
      <c r="F623" s="39"/>
      <c r="G623" s="16"/>
      <c r="I623" s="39">
        <v>10100350</v>
      </c>
      <c r="J623" s="16" t="s">
        <v>3392</v>
      </c>
      <c r="K623" s="39" t="s">
        <v>2552</v>
      </c>
      <c r="L623" s="39" t="s">
        <v>2516</v>
      </c>
    </row>
    <row r="624" spans="2:12">
      <c r="B624" s="16" t="s">
        <v>47</v>
      </c>
      <c r="C624" s="80" t="s">
        <v>28</v>
      </c>
      <c r="D624" s="47">
        <v>46059</v>
      </c>
      <c r="F624" s="39"/>
      <c r="G624" s="16"/>
      <c r="I624" s="82">
        <v>10100423</v>
      </c>
      <c r="J624" s="78" t="s">
        <v>3393</v>
      </c>
      <c r="K624" s="39" t="s">
        <v>50</v>
      </c>
      <c r="L624" s="39" t="s">
        <v>2516</v>
      </c>
    </row>
    <row r="625" spans="2:12">
      <c r="B625" s="16" t="s">
        <v>47</v>
      </c>
      <c r="C625" s="46" t="s">
        <v>28</v>
      </c>
      <c r="D625" s="47">
        <v>46066</v>
      </c>
      <c r="F625" s="39"/>
      <c r="G625" s="16"/>
      <c r="I625" s="39">
        <v>10100574</v>
      </c>
      <c r="J625" s="16" t="s">
        <v>3394</v>
      </c>
      <c r="K625" s="39" t="s">
        <v>2552</v>
      </c>
      <c r="L625" s="39" t="s">
        <v>2516</v>
      </c>
    </row>
    <row r="626" spans="2:12">
      <c r="B626" s="16" t="s">
        <v>47</v>
      </c>
      <c r="C626" s="46" t="s">
        <v>28</v>
      </c>
      <c r="D626" s="47">
        <v>46066</v>
      </c>
      <c r="F626" s="39"/>
      <c r="G626" s="16"/>
      <c r="I626" s="39">
        <v>10100575</v>
      </c>
      <c r="J626" s="16" t="s">
        <v>3395</v>
      </c>
      <c r="K626" s="39" t="s">
        <v>2552</v>
      </c>
      <c r="L626" s="39" t="s">
        <v>2516</v>
      </c>
    </row>
    <row r="627" spans="2:12">
      <c r="B627" s="16" t="s">
        <v>47</v>
      </c>
      <c r="C627" s="46" t="s">
        <v>28</v>
      </c>
      <c r="D627" s="47">
        <v>46066</v>
      </c>
      <c r="F627" s="39"/>
      <c r="G627" s="16"/>
      <c r="I627" s="39">
        <v>10100576</v>
      </c>
      <c r="J627" s="16" t="s">
        <v>3396</v>
      </c>
      <c r="K627" s="39" t="s">
        <v>2552</v>
      </c>
      <c r="L627" s="39" t="s">
        <v>2516</v>
      </c>
    </row>
    <row r="628" spans="2:12">
      <c r="B628" s="16" t="s">
        <v>47</v>
      </c>
      <c r="C628" s="46" t="s">
        <v>28</v>
      </c>
      <c r="D628" s="47">
        <v>46066</v>
      </c>
      <c r="F628" s="39"/>
      <c r="G628" s="16"/>
      <c r="I628" s="39">
        <v>10100577</v>
      </c>
      <c r="J628" s="16" t="s">
        <v>3397</v>
      </c>
      <c r="K628" s="39" t="s">
        <v>2552</v>
      </c>
      <c r="L628" s="39" t="s">
        <v>2516</v>
      </c>
    </row>
    <row r="629" spans="2:12">
      <c r="B629" s="16" t="s">
        <v>47</v>
      </c>
      <c r="C629" s="46" t="s">
        <v>28</v>
      </c>
      <c r="D629" s="47">
        <v>46080</v>
      </c>
      <c r="F629" s="39"/>
      <c r="G629" s="16"/>
      <c r="I629" s="39">
        <v>10100705</v>
      </c>
      <c r="J629" s="16" t="s">
        <v>3398</v>
      </c>
      <c r="K629" s="39" t="s">
        <v>2552</v>
      </c>
      <c r="L629" s="39" t="s">
        <v>2407</v>
      </c>
    </row>
    <row r="630" spans="2:12">
      <c r="B630" s="16" t="s">
        <v>47</v>
      </c>
      <c r="C630" s="46" t="s">
        <v>28</v>
      </c>
      <c r="D630" s="47">
        <v>46094</v>
      </c>
      <c r="F630" s="39"/>
      <c r="G630" s="16"/>
      <c r="I630" s="39">
        <v>10100765</v>
      </c>
      <c r="J630" s="16" t="s">
        <v>3399</v>
      </c>
      <c r="K630" s="39" t="s">
        <v>2552</v>
      </c>
      <c r="L630" s="39" t="s">
        <v>2407</v>
      </c>
    </row>
    <row r="631" spans="2:12">
      <c r="B631" s="16" t="s">
        <v>47</v>
      </c>
      <c r="C631" s="46" t="s">
        <v>28</v>
      </c>
      <c r="D631" s="47">
        <v>46129</v>
      </c>
      <c r="F631" s="39"/>
      <c r="G631" s="16"/>
      <c r="I631" s="39">
        <v>10101054</v>
      </c>
      <c r="J631" s="16" t="s">
        <v>3400</v>
      </c>
      <c r="K631" s="39" t="s">
        <v>2552</v>
      </c>
      <c r="L631" s="39" t="s">
        <v>2516</v>
      </c>
    </row>
    <row r="632" spans="2:12">
      <c r="B632" s="16" t="s">
        <v>47</v>
      </c>
      <c r="C632" s="46" t="s">
        <v>28</v>
      </c>
      <c r="D632" s="47">
        <v>46129</v>
      </c>
      <c r="F632" s="39"/>
      <c r="G632" s="16"/>
      <c r="I632" s="39">
        <v>10085047</v>
      </c>
      <c r="J632" s="16" t="s">
        <v>3401</v>
      </c>
      <c r="K632" s="39" t="s">
        <v>2552</v>
      </c>
      <c r="L632" s="39" t="s">
        <v>2407</v>
      </c>
    </row>
    <row r="633" spans="2:12">
      <c r="B633" s="16" t="s">
        <v>47</v>
      </c>
      <c r="C633" s="46" t="s">
        <v>28</v>
      </c>
      <c r="D633" s="47">
        <v>46129</v>
      </c>
      <c r="F633" s="39"/>
      <c r="G633" s="16"/>
      <c r="I633" s="39">
        <v>10085072</v>
      </c>
      <c r="J633" s="16" t="s">
        <v>3402</v>
      </c>
      <c r="K633" s="39" t="s">
        <v>2552</v>
      </c>
      <c r="L633" s="39" t="s">
        <v>2407</v>
      </c>
    </row>
    <row r="634" spans="2:12">
      <c r="B634" s="16" t="s">
        <v>47</v>
      </c>
      <c r="C634" s="46" t="s">
        <v>28</v>
      </c>
      <c r="D634" s="47">
        <v>46142</v>
      </c>
      <c r="F634" s="39"/>
      <c r="G634" s="16"/>
      <c r="I634" s="39">
        <v>10101260</v>
      </c>
      <c r="J634" s="16" t="s">
        <v>3403</v>
      </c>
      <c r="K634" s="39" t="s">
        <v>2552</v>
      </c>
      <c r="L634" s="39" t="s">
        <v>2407</v>
      </c>
    </row>
    <row r="635" spans="2:12">
      <c r="B635" s="16" t="s">
        <v>47</v>
      </c>
      <c r="C635" s="46" t="s">
        <v>28</v>
      </c>
      <c r="D635" s="47">
        <v>46150</v>
      </c>
      <c r="F635" s="39"/>
      <c r="G635" s="16"/>
      <c r="I635" s="39">
        <v>10101300</v>
      </c>
      <c r="J635" s="16" t="s">
        <v>3404</v>
      </c>
      <c r="K635" s="39" t="s">
        <v>2552</v>
      </c>
      <c r="L635" s="39" t="s">
        <v>2516</v>
      </c>
    </row>
    <row r="636" spans="2:12">
      <c r="B636" s="16" t="s">
        <v>47</v>
      </c>
      <c r="C636" s="46" t="s">
        <v>28</v>
      </c>
      <c r="D636" s="47">
        <v>46157</v>
      </c>
      <c r="F636" s="39"/>
      <c r="G636" s="16"/>
      <c r="I636" s="39">
        <v>10101301</v>
      </c>
      <c r="J636" s="16" t="s">
        <v>3405</v>
      </c>
      <c r="K636" s="39" t="s">
        <v>2552</v>
      </c>
      <c r="L636" s="39" t="s">
        <v>2516</v>
      </c>
    </row>
    <row r="637" spans="2:12">
      <c r="B637" s="16" t="s">
        <v>47</v>
      </c>
      <c r="C637" s="46" t="s">
        <v>28</v>
      </c>
      <c r="D637" s="47">
        <v>46185</v>
      </c>
      <c r="F637" s="39"/>
      <c r="G637" s="16"/>
      <c r="I637" s="39">
        <v>10101763</v>
      </c>
      <c r="J637" s="16" t="s">
        <v>3406</v>
      </c>
      <c r="K637" s="39" t="s">
        <v>2552</v>
      </c>
      <c r="L637" s="39" t="s">
        <v>2516</v>
      </c>
    </row>
    <row r="638" spans="2:12">
      <c r="B638" s="16" t="s">
        <v>47</v>
      </c>
      <c r="C638" s="423" t="s">
        <v>28</v>
      </c>
      <c r="D638" s="47">
        <v>46203</v>
      </c>
      <c r="F638" s="39"/>
      <c r="G638" s="16"/>
      <c r="I638" s="432">
        <v>10101857</v>
      </c>
      <c r="J638" s="431" t="s">
        <v>3407</v>
      </c>
      <c r="K638" s="39" t="s">
        <v>2552</v>
      </c>
      <c r="L638" s="39" t="s">
        <v>2407</v>
      </c>
    </row>
    <row r="639" spans="2:12">
      <c r="B639" s="16" t="s">
        <v>47</v>
      </c>
      <c r="C639" s="423" t="s">
        <v>28</v>
      </c>
      <c r="D639" s="47">
        <v>46203</v>
      </c>
      <c r="F639" s="39"/>
      <c r="G639" s="16"/>
      <c r="I639" s="432">
        <v>10101858</v>
      </c>
      <c r="J639" s="431" t="s">
        <v>3408</v>
      </c>
      <c r="K639" s="39" t="s">
        <v>2552</v>
      </c>
      <c r="L639" s="39" t="s">
        <v>2407</v>
      </c>
    </row>
    <row r="640" spans="2:12">
      <c r="B640" s="16" t="s">
        <v>47</v>
      </c>
      <c r="C640" s="423" t="s">
        <v>1014</v>
      </c>
      <c r="D640" s="47">
        <v>46203</v>
      </c>
      <c r="F640" s="39"/>
      <c r="G640" s="16"/>
      <c r="I640" s="39"/>
      <c r="J640" s="431" t="s">
        <v>3409</v>
      </c>
      <c r="K640" s="39" t="s">
        <v>2552</v>
      </c>
      <c r="L640" s="39" t="s">
        <v>2516</v>
      </c>
    </row>
    <row r="1048321" spans="2:2">
      <c r="B1048321" s="16"/>
    </row>
  </sheetData>
  <conditionalFormatting sqref="B3:B1048576">
    <cfRule type="beginsWith" dxfId="5" priority="1" operator="beginsWith" text="Abtausch">
      <formula>LEFT(B3,8)="Abtausch"</formula>
    </cfRule>
    <cfRule type="beginsWith" dxfId="4" priority="2" operator="beginsWith" text="Auslistung">
      <formula>LEFT(B3,10)="Auslistung"</formula>
    </cfRule>
    <cfRule type="beginsWith" dxfId="3" priority="3" operator="beginsWith" text="Listung">
      <formula>LEFT(B3,7)="Listung"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CC90-0DF4-441C-B2EE-3C84D0460FA9}">
  <sheetPr>
    <tabColor rgb="FF92D050"/>
  </sheetPr>
  <dimension ref="A1:U224"/>
  <sheetViews>
    <sheetView workbookViewId="0">
      <pane ySplit="1" topLeftCell="A167" activePane="bottomLeft" state="frozen"/>
      <selection pane="bottomLeft" activeCell="A224" sqref="A224"/>
      <selection activeCell="G1" sqref="G1"/>
    </sheetView>
  </sheetViews>
  <sheetFormatPr defaultColWidth="9.140625" defaultRowHeight="12"/>
  <cols>
    <col min="1" max="1" width="8.7109375" style="172" customWidth="1"/>
    <col min="2" max="2" width="9.28515625" style="172" bestFit="1" customWidth="1"/>
    <col min="3" max="3" width="7.5703125" style="164" customWidth="1"/>
    <col min="4" max="4" width="2" style="164" customWidth="1"/>
    <col min="5" max="5" width="7" style="164" bestFit="1" customWidth="1"/>
    <col min="6" max="6" width="37.42578125" style="164" bestFit="1" customWidth="1"/>
    <col min="7" max="7" width="12.140625" style="173" bestFit="1" customWidth="1"/>
    <col min="8" max="9" width="12.140625" style="174" bestFit="1" customWidth="1"/>
    <col min="10" max="10" width="1" style="174" customWidth="1"/>
    <col min="11" max="11" width="14.28515625" style="172" customWidth="1"/>
    <col min="12" max="12" width="40.42578125" style="164" bestFit="1" customWidth="1"/>
    <col min="13" max="13" width="21.28515625" style="175" customWidth="1"/>
    <col min="14" max="14" width="17" style="175" customWidth="1"/>
    <col min="15" max="15" width="18.7109375" style="175" customWidth="1"/>
    <col min="16" max="16" width="37.5703125" style="164" bestFit="1" customWidth="1"/>
    <col min="17" max="17" width="8.5703125" style="164" bestFit="1" customWidth="1"/>
    <col min="18" max="18" width="29.85546875" style="164" bestFit="1" customWidth="1"/>
    <col min="19" max="19" width="11.7109375" style="164" customWidth="1"/>
    <col min="20" max="20" width="40.85546875" style="172" customWidth="1"/>
    <col min="21" max="21" width="15.85546875" style="164" bestFit="1" customWidth="1"/>
    <col min="22" max="16384" width="9.140625" style="164"/>
  </cols>
  <sheetData>
    <row r="1" spans="1:20" ht="43.15" customHeight="1">
      <c r="A1" s="470" t="s">
        <v>3410</v>
      </c>
      <c r="B1" s="480" t="s">
        <v>3411</v>
      </c>
      <c r="C1" s="473" t="s">
        <v>3412</v>
      </c>
      <c r="D1" s="476" t="s">
        <v>3413</v>
      </c>
      <c r="E1" s="451" t="s">
        <v>3414</v>
      </c>
      <c r="F1" s="451" t="s">
        <v>3415</v>
      </c>
      <c r="G1" s="461" t="s">
        <v>3416</v>
      </c>
      <c r="H1" s="464" t="s">
        <v>3417</v>
      </c>
      <c r="I1" s="467" t="s">
        <v>3418</v>
      </c>
      <c r="J1" s="178"/>
      <c r="K1" s="453" t="s">
        <v>3419</v>
      </c>
      <c r="L1" s="455" t="s">
        <v>3420</v>
      </c>
      <c r="M1" s="457" t="s">
        <v>3421</v>
      </c>
      <c r="N1" s="459" t="s">
        <v>3422</v>
      </c>
      <c r="O1" s="449" t="s">
        <v>3423</v>
      </c>
      <c r="P1" s="451" t="s">
        <v>6</v>
      </c>
      <c r="Q1" s="451" t="s">
        <v>3424</v>
      </c>
      <c r="R1" s="340" t="s">
        <v>3425</v>
      </c>
      <c r="S1" s="354" t="s">
        <v>3426</v>
      </c>
      <c r="T1" s="437" t="s">
        <v>3427</v>
      </c>
    </row>
    <row r="2" spans="1:20" ht="15" customHeight="1">
      <c r="A2" s="471"/>
      <c r="B2" s="481"/>
      <c r="C2" s="474"/>
      <c r="D2" s="477"/>
      <c r="E2" s="452"/>
      <c r="F2" s="452"/>
      <c r="G2" s="462"/>
      <c r="H2" s="465"/>
      <c r="I2" s="468"/>
      <c r="J2" s="178"/>
      <c r="K2" s="454"/>
      <c r="L2" s="456"/>
      <c r="M2" s="458"/>
      <c r="N2" s="460"/>
      <c r="O2" s="450"/>
      <c r="P2" s="452"/>
      <c r="Q2" s="452"/>
      <c r="R2" s="338"/>
      <c r="S2" s="338"/>
      <c r="T2" s="438"/>
    </row>
    <row r="3" spans="1:20" ht="15" customHeight="1" thickBot="1">
      <c r="A3" s="472"/>
      <c r="B3" s="482"/>
      <c r="C3" s="475"/>
      <c r="D3" s="478"/>
      <c r="E3" s="479"/>
      <c r="F3" s="479"/>
      <c r="G3" s="463"/>
      <c r="H3" s="466"/>
      <c r="I3" s="469"/>
      <c r="J3" s="178"/>
      <c r="K3" s="454"/>
      <c r="L3" s="456"/>
      <c r="M3" s="458"/>
      <c r="N3" s="460"/>
      <c r="O3" s="450"/>
      <c r="P3" s="452"/>
      <c r="Q3" s="452"/>
      <c r="R3" s="338"/>
      <c r="S3" s="338"/>
      <c r="T3" s="438"/>
    </row>
    <row r="4" spans="1:20">
      <c r="A4" s="244" t="s">
        <v>28</v>
      </c>
      <c r="B4" s="245">
        <v>45471</v>
      </c>
      <c r="C4" s="246" t="s">
        <v>102</v>
      </c>
      <c r="D4" s="246">
        <v>1</v>
      </c>
      <c r="E4" s="247">
        <v>774101</v>
      </c>
      <c r="F4" s="246" t="s">
        <v>3428</v>
      </c>
      <c r="G4" s="248">
        <v>90490767</v>
      </c>
      <c r="H4" s="249" t="s">
        <v>3429</v>
      </c>
      <c r="I4" s="250">
        <v>5449000042446</v>
      </c>
      <c r="J4" s="178"/>
      <c r="K4" s="169">
        <v>774102</v>
      </c>
      <c r="L4" s="294" t="s">
        <v>3430</v>
      </c>
      <c r="M4" s="171">
        <v>54031692</v>
      </c>
      <c r="N4" s="259"/>
      <c r="O4" s="171">
        <v>5000112675085</v>
      </c>
      <c r="P4" s="165" t="s">
        <v>297</v>
      </c>
      <c r="Q4" s="165" t="s">
        <v>3431</v>
      </c>
      <c r="R4" s="339" t="s">
        <v>3432</v>
      </c>
      <c r="S4" s="339"/>
      <c r="T4" s="439"/>
    </row>
    <row r="5" spans="1:20">
      <c r="A5" s="202" t="s">
        <v>28</v>
      </c>
      <c r="B5" s="177">
        <v>45471</v>
      </c>
      <c r="C5" s="165" t="s">
        <v>102</v>
      </c>
      <c r="D5" s="165">
        <v>2</v>
      </c>
      <c r="E5" s="170">
        <v>778101</v>
      </c>
      <c r="F5" s="165" t="s">
        <v>3433</v>
      </c>
      <c r="G5" s="166">
        <v>90490750</v>
      </c>
      <c r="H5" s="167" t="s">
        <v>3429</v>
      </c>
      <c r="I5" s="168">
        <v>5449000042439</v>
      </c>
      <c r="J5" s="178"/>
      <c r="K5" s="169">
        <v>778102</v>
      </c>
      <c r="L5" s="294" t="s">
        <v>3434</v>
      </c>
      <c r="M5" s="171">
        <v>54031708</v>
      </c>
      <c r="N5" s="259"/>
      <c r="O5" s="171">
        <v>5000112675092</v>
      </c>
      <c r="P5" s="165" t="s">
        <v>297</v>
      </c>
      <c r="Q5" s="165" t="s">
        <v>3431</v>
      </c>
      <c r="R5" s="339" t="s">
        <v>3432</v>
      </c>
      <c r="S5" s="339"/>
      <c r="T5" s="439"/>
    </row>
    <row r="6" spans="1:20">
      <c r="A6" s="202" t="s">
        <v>28</v>
      </c>
      <c r="B6" s="177">
        <v>45471</v>
      </c>
      <c r="C6" s="165" t="s">
        <v>102</v>
      </c>
      <c r="D6" s="165">
        <v>5</v>
      </c>
      <c r="E6" s="170">
        <v>620612</v>
      </c>
      <c r="F6" s="165" t="s">
        <v>430</v>
      </c>
      <c r="G6" s="166">
        <v>5449000104700</v>
      </c>
      <c r="H6" s="167" t="s">
        <v>3429</v>
      </c>
      <c r="I6" s="168">
        <v>5449000291554</v>
      </c>
      <c r="J6" s="178"/>
      <c r="K6" s="169">
        <v>620609</v>
      </c>
      <c r="L6" s="294" t="s">
        <v>3435</v>
      </c>
      <c r="M6" s="171">
        <v>5000112673500</v>
      </c>
      <c r="N6" s="259"/>
      <c r="O6" s="171">
        <v>5000112675665</v>
      </c>
      <c r="P6" s="165" t="s">
        <v>112</v>
      </c>
      <c r="Q6" s="165" t="s">
        <v>3431</v>
      </c>
      <c r="R6" s="339" t="s">
        <v>3432</v>
      </c>
      <c r="S6" s="339"/>
      <c r="T6" s="439"/>
    </row>
    <row r="7" spans="1:20">
      <c r="A7" s="202" t="s">
        <v>28</v>
      </c>
      <c r="B7" s="177">
        <v>45471</v>
      </c>
      <c r="C7" s="165" t="s">
        <v>102</v>
      </c>
      <c r="D7" s="165">
        <v>6</v>
      </c>
      <c r="E7" s="170">
        <v>1775218</v>
      </c>
      <c r="F7" s="165" t="s">
        <v>838</v>
      </c>
      <c r="G7" s="166">
        <v>5449000227041</v>
      </c>
      <c r="H7" s="167" t="s">
        <v>3429</v>
      </c>
      <c r="I7" s="168">
        <v>5449000243133</v>
      </c>
      <c r="J7" s="178"/>
      <c r="K7" s="169">
        <v>1775221</v>
      </c>
      <c r="L7" s="294" t="s">
        <v>3436</v>
      </c>
      <c r="M7" s="171">
        <v>5000112673470</v>
      </c>
      <c r="N7" s="259"/>
      <c r="O7" s="171">
        <v>5000112676068</v>
      </c>
      <c r="P7" s="165" t="s">
        <v>3437</v>
      </c>
      <c r="Q7" s="165" t="s">
        <v>3431</v>
      </c>
      <c r="R7" s="339" t="s">
        <v>3432</v>
      </c>
      <c r="S7" s="339"/>
      <c r="T7" s="439"/>
    </row>
    <row r="8" spans="1:20">
      <c r="A8" s="202" t="s">
        <v>28</v>
      </c>
      <c r="B8" s="177">
        <v>45471</v>
      </c>
      <c r="C8" s="165" t="s">
        <v>102</v>
      </c>
      <c r="D8" s="165">
        <v>7</v>
      </c>
      <c r="E8" s="170">
        <v>485505</v>
      </c>
      <c r="F8" s="165" t="s">
        <v>535</v>
      </c>
      <c r="G8" s="166">
        <v>5449000284617</v>
      </c>
      <c r="H8" s="167" t="s">
        <v>3429</v>
      </c>
      <c r="I8" s="168">
        <v>5449000175229</v>
      </c>
      <c r="J8" s="178"/>
      <c r="K8" s="169">
        <v>485506</v>
      </c>
      <c r="L8" s="294" t="s">
        <v>3438</v>
      </c>
      <c r="M8" s="171">
        <v>5000112674293</v>
      </c>
      <c r="N8" s="259"/>
      <c r="O8" s="171">
        <v>5000112676075</v>
      </c>
      <c r="P8" s="165" t="s">
        <v>57</v>
      </c>
      <c r="Q8" s="165" t="s">
        <v>3431</v>
      </c>
      <c r="R8" s="339" t="s">
        <v>3432</v>
      </c>
      <c r="S8" s="339"/>
      <c r="T8" s="439"/>
    </row>
    <row r="9" spans="1:20">
      <c r="A9" s="202" t="s">
        <v>28</v>
      </c>
      <c r="B9" s="177">
        <v>45471</v>
      </c>
      <c r="C9" s="165" t="s">
        <v>102</v>
      </c>
      <c r="D9" s="165">
        <v>8</v>
      </c>
      <c r="E9" s="170">
        <v>1718102</v>
      </c>
      <c r="F9" s="165" t="s">
        <v>527</v>
      </c>
      <c r="G9" s="166">
        <v>5449000094131</v>
      </c>
      <c r="H9" s="167" t="s">
        <v>3429</v>
      </c>
      <c r="I9" s="168">
        <v>5449000244116</v>
      </c>
      <c r="J9" s="178"/>
      <c r="K9" s="169">
        <v>1718105</v>
      </c>
      <c r="L9" s="294" t="s">
        <v>873</v>
      </c>
      <c r="M9" s="171">
        <v>54026827</v>
      </c>
      <c r="N9" s="259"/>
      <c r="O9" s="171">
        <v>5000112675191</v>
      </c>
      <c r="P9" s="165" t="s">
        <v>3439</v>
      </c>
      <c r="Q9" s="165" t="s">
        <v>3431</v>
      </c>
      <c r="R9" s="339" t="s">
        <v>3432</v>
      </c>
      <c r="S9" s="339"/>
      <c r="T9" s="439"/>
    </row>
    <row r="10" spans="1:20">
      <c r="A10" s="202" t="s">
        <v>28</v>
      </c>
      <c r="B10" s="177">
        <v>45471</v>
      </c>
      <c r="C10" s="165" t="s">
        <v>102</v>
      </c>
      <c r="D10" s="165">
        <v>9</v>
      </c>
      <c r="E10" s="170">
        <v>1590602</v>
      </c>
      <c r="F10" s="165" t="s">
        <v>391</v>
      </c>
      <c r="G10" s="166">
        <v>5449000227560</v>
      </c>
      <c r="H10" s="167" t="s">
        <v>3429</v>
      </c>
      <c r="I10" s="168">
        <v>5449000312631</v>
      </c>
      <c r="J10" s="178"/>
      <c r="K10" s="169">
        <v>1590603</v>
      </c>
      <c r="L10" s="294" t="s">
        <v>3440</v>
      </c>
      <c r="M10" s="171">
        <v>5000112674439</v>
      </c>
      <c r="N10" s="259"/>
      <c r="O10" s="171">
        <v>5000112675634</v>
      </c>
      <c r="P10" s="165" t="s">
        <v>3437</v>
      </c>
      <c r="Q10" s="165" t="s">
        <v>3431</v>
      </c>
      <c r="R10" s="339" t="s">
        <v>3432</v>
      </c>
      <c r="S10" s="339"/>
      <c r="T10" s="439"/>
    </row>
    <row r="11" spans="1:20">
      <c r="A11" s="202" t="s">
        <v>28</v>
      </c>
      <c r="B11" s="177">
        <v>45471</v>
      </c>
      <c r="C11" s="165" t="s">
        <v>102</v>
      </c>
      <c r="D11" s="165">
        <v>10</v>
      </c>
      <c r="E11" s="170">
        <v>2286902</v>
      </c>
      <c r="F11" s="165" t="s">
        <v>525</v>
      </c>
      <c r="G11" s="166">
        <v>5449000173850</v>
      </c>
      <c r="H11" s="167" t="s">
        <v>3429</v>
      </c>
      <c r="I11" s="168">
        <v>5449000173867</v>
      </c>
      <c r="J11" s="178"/>
      <c r="K11" s="169">
        <v>2286905</v>
      </c>
      <c r="L11" s="294" t="s">
        <v>3441</v>
      </c>
      <c r="M11" s="171">
        <v>5000112674446</v>
      </c>
      <c r="N11" s="259"/>
      <c r="O11" s="171">
        <v>5000112675566</v>
      </c>
      <c r="P11" s="165" t="s">
        <v>3439</v>
      </c>
      <c r="Q11" s="165" t="s">
        <v>3431</v>
      </c>
      <c r="R11" s="339" t="s">
        <v>3432</v>
      </c>
      <c r="S11" s="339"/>
      <c r="T11" s="439"/>
    </row>
    <row r="12" spans="1:20">
      <c r="A12" s="202" t="s">
        <v>28</v>
      </c>
      <c r="B12" s="177">
        <v>45471</v>
      </c>
      <c r="C12" s="165" t="s">
        <v>102</v>
      </c>
      <c r="D12" s="165">
        <v>10</v>
      </c>
      <c r="E12" s="170">
        <v>2286903</v>
      </c>
      <c r="F12" s="165" t="s">
        <v>588</v>
      </c>
      <c r="G12" s="166">
        <v>5449000173850</v>
      </c>
      <c r="H12" s="167" t="s">
        <v>3429</v>
      </c>
      <c r="I12" s="168">
        <v>5449000276919</v>
      </c>
      <c r="J12" s="178"/>
      <c r="K12" s="169">
        <v>2286904</v>
      </c>
      <c r="L12" s="294" t="s">
        <v>3442</v>
      </c>
      <c r="M12" s="171">
        <v>5000112674446</v>
      </c>
      <c r="N12" s="259"/>
      <c r="O12" s="171">
        <v>5000112675450</v>
      </c>
      <c r="P12" s="165" t="s">
        <v>3439</v>
      </c>
      <c r="Q12" s="165" t="s">
        <v>3431</v>
      </c>
      <c r="R12" s="339" t="s">
        <v>3432</v>
      </c>
      <c r="S12" s="339"/>
      <c r="T12" s="439"/>
    </row>
    <row r="13" spans="1:20">
      <c r="A13" s="202" t="s">
        <v>28</v>
      </c>
      <c r="B13" s="177">
        <v>45471</v>
      </c>
      <c r="C13" s="165" t="s">
        <v>102</v>
      </c>
      <c r="D13" s="165">
        <v>11</v>
      </c>
      <c r="E13" s="170">
        <v>611801</v>
      </c>
      <c r="F13" s="165" t="s">
        <v>432</v>
      </c>
      <c r="G13" s="166">
        <v>5449000133328</v>
      </c>
      <c r="H13" s="167" t="s">
        <v>3429</v>
      </c>
      <c r="I13" s="168">
        <v>5449000141187</v>
      </c>
      <c r="J13" s="178"/>
      <c r="K13" s="169">
        <v>611827</v>
      </c>
      <c r="L13" s="294" t="s">
        <v>3443</v>
      </c>
      <c r="M13" s="171">
        <v>5000112674422</v>
      </c>
      <c r="N13" s="259"/>
      <c r="O13" s="171">
        <v>5000112675627</v>
      </c>
      <c r="P13" s="165" t="s">
        <v>3437</v>
      </c>
      <c r="Q13" s="165" t="s">
        <v>3431</v>
      </c>
      <c r="R13" s="339" t="s">
        <v>3432</v>
      </c>
      <c r="S13" s="339"/>
      <c r="T13" s="439"/>
    </row>
    <row r="14" spans="1:20">
      <c r="A14" s="202" t="s">
        <v>28</v>
      </c>
      <c r="B14" s="177">
        <v>45471</v>
      </c>
      <c r="C14" s="165" t="s">
        <v>102</v>
      </c>
      <c r="D14" s="165">
        <v>12</v>
      </c>
      <c r="E14" s="170">
        <v>85907</v>
      </c>
      <c r="F14" s="165" t="s">
        <v>3444</v>
      </c>
      <c r="G14" s="166">
        <v>40822938</v>
      </c>
      <c r="H14" s="167" t="s">
        <v>3429</v>
      </c>
      <c r="I14" s="168">
        <v>5449000019837</v>
      </c>
      <c r="J14" s="178"/>
      <c r="K14" s="169">
        <v>85971</v>
      </c>
      <c r="L14" s="294" t="s">
        <v>3445</v>
      </c>
      <c r="M14" s="171">
        <v>54026834</v>
      </c>
      <c r="N14" s="259"/>
      <c r="O14" s="171">
        <v>5000112675023</v>
      </c>
      <c r="P14" s="165" t="s">
        <v>48</v>
      </c>
      <c r="Q14" s="165" t="s">
        <v>3431</v>
      </c>
      <c r="R14" s="339" t="s">
        <v>3432</v>
      </c>
      <c r="S14" s="339"/>
      <c r="T14" s="439"/>
    </row>
    <row r="15" spans="1:20">
      <c r="A15" s="202" t="s">
        <v>28</v>
      </c>
      <c r="B15" s="177">
        <v>45471</v>
      </c>
      <c r="C15" s="165" t="s">
        <v>102</v>
      </c>
      <c r="D15" s="165">
        <v>12</v>
      </c>
      <c r="E15" s="170">
        <v>157006</v>
      </c>
      <c r="F15" s="165" t="s">
        <v>3446</v>
      </c>
      <c r="G15" s="166">
        <v>40822938</v>
      </c>
      <c r="H15" s="167">
        <v>5449000020734</v>
      </c>
      <c r="I15" s="168">
        <v>5449000020741</v>
      </c>
      <c r="J15" s="178"/>
      <c r="K15" s="169">
        <v>157007</v>
      </c>
      <c r="L15" s="294" t="s">
        <v>3447</v>
      </c>
      <c r="M15" s="171">
        <v>54026834</v>
      </c>
      <c r="N15" s="171">
        <v>5000112675009</v>
      </c>
      <c r="O15" s="171">
        <v>5000112675238</v>
      </c>
      <c r="P15" s="165" t="s">
        <v>48</v>
      </c>
      <c r="Q15" s="165" t="s">
        <v>3431</v>
      </c>
      <c r="R15" s="339" t="s">
        <v>3432</v>
      </c>
      <c r="S15" s="339"/>
      <c r="T15" s="439"/>
    </row>
    <row r="16" spans="1:20">
      <c r="A16" s="202" t="s">
        <v>28</v>
      </c>
      <c r="B16" s="177">
        <v>45471</v>
      </c>
      <c r="C16" s="165" t="s">
        <v>102</v>
      </c>
      <c r="D16" s="165">
        <v>13</v>
      </c>
      <c r="E16" s="170">
        <v>592339</v>
      </c>
      <c r="F16" s="165" t="s">
        <v>507</v>
      </c>
      <c r="G16" s="166">
        <v>5449000050212</v>
      </c>
      <c r="H16" s="167" t="s">
        <v>3429</v>
      </c>
      <c r="I16" s="168">
        <v>5449000091215</v>
      </c>
      <c r="J16" s="178"/>
      <c r="K16" s="169">
        <v>592342</v>
      </c>
      <c r="L16" s="294" t="s">
        <v>3448</v>
      </c>
      <c r="M16" s="171">
        <v>5000112674187</v>
      </c>
      <c r="N16" s="259"/>
      <c r="O16" s="171">
        <v>5000112675597</v>
      </c>
      <c r="P16" s="165" t="s">
        <v>3449</v>
      </c>
      <c r="Q16" s="165" t="s">
        <v>3431</v>
      </c>
      <c r="R16" s="339" t="s">
        <v>3432</v>
      </c>
      <c r="S16" s="339"/>
      <c r="T16" s="439"/>
    </row>
    <row r="17" spans="1:20">
      <c r="A17" s="202" t="s">
        <v>28</v>
      </c>
      <c r="B17" s="177">
        <v>45471</v>
      </c>
      <c r="C17" s="165" t="s">
        <v>102</v>
      </c>
      <c r="D17" s="165">
        <v>13</v>
      </c>
      <c r="E17" s="170">
        <v>592333</v>
      </c>
      <c r="F17" s="165" t="s">
        <v>416</v>
      </c>
      <c r="G17" s="166">
        <v>5449000050212</v>
      </c>
      <c r="H17" s="167" t="s">
        <v>3429</v>
      </c>
      <c r="I17" s="168">
        <v>5449000000484</v>
      </c>
      <c r="J17" s="178"/>
      <c r="K17" s="169">
        <v>592341</v>
      </c>
      <c r="L17" s="294" t="s">
        <v>3450</v>
      </c>
      <c r="M17" s="171">
        <v>5000112674187</v>
      </c>
      <c r="N17" s="259"/>
      <c r="O17" s="171">
        <v>5000112675429</v>
      </c>
      <c r="P17" s="165" t="s">
        <v>3449</v>
      </c>
      <c r="Q17" s="165" t="s">
        <v>3431</v>
      </c>
      <c r="R17" s="339" t="s">
        <v>3432</v>
      </c>
      <c r="S17" s="339"/>
      <c r="T17" s="439"/>
    </row>
    <row r="18" spans="1:20">
      <c r="A18" s="202" t="s">
        <v>28</v>
      </c>
      <c r="B18" s="177">
        <v>45471</v>
      </c>
      <c r="C18" s="165" t="s">
        <v>102</v>
      </c>
      <c r="D18" s="165">
        <v>16</v>
      </c>
      <c r="E18" s="170">
        <v>592085</v>
      </c>
      <c r="F18" s="165" t="s">
        <v>504</v>
      </c>
      <c r="G18" s="166">
        <v>5449000000439</v>
      </c>
      <c r="H18" s="167" t="s">
        <v>3429</v>
      </c>
      <c r="I18" s="168">
        <v>5449000092953</v>
      </c>
      <c r="J18" s="178"/>
      <c r="K18" s="169">
        <v>592095</v>
      </c>
      <c r="L18" s="294" t="s">
        <v>3451</v>
      </c>
      <c r="M18" s="171">
        <v>5000112673371</v>
      </c>
      <c r="N18" s="259"/>
      <c r="O18" s="171">
        <v>5000112675894</v>
      </c>
      <c r="P18" s="165" t="s">
        <v>57</v>
      </c>
      <c r="Q18" s="165" t="s">
        <v>3431</v>
      </c>
      <c r="R18" s="339" t="s">
        <v>3432</v>
      </c>
      <c r="S18" s="339"/>
      <c r="T18" s="439"/>
    </row>
    <row r="19" spans="1:20">
      <c r="A19" s="202" t="s">
        <v>28</v>
      </c>
      <c r="B19" s="177">
        <v>45471</v>
      </c>
      <c r="C19" s="165" t="s">
        <v>102</v>
      </c>
      <c r="D19" s="165">
        <v>16</v>
      </c>
      <c r="E19" s="170">
        <v>592058</v>
      </c>
      <c r="F19" s="165" t="s">
        <v>420</v>
      </c>
      <c r="G19" s="166">
        <v>5449000000439</v>
      </c>
      <c r="H19" s="167" t="s">
        <v>3429</v>
      </c>
      <c r="I19" s="168">
        <v>5449000051684</v>
      </c>
      <c r="J19" s="178"/>
      <c r="K19" s="169">
        <v>592094</v>
      </c>
      <c r="L19" s="294" t="s">
        <v>3452</v>
      </c>
      <c r="M19" s="171">
        <v>5000112673371</v>
      </c>
      <c r="N19" s="259"/>
      <c r="O19" s="171">
        <v>5000112675177</v>
      </c>
      <c r="P19" s="165" t="s">
        <v>57</v>
      </c>
      <c r="Q19" s="165" t="s">
        <v>3431</v>
      </c>
      <c r="R19" s="339" t="s">
        <v>3432</v>
      </c>
      <c r="S19" s="339"/>
      <c r="T19" s="439"/>
    </row>
    <row r="20" spans="1:20">
      <c r="A20" s="202" t="s">
        <v>28</v>
      </c>
      <c r="B20" s="177">
        <v>45471</v>
      </c>
      <c r="C20" s="165" t="s">
        <v>102</v>
      </c>
      <c r="D20" s="165">
        <v>17</v>
      </c>
      <c r="E20" s="170">
        <v>329601</v>
      </c>
      <c r="F20" s="165" t="s">
        <v>826</v>
      </c>
      <c r="G20" s="166">
        <v>54490840</v>
      </c>
      <c r="H20" s="167" t="s">
        <v>3429</v>
      </c>
      <c r="I20" s="168">
        <v>5449000024350</v>
      </c>
      <c r="J20" s="178"/>
      <c r="K20" s="169">
        <v>329604</v>
      </c>
      <c r="L20" s="294" t="s">
        <v>3453</v>
      </c>
      <c r="M20" s="171">
        <v>54013926</v>
      </c>
      <c r="N20" s="259"/>
      <c r="O20" s="171">
        <v>5000112675368</v>
      </c>
      <c r="P20" s="165" t="s">
        <v>86</v>
      </c>
      <c r="Q20" s="165" t="s">
        <v>3431</v>
      </c>
      <c r="R20" s="339" t="s">
        <v>3432</v>
      </c>
      <c r="S20" s="339"/>
      <c r="T20" s="440" t="s">
        <v>3454</v>
      </c>
    </row>
    <row r="21" spans="1:20">
      <c r="A21" s="202" t="s">
        <v>28</v>
      </c>
      <c r="B21" s="177">
        <v>45471</v>
      </c>
      <c r="C21" s="165" t="s">
        <v>102</v>
      </c>
      <c r="D21" s="165">
        <v>18</v>
      </c>
      <c r="E21" s="170">
        <v>85805</v>
      </c>
      <c r="F21" s="165" t="s">
        <v>439</v>
      </c>
      <c r="G21" s="166">
        <v>5449000110671</v>
      </c>
      <c r="H21" s="167" t="s">
        <v>3429</v>
      </c>
      <c r="I21" s="168">
        <v>5449000310989</v>
      </c>
      <c r="J21" s="178"/>
      <c r="K21" s="169">
        <v>85845</v>
      </c>
      <c r="L21" s="294" t="s">
        <v>3455</v>
      </c>
      <c r="M21" s="171">
        <v>54026841</v>
      </c>
      <c r="N21" s="259"/>
      <c r="O21" s="171">
        <v>5000112675351</v>
      </c>
      <c r="P21" s="165" t="s">
        <v>112</v>
      </c>
      <c r="Q21" s="165" t="s">
        <v>3431</v>
      </c>
      <c r="R21" s="339" t="s">
        <v>3432</v>
      </c>
      <c r="S21" s="339"/>
      <c r="T21" s="439"/>
    </row>
    <row r="22" spans="1:20">
      <c r="A22" s="202" t="s">
        <v>28</v>
      </c>
      <c r="B22" s="177">
        <v>45471</v>
      </c>
      <c r="C22" s="165" t="s">
        <v>102</v>
      </c>
      <c r="D22" s="165">
        <v>19</v>
      </c>
      <c r="E22" s="170">
        <v>1906602</v>
      </c>
      <c r="F22" s="165" t="s">
        <v>812</v>
      </c>
      <c r="G22" s="166">
        <v>5449000227553</v>
      </c>
      <c r="H22" s="167" t="s">
        <v>3429</v>
      </c>
      <c r="I22" s="168">
        <v>5449000665027</v>
      </c>
      <c r="J22" s="178"/>
      <c r="K22" s="169">
        <v>1732902</v>
      </c>
      <c r="L22" s="294" t="s">
        <v>3456</v>
      </c>
      <c r="M22" s="171">
        <v>54026902</v>
      </c>
      <c r="N22" s="259"/>
      <c r="O22" s="171">
        <v>5000112675047</v>
      </c>
      <c r="P22" s="165" t="s">
        <v>3437</v>
      </c>
      <c r="Q22" s="165" t="s">
        <v>3431</v>
      </c>
      <c r="R22" s="339" t="s">
        <v>3432</v>
      </c>
      <c r="S22" s="339"/>
      <c r="T22" s="439"/>
    </row>
    <row r="23" spans="1:20">
      <c r="A23" s="202" t="s">
        <v>28</v>
      </c>
      <c r="B23" s="177">
        <v>45471</v>
      </c>
      <c r="C23" s="165" t="s">
        <v>102</v>
      </c>
      <c r="D23" s="165">
        <v>20</v>
      </c>
      <c r="E23" s="170">
        <v>1163506</v>
      </c>
      <c r="F23" s="165" t="s">
        <v>385</v>
      </c>
      <c r="G23" s="166">
        <v>5449000109613</v>
      </c>
      <c r="H23" s="167" t="s">
        <v>3429</v>
      </c>
      <c r="I23" s="168">
        <v>5449000141323</v>
      </c>
      <c r="J23" s="178"/>
      <c r="K23" s="169">
        <v>1163510</v>
      </c>
      <c r="L23" s="294" t="s">
        <v>3457</v>
      </c>
      <c r="M23" s="171">
        <v>54026858</v>
      </c>
      <c r="N23" s="259"/>
      <c r="O23" s="171">
        <v>5000112675344</v>
      </c>
      <c r="P23" s="165" t="s">
        <v>3458</v>
      </c>
      <c r="Q23" s="165" t="s">
        <v>3431</v>
      </c>
      <c r="R23" s="339" t="s">
        <v>3432</v>
      </c>
      <c r="S23" s="339"/>
      <c r="T23" s="439"/>
    </row>
    <row r="24" spans="1:20">
      <c r="A24" s="202" t="s">
        <v>28</v>
      </c>
      <c r="B24" s="177">
        <v>45471</v>
      </c>
      <c r="C24" s="165" t="s">
        <v>102</v>
      </c>
      <c r="D24" s="165">
        <v>21</v>
      </c>
      <c r="E24" s="170">
        <v>1319004</v>
      </c>
      <c r="F24" s="165" t="s">
        <v>540</v>
      </c>
      <c r="G24" s="166">
        <v>5449000233295</v>
      </c>
      <c r="H24" s="167" t="s">
        <v>3429</v>
      </c>
      <c r="I24" s="168">
        <v>5449000009586</v>
      </c>
      <c r="J24" s="178"/>
      <c r="K24" s="169">
        <v>1319005</v>
      </c>
      <c r="L24" s="294" t="s">
        <v>3459</v>
      </c>
      <c r="M24" s="171">
        <v>5000112673456</v>
      </c>
      <c r="N24" s="259"/>
      <c r="O24" s="171">
        <v>5000112676037</v>
      </c>
      <c r="P24" s="165" t="s">
        <v>3460</v>
      </c>
      <c r="Q24" s="165" t="s">
        <v>3431</v>
      </c>
      <c r="R24" s="339" t="s">
        <v>3432</v>
      </c>
      <c r="S24" s="339"/>
      <c r="T24" s="439"/>
    </row>
    <row r="25" spans="1:20">
      <c r="A25" s="202" t="s">
        <v>28</v>
      </c>
      <c r="B25" s="177">
        <v>45471</v>
      </c>
      <c r="C25" s="165" t="s">
        <v>102</v>
      </c>
      <c r="D25" s="165">
        <v>22</v>
      </c>
      <c r="E25" s="170">
        <v>298160</v>
      </c>
      <c r="F25" s="165" t="s">
        <v>509</v>
      </c>
      <c r="G25" s="166">
        <v>5449000133335</v>
      </c>
      <c r="H25" s="167" t="s">
        <v>3429</v>
      </c>
      <c r="I25" s="168">
        <v>5449000235893</v>
      </c>
      <c r="J25" s="178"/>
      <c r="K25" s="169">
        <v>298167</v>
      </c>
      <c r="L25" s="294" t="s">
        <v>3461</v>
      </c>
      <c r="M25" s="171">
        <v>5000112673418</v>
      </c>
      <c r="N25" s="259"/>
      <c r="O25" s="171">
        <v>5000112675603</v>
      </c>
      <c r="P25" s="165" t="s">
        <v>3437</v>
      </c>
      <c r="Q25" s="165" t="s">
        <v>3431</v>
      </c>
      <c r="R25" s="339" t="s">
        <v>3432</v>
      </c>
      <c r="S25" s="339"/>
      <c r="T25" s="439"/>
    </row>
    <row r="26" spans="1:20">
      <c r="A26" s="202" t="s">
        <v>28</v>
      </c>
      <c r="B26" s="177">
        <v>45471</v>
      </c>
      <c r="C26" s="165" t="s">
        <v>102</v>
      </c>
      <c r="D26" s="165">
        <v>22</v>
      </c>
      <c r="E26" s="170">
        <v>298128</v>
      </c>
      <c r="F26" s="165" t="s">
        <v>418</v>
      </c>
      <c r="G26" s="166">
        <v>5449000133335</v>
      </c>
      <c r="H26" s="167" t="s">
        <v>3429</v>
      </c>
      <c r="I26" s="168">
        <v>5449000134578</v>
      </c>
      <c r="J26" s="178"/>
      <c r="K26" s="169">
        <v>298166</v>
      </c>
      <c r="L26" s="294" t="s">
        <v>3462</v>
      </c>
      <c r="M26" s="171">
        <v>5000112673418</v>
      </c>
      <c r="N26" s="259"/>
      <c r="O26" s="171">
        <v>5000112675436</v>
      </c>
      <c r="P26" s="165" t="s">
        <v>3437</v>
      </c>
      <c r="Q26" s="165" t="s">
        <v>3431</v>
      </c>
      <c r="R26" s="339" t="s">
        <v>3432</v>
      </c>
      <c r="S26" s="339"/>
      <c r="T26" s="439"/>
    </row>
    <row r="27" spans="1:20">
      <c r="A27" s="202" t="s">
        <v>28</v>
      </c>
      <c r="B27" s="177">
        <v>45471</v>
      </c>
      <c r="C27" s="165" t="s">
        <v>102</v>
      </c>
      <c r="D27" s="165">
        <v>23</v>
      </c>
      <c r="E27" s="170">
        <v>2282103</v>
      </c>
      <c r="F27" s="165" t="s">
        <v>622</v>
      </c>
      <c r="G27" s="166">
        <v>5449000201935</v>
      </c>
      <c r="H27" s="167" t="s">
        <v>3429</v>
      </c>
      <c r="I27" s="168">
        <v>5449000032881</v>
      </c>
      <c r="J27" s="178"/>
      <c r="K27" s="169">
        <v>2282104</v>
      </c>
      <c r="L27" s="294" t="s">
        <v>3463</v>
      </c>
      <c r="M27" s="171">
        <v>54026919</v>
      </c>
      <c r="N27" s="259"/>
      <c r="O27" s="171">
        <v>5000112675030</v>
      </c>
      <c r="P27" s="165" t="s">
        <v>3460</v>
      </c>
      <c r="Q27" s="165" t="s">
        <v>3431</v>
      </c>
      <c r="R27" s="339" t="s">
        <v>3432</v>
      </c>
      <c r="S27" s="339"/>
      <c r="T27" s="439"/>
    </row>
    <row r="28" spans="1:20">
      <c r="A28" s="202" t="s">
        <v>28</v>
      </c>
      <c r="B28" s="177">
        <v>45471</v>
      </c>
      <c r="C28" s="165" t="s">
        <v>102</v>
      </c>
      <c r="D28" s="165">
        <v>24</v>
      </c>
      <c r="E28" s="170">
        <v>2435301</v>
      </c>
      <c r="F28" s="165" t="s">
        <v>542</v>
      </c>
      <c r="G28" s="166">
        <v>5449000195906</v>
      </c>
      <c r="H28" s="167" t="s">
        <v>3429</v>
      </c>
      <c r="I28" s="168">
        <v>5449000022271</v>
      </c>
      <c r="J28" s="178"/>
      <c r="K28" s="169">
        <v>2435303</v>
      </c>
      <c r="L28" s="294" t="s">
        <v>3464</v>
      </c>
      <c r="M28" s="171">
        <v>5000112673449</v>
      </c>
      <c r="N28" s="259"/>
      <c r="O28" s="171">
        <v>5000112675610</v>
      </c>
      <c r="P28" s="165" t="s">
        <v>3460</v>
      </c>
      <c r="Q28" s="165" t="s">
        <v>3431</v>
      </c>
      <c r="R28" s="339" t="s">
        <v>3432</v>
      </c>
      <c r="S28" s="339"/>
      <c r="T28" s="439"/>
    </row>
    <row r="29" spans="1:20">
      <c r="A29" s="202" t="s">
        <v>28</v>
      </c>
      <c r="B29" s="177">
        <v>45471</v>
      </c>
      <c r="C29" s="165" t="s">
        <v>102</v>
      </c>
      <c r="D29" s="165">
        <v>25</v>
      </c>
      <c r="E29" s="170">
        <v>17386</v>
      </c>
      <c r="F29" s="165" t="s">
        <v>379</v>
      </c>
      <c r="G29" s="166">
        <v>5449000108258</v>
      </c>
      <c r="H29" s="167" t="s">
        <v>3429</v>
      </c>
      <c r="I29" s="168">
        <v>5449000310958</v>
      </c>
      <c r="J29" s="178"/>
      <c r="K29" s="169">
        <v>17399</v>
      </c>
      <c r="L29" s="294" t="s">
        <v>3465</v>
      </c>
      <c r="M29" s="171">
        <v>5000112674453</v>
      </c>
      <c r="N29" s="259"/>
      <c r="O29" s="171">
        <v>5000112675726</v>
      </c>
      <c r="P29" s="165" t="s">
        <v>112</v>
      </c>
      <c r="Q29" s="165" t="s">
        <v>3431</v>
      </c>
      <c r="R29" s="339" t="s">
        <v>3432</v>
      </c>
      <c r="S29" s="339"/>
      <c r="T29" s="439"/>
    </row>
    <row r="30" spans="1:20">
      <c r="A30" s="202" t="s">
        <v>28</v>
      </c>
      <c r="B30" s="177">
        <v>45471</v>
      </c>
      <c r="C30" s="165" t="s">
        <v>102</v>
      </c>
      <c r="D30" s="165">
        <v>26</v>
      </c>
      <c r="E30" s="170">
        <v>592255</v>
      </c>
      <c r="F30" s="165" t="s">
        <v>513</v>
      </c>
      <c r="G30" s="166">
        <v>5449000110718</v>
      </c>
      <c r="H30" s="167" t="s">
        <v>3429</v>
      </c>
      <c r="I30" s="168">
        <v>5449000092991</v>
      </c>
      <c r="J30" s="178"/>
      <c r="K30" s="169">
        <v>592263</v>
      </c>
      <c r="L30" s="294" t="s">
        <v>3466</v>
      </c>
      <c r="M30" s="171">
        <v>5000112673517</v>
      </c>
      <c r="N30" s="259"/>
      <c r="O30" s="171">
        <v>5000112675528</v>
      </c>
      <c r="P30" s="165" t="s">
        <v>112</v>
      </c>
      <c r="Q30" s="165" t="s">
        <v>3431</v>
      </c>
      <c r="R30" s="339" t="s">
        <v>3432</v>
      </c>
      <c r="S30" s="339"/>
      <c r="T30" s="439"/>
    </row>
    <row r="31" spans="1:20">
      <c r="A31" s="202" t="s">
        <v>28</v>
      </c>
      <c r="B31" s="177">
        <v>45471</v>
      </c>
      <c r="C31" s="165" t="s">
        <v>102</v>
      </c>
      <c r="D31" s="165">
        <v>26</v>
      </c>
      <c r="E31" s="170">
        <v>592236</v>
      </c>
      <c r="F31" s="165" t="s">
        <v>411</v>
      </c>
      <c r="G31" s="166">
        <v>5449000110718</v>
      </c>
      <c r="H31" s="167" t="s">
        <v>3429</v>
      </c>
      <c r="I31" s="168">
        <v>5449000312600</v>
      </c>
      <c r="J31" s="178"/>
      <c r="K31" s="169">
        <v>592262</v>
      </c>
      <c r="L31" s="294" t="s">
        <v>3467</v>
      </c>
      <c r="M31" s="171">
        <v>5000112673517</v>
      </c>
      <c r="N31" s="259"/>
      <c r="O31" s="171">
        <v>5000112675498</v>
      </c>
      <c r="P31" s="165" t="s">
        <v>112</v>
      </c>
      <c r="Q31" s="165" t="s">
        <v>3431</v>
      </c>
      <c r="R31" s="339" t="s">
        <v>3432</v>
      </c>
      <c r="S31" s="339"/>
      <c r="T31" s="439"/>
    </row>
    <row r="32" spans="1:20">
      <c r="A32" s="202" t="s">
        <v>28</v>
      </c>
      <c r="B32" s="177">
        <v>45471</v>
      </c>
      <c r="C32" s="165" t="s">
        <v>102</v>
      </c>
      <c r="D32" s="165">
        <v>27</v>
      </c>
      <c r="E32" s="170">
        <v>1025809</v>
      </c>
      <c r="F32" s="165" t="s">
        <v>517</v>
      </c>
      <c r="G32" s="166">
        <v>5449000110039</v>
      </c>
      <c r="H32" s="167" t="s">
        <v>3429</v>
      </c>
      <c r="I32" s="168">
        <v>5449000092977</v>
      </c>
      <c r="J32" s="178"/>
      <c r="K32" s="169">
        <v>1025812</v>
      </c>
      <c r="L32" s="294" t="s">
        <v>3468</v>
      </c>
      <c r="M32" s="171">
        <v>5000112674460</v>
      </c>
      <c r="N32" s="259"/>
      <c r="O32" s="171">
        <v>5000112675511</v>
      </c>
      <c r="P32" s="165" t="s">
        <v>3458</v>
      </c>
      <c r="Q32" s="165" t="s">
        <v>3431</v>
      </c>
      <c r="R32" s="339" t="s">
        <v>3432</v>
      </c>
      <c r="S32" s="339"/>
      <c r="T32" s="439"/>
    </row>
    <row r="33" spans="1:20">
      <c r="A33" s="202" t="s">
        <v>28</v>
      </c>
      <c r="B33" s="177">
        <v>45471</v>
      </c>
      <c r="C33" s="165" t="s">
        <v>102</v>
      </c>
      <c r="D33" s="165">
        <v>27</v>
      </c>
      <c r="E33" s="170">
        <v>1025806</v>
      </c>
      <c r="F33" s="165" t="s">
        <v>403</v>
      </c>
      <c r="G33" s="166">
        <v>5449000110039</v>
      </c>
      <c r="H33" s="167" t="s">
        <v>3429</v>
      </c>
      <c r="I33" s="168">
        <v>5449000130624</v>
      </c>
      <c r="J33" s="178"/>
      <c r="K33" s="169">
        <v>1025811</v>
      </c>
      <c r="L33" s="294" t="s">
        <v>3469</v>
      </c>
      <c r="M33" s="171">
        <v>5000112674460</v>
      </c>
      <c r="N33" s="259"/>
      <c r="O33" s="171">
        <v>5000112675504</v>
      </c>
      <c r="P33" s="165" t="s">
        <v>3458</v>
      </c>
      <c r="Q33" s="165" t="s">
        <v>3431</v>
      </c>
      <c r="R33" s="339" t="s">
        <v>3432</v>
      </c>
      <c r="S33" s="339"/>
      <c r="T33" s="439"/>
    </row>
    <row r="34" spans="1:20">
      <c r="A34" s="202" t="s">
        <v>28</v>
      </c>
      <c r="B34" s="177">
        <v>45471</v>
      </c>
      <c r="C34" s="165" t="s">
        <v>102</v>
      </c>
      <c r="D34" s="165">
        <v>28</v>
      </c>
      <c r="E34" s="170">
        <v>400410</v>
      </c>
      <c r="F34" s="165" t="s">
        <v>523</v>
      </c>
      <c r="G34" s="166">
        <v>5449000138026</v>
      </c>
      <c r="H34" s="167" t="s">
        <v>3429</v>
      </c>
      <c r="I34" s="168">
        <v>5449000092984</v>
      </c>
      <c r="J34" s="178"/>
      <c r="K34" s="169">
        <v>400413</v>
      </c>
      <c r="L34" s="294" t="s">
        <v>3470</v>
      </c>
      <c r="M34" s="171">
        <v>5000112673296</v>
      </c>
      <c r="N34" s="259"/>
      <c r="O34" s="171">
        <v>5000112675559</v>
      </c>
      <c r="P34" s="165" t="s">
        <v>3439</v>
      </c>
      <c r="Q34" s="165" t="s">
        <v>3431</v>
      </c>
      <c r="R34" s="339" t="s">
        <v>3432</v>
      </c>
      <c r="S34" s="339"/>
      <c r="T34" s="439"/>
    </row>
    <row r="35" spans="1:20">
      <c r="A35" s="202" t="s">
        <v>28</v>
      </c>
      <c r="B35" s="177">
        <v>45471</v>
      </c>
      <c r="C35" s="165" t="s">
        <v>102</v>
      </c>
      <c r="D35" s="165">
        <v>28</v>
      </c>
      <c r="E35" s="170">
        <v>400405</v>
      </c>
      <c r="F35" s="165" t="s">
        <v>405</v>
      </c>
      <c r="G35" s="166">
        <v>5449000138026</v>
      </c>
      <c r="H35" s="167" t="s">
        <v>3429</v>
      </c>
      <c r="I35" s="168">
        <v>5449000070722</v>
      </c>
      <c r="J35" s="178"/>
      <c r="K35" s="169">
        <v>400412</v>
      </c>
      <c r="L35" s="294" t="s">
        <v>3471</v>
      </c>
      <c r="M35" s="171">
        <v>5000112673296</v>
      </c>
      <c r="N35" s="259"/>
      <c r="O35" s="171">
        <v>5000112675467</v>
      </c>
      <c r="P35" s="165" t="s">
        <v>3439</v>
      </c>
      <c r="Q35" s="165" t="s">
        <v>3431</v>
      </c>
      <c r="R35" s="339" t="s">
        <v>3432</v>
      </c>
      <c r="S35" s="339"/>
      <c r="T35" s="439"/>
    </row>
    <row r="36" spans="1:20">
      <c r="A36" s="202" t="s">
        <v>28</v>
      </c>
      <c r="B36" s="177">
        <v>45471</v>
      </c>
      <c r="C36" s="165" t="s">
        <v>102</v>
      </c>
      <c r="D36" s="165">
        <v>29</v>
      </c>
      <c r="E36" s="170">
        <v>280507</v>
      </c>
      <c r="F36" s="165" t="s">
        <v>521</v>
      </c>
      <c r="G36" s="166">
        <v>5449000097422</v>
      </c>
      <c r="H36" s="167" t="s">
        <v>3429</v>
      </c>
      <c r="I36" s="168">
        <v>5449000093011</v>
      </c>
      <c r="J36" s="178"/>
      <c r="K36" s="169">
        <v>280509</v>
      </c>
      <c r="L36" s="294" t="s">
        <v>1021</v>
      </c>
      <c r="M36" s="171">
        <v>5000112673302</v>
      </c>
      <c r="N36" s="259"/>
      <c r="O36" s="171">
        <v>5000112675580</v>
      </c>
      <c r="P36" s="165" t="s">
        <v>48</v>
      </c>
      <c r="Q36" s="165" t="s">
        <v>3431</v>
      </c>
      <c r="R36" s="339" t="s">
        <v>3432</v>
      </c>
      <c r="S36" s="339"/>
      <c r="T36" s="439"/>
    </row>
    <row r="37" spans="1:20">
      <c r="A37" s="202" t="s">
        <v>28</v>
      </c>
      <c r="B37" s="177">
        <v>45471</v>
      </c>
      <c r="C37" s="165" t="s">
        <v>102</v>
      </c>
      <c r="D37" s="165">
        <v>29</v>
      </c>
      <c r="E37" s="170">
        <v>280506</v>
      </c>
      <c r="F37" s="165" t="s">
        <v>388</v>
      </c>
      <c r="G37" s="166">
        <v>5449000097422</v>
      </c>
      <c r="H37" s="167" t="s">
        <v>3429</v>
      </c>
      <c r="I37" s="168">
        <v>5449000312617</v>
      </c>
      <c r="J37" s="178"/>
      <c r="K37" s="169">
        <v>280508</v>
      </c>
      <c r="L37" s="294" t="s">
        <v>3472</v>
      </c>
      <c r="M37" s="171">
        <v>5000112673302</v>
      </c>
      <c r="N37" s="259"/>
      <c r="O37" s="171">
        <v>5000112675443</v>
      </c>
      <c r="P37" s="165" t="s">
        <v>48</v>
      </c>
      <c r="Q37" s="165" t="s">
        <v>3431</v>
      </c>
      <c r="R37" s="339" t="s">
        <v>3432</v>
      </c>
      <c r="S37" s="339"/>
      <c r="T37" s="439"/>
    </row>
    <row r="38" spans="1:20">
      <c r="A38" s="202" t="s">
        <v>28</v>
      </c>
      <c r="B38" s="177">
        <v>45471</v>
      </c>
      <c r="C38" s="165" t="s">
        <v>102</v>
      </c>
      <c r="D38" s="165">
        <v>30</v>
      </c>
      <c r="E38" s="170">
        <v>270712</v>
      </c>
      <c r="F38" s="165" t="s">
        <v>426</v>
      </c>
      <c r="G38" s="166">
        <v>5449000016560</v>
      </c>
      <c r="H38" s="167" t="s">
        <v>3429</v>
      </c>
      <c r="I38" s="168">
        <v>5449000055118</v>
      </c>
      <c r="J38" s="178"/>
      <c r="K38" s="169">
        <v>270708</v>
      </c>
      <c r="L38" s="294" t="s">
        <v>3473</v>
      </c>
      <c r="M38" s="171">
        <v>5000112674194</v>
      </c>
      <c r="N38" s="259"/>
      <c r="O38" s="171">
        <v>5000112675641</v>
      </c>
      <c r="P38" s="165" t="s">
        <v>3449</v>
      </c>
      <c r="Q38" s="165" t="s">
        <v>3431</v>
      </c>
      <c r="R38" s="339" t="s">
        <v>3432</v>
      </c>
      <c r="S38" s="339"/>
      <c r="T38" s="439"/>
    </row>
    <row r="39" spans="1:20">
      <c r="A39" s="202" t="s">
        <v>28</v>
      </c>
      <c r="B39" s="177">
        <v>45471</v>
      </c>
      <c r="C39" s="165" t="s">
        <v>102</v>
      </c>
      <c r="D39" s="165">
        <v>31</v>
      </c>
      <c r="E39" s="170">
        <v>465712</v>
      </c>
      <c r="F39" s="165" t="s">
        <v>435</v>
      </c>
      <c r="G39" s="166">
        <v>5449000113030</v>
      </c>
      <c r="H39" s="167" t="s">
        <v>3429</v>
      </c>
      <c r="I39" s="168">
        <v>5449000302366</v>
      </c>
      <c r="J39" s="178"/>
      <c r="K39" s="169">
        <v>465705</v>
      </c>
      <c r="L39" s="294" t="s">
        <v>3474</v>
      </c>
      <c r="M39" s="171">
        <v>5000112673609</v>
      </c>
      <c r="N39" s="259"/>
      <c r="O39" s="171">
        <v>5000112675863</v>
      </c>
      <c r="P39" s="165" t="s">
        <v>112</v>
      </c>
      <c r="Q39" s="165" t="s">
        <v>3431</v>
      </c>
      <c r="R39" s="339" t="s">
        <v>3432</v>
      </c>
      <c r="S39" s="339"/>
      <c r="T39" s="439"/>
    </row>
    <row r="40" spans="1:20">
      <c r="A40" s="202" t="s">
        <v>28</v>
      </c>
      <c r="B40" s="177">
        <v>45471</v>
      </c>
      <c r="C40" s="165" t="s">
        <v>102</v>
      </c>
      <c r="D40" s="165">
        <v>32</v>
      </c>
      <c r="E40" s="170">
        <v>465612</v>
      </c>
      <c r="F40" s="165" t="s">
        <v>3475</v>
      </c>
      <c r="G40" s="166">
        <v>5449000004840</v>
      </c>
      <c r="H40" s="167" t="s">
        <v>3429</v>
      </c>
      <c r="I40" s="168">
        <v>5449000015532</v>
      </c>
      <c r="J40" s="178"/>
      <c r="K40" s="169">
        <v>465606</v>
      </c>
      <c r="L40" s="294" t="s">
        <v>3476</v>
      </c>
      <c r="M40" s="171">
        <v>5000112673333</v>
      </c>
      <c r="N40" s="259"/>
      <c r="O40" s="171">
        <v>5000112675870</v>
      </c>
      <c r="P40" s="165" t="s">
        <v>48</v>
      </c>
      <c r="Q40" s="165" t="s">
        <v>3431</v>
      </c>
      <c r="R40" s="339" t="s">
        <v>3432</v>
      </c>
      <c r="S40" s="339"/>
      <c r="T40" s="439"/>
    </row>
    <row r="41" spans="1:20">
      <c r="A41" s="202" t="s">
        <v>28</v>
      </c>
      <c r="B41" s="177">
        <v>45471</v>
      </c>
      <c r="C41" s="165" t="s">
        <v>102</v>
      </c>
      <c r="D41" s="165">
        <v>33</v>
      </c>
      <c r="E41" s="170">
        <v>1007504</v>
      </c>
      <c r="F41" s="165" t="s">
        <v>519</v>
      </c>
      <c r="G41" s="166">
        <v>5449000053213</v>
      </c>
      <c r="H41" s="167" t="s">
        <v>3429</v>
      </c>
      <c r="I41" s="168">
        <v>5449000092960</v>
      </c>
      <c r="J41" s="178"/>
      <c r="K41" s="169">
        <v>1007506</v>
      </c>
      <c r="L41" s="294" t="s">
        <v>3477</v>
      </c>
      <c r="M41" s="171">
        <v>5000112674170</v>
      </c>
      <c r="N41" s="259"/>
      <c r="O41" s="171">
        <v>5000112675535</v>
      </c>
      <c r="P41" s="165" t="s">
        <v>86</v>
      </c>
      <c r="Q41" s="165" t="s">
        <v>3431</v>
      </c>
      <c r="R41" s="339" t="s">
        <v>3432</v>
      </c>
      <c r="S41" s="339"/>
      <c r="T41" s="439"/>
    </row>
    <row r="42" spans="1:20">
      <c r="A42" s="202" t="s">
        <v>28</v>
      </c>
      <c r="B42" s="177">
        <v>45471</v>
      </c>
      <c r="C42" s="165" t="s">
        <v>102</v>
      </c>
      <c r="D42" s="165">
        <v>33</v>
      </c>
      <c r="E42" s="170">
        <v>1007502</v>
      </c>
      <c r="F42" s="165" t="s">
        <v>414</v>
      </c>
      <c r="G42" s="166">
        <v>5449000053213</v>
      </c>
      <c r="H42" s="167" t="s">
        <v>3429</v>
      </c>
      <c r="I42" s="168">
        <v>5449000097538</v>
      </c>
      <c r="J42" s="178"/>
      <c r="K42" s="169">
        <v>1007505</v>
      </c>
      <c r="L42" s="294" t="s">
        <v>3478</v>
      </c>
      <c r="M42" s="171">
        <v>5000112674170</v>
      </c>
      <c r="N42" s="259"/>
      <c r="O42" s="171">
        <v>5000112675481</v>
      </c>
      <c r="P42" s="165" t="s">
        <v>86</v>
      </c>
      <c r="Q42" s="165" t="s">
        <v>3431</v>
      </c>
      <c r="R42" s="339" t="s">
        <v>3432</v>
      </c>
      <c r="S42" s="339"/>
      <c r="T42" s="439"/>
    </row>
    <row r="43" spans="1:20">
      <c r="A43" s="202" t="s">
        <v>28</v>
      </c>
      <c r="B43" s="177">
        <v>45471</v>
      </c>
      <c r="C43" s="165" t="s">
        <v>102</v>
      </c>
      <c r="D43" s="165">
        <v>34</v>
      </c>
      <c r="E43" s="170">
        <v>592170</v>
      </c>
      <c r="F43" s="165" t="s">
        <v>511</v>
      </c>
      <c r="G43" s="166">
        <v>5449000052926</v>
      </c>
      <c r="H43" s="167" t="s">
        <v>3429</v>
      </c>
      <c r="I43" s="168">
        <v>5449000093004</v>
      </c>
      <c r="J43" s="178"/>
      <c r="K43" s="169">
        <v>592175</v>
      </c>
      <c r="L43" s="294" t="s">
        <v>3479</v>
      </c>
      <c r="M43" s="171">
        <v>5000112673319</v>
      </c>
      <c r="N43" s="259"/>
      <c r="O43" s="171">
        <v>5000112675573</v>
      </c>
      <c r="P43" s="165" t="s">
        <v>48</v>
      </c>
      <c r="Q43" s="165" t="s">
        <v>3431</v>
      </c>
      <c r="R43" s="339" t="s">
        <v>3432</v>
      </c>
      <c r="S43" s="339"/>
      <c r="T43" s="439"/>
    </row>
    <row r="44" spans="1:20">
      <c r="A44" s="202" t="s">
        <v>28</v>
      </c>
      <c r="B44" s="177">
        <v>45471</v>
      </c>
      <c r="C44" s="165" t="s">
        <v>102</v>
      </c>
      <c r="D44" s="165">
        <v>34</v>
      </c>
      <c r="E44" s="170">
        <v>592137</v>
      </c>
      <c r="F44" s="165" t="s">
        <v>407</v>
      </c>
      <c r="G44" s="166">
        <v>5449000052926</v>
      </c>
      <c r="H44" s="167" t="s">
        <v>3429</v>
      </c>
      <c r="I44" s="168">
        <v>5449000053527</v>
      </c>
      <c r="J44" s="178"/>
      <c r="K44" s="169">
        <v>592174</v>
      </c>
      <c r="L44" s="294" t="s">
        <v>3480</v>
      </c>
      <c r="M44" s="171">
        <v>5000112673319</v>
      </c>
      <c r="N44" s="259"/>
      <c r="O44" s="171">
        <v>5000112675887</v>
      </c>
      <c r="P44" s="165" t="s">
        <v>48</v>
      </c>
      <c r="Q44" s="165" t="s">
        <v>3431</v>
      </c>
      <c r="R44" s="339" t="s">
        <v>3432</v>
      </c>
      <c r="S44" s="339"/>
      <c r="T44" s="439"/>
    </row>
    <row r="45" spans="1:20">
      <c r="A45" s="202" t="s">
        <v>28</v>
      </c>
      <c r="B45" s="177">
        <v>45471</v>
      </c>
      <c r="C45" s="165" t="s">
        <v>102</v>
      </c>
      <c r="D45" s="165">
        <v>35</v>
      </c>
      <c r="E45" s="170">
        <v>1785805</v>
      </c>
      <c r="F45" s="165" t="s">
        <v>515</v>
      </c>
      <c r="G45" s="166">
        <v>5449000240675</v>
      </c>
      <c r="H45" s="167" t="s">
        <v>3429</v>
      </c>
      <c r="I45" s="168">
        <v>5449000235237</v>
      </c>
      <c r="J45" s="178"/>
      <c r="K45" s="169">
        <v>1785807</v>
      </c>
      <c r="L45" s="294" t="s">
        <v>3481</v>
      </c>
      <c r="M45" s="171">
        <v>5000112673289</v>
      </c>
      <c r="N45" s="259"/>
      <c r="O45" s="171">
        <v>5000112675542</v>
      </c>
      <c r="P45" s="165" t="s">
        <v>3439</v>
      </c>
      <c r="Q45" s="165" t="s">
        <v>3431</v>
      </c>
      <c r="R45" s="339" t="s">
        <v>3432</v>
      </c>
      <c r="S45" s="339"/>
      <c r="T45" s="439"/>
    </row>
    <row r="46" spans="1:20">
      <c r="A46" s="202" t="s">
        <v>28</v>
      </c>
      <c r="B46" s="177">
        <v>45471</v>
      </c>
      <c r="C46" s="165" t="s">
        <v>102</v>
      </c>
      <c r="D46" s="165">
        <v>35</v>
      </c>
      <c r="E46" s="170">
        <v>1785802</v>
      </c>
      <c r="F46" s="165" t="s">
        <v>409</v>
      </c>
      <c r="G46" s="166">
        <v>5449000240675</v>
      </c>
      <c r="H46" s="167" t="s">
        <v>3429</v>
      </c>
      <c r="I46" s="168">
        <v>5449000240699</v>
      </c>
      <c r="J46" s="178"/>
      <c r="K46" s="169">
        <v>1785806</v>
      </c>
      <c r="L46" s="294" t="s">
        <v>3482</v>
      </c>
      <c r="M46" s="171">
        <v>5000112673289</v>
      </c>
      <c r="N46" s="259"/>
      <c r="O46" s="171">
        <v>5000112675474</v>
      </c>
      <c r="P46" s="165" t="s">
        <v>3439</v>
      </c>
      <c r="Q46" s="165" t="s">
        <v>3431</v>
      </c>
      <c r="R46" s="339" t="s">
        <v>3432</v>
      </c>
      <c r="S46" s="339"/>
      <c r="T46" s="439"/>
    </row>
    <row r="47" spans="1:20">
      <c r="A47" s="202" t="s">
        <v>28</v>
      </c>
      <c r="B47" s="177">
        <v>45471</v>
      </c>
      <c r="C47" s="165" t="s">
        <v>102</v>
      </c>
      <c r="D47" s="165">
        <v>36</v>
      </c>
      <c r="E47" s="170">
        <v>620412</v>
      </c>
      <c r="F47" s="165" t="s">
        <v>424</v>
      </c>
      <c r="G47" s="166">
        <v>5449000006271</v>
      </c>
      <c r="H47" s="167" t="s">
        <v>3429</v>
      </c>
      <c r="I47" s="168">
        <v>5449000058362</v>
      </c>
      <c r="J47" s="178"/>
      <c r="K47" s="169">
        <v>620429</v>
      </c>
      <c r="L47" s="294" t="s">
        <v>3483</v>
      </c>
      <c r="M47" s="171">
        <v>5000112673326</v>
      </c>
      <c r="N47" s="259"/>
      <c r="O47" s="171">
        <v>5000112675221</v>
      </c>
      <c r="P47" s="165" t="s">
        <v>48</v>
      </c>
      <c r="Q47" s="165" t="s">
        <v>3431</v>
      </c>
      <c r="R47" s="339" t="s">
        <v>3432</v>
      </c>
      <c r="S47" s="339"/>
      <c r="T47" s="439"/>
    </row>
    <row r="48" spans="1:20">
      <c r="A48" s="202" t="s">
        <v>28</v>
      </c>
      <c r="B48" s="177">
        <v>45471</v>
      </c>
      <c r="C48" s="165" t="s">
        <v>102</v>
      </c>
      <c r="D48" s="165">
        <v>37</v>
      </c>
      <c r="E48" s="170">
        <v>1785702</v>
      </c>
      <c r="F48" s="165" t="s">
        <v>3484</v>
      </c>
      <c r="G48" s="166">
        <v>5449000240668</v>
      </c>
      <c r="H48" s="167" t="s">
        <v>3429</v>
      </c>
      <c r="I48" s="168">
        <v>5449000240682</v>
      </c>
      <c r="J48" s="178"/>
      <c r="K48" s="169">
        <v>1785704</v>
      </c>
      <c r="L48" s="294" t="s">
        <v>871</v>
      </c>
      <c r="M48" s="171">
        <v>54026940</v>
      </c>
      <c r="N48" s="259"/>
      <c r="O48" s="171">
        <v>5000112675382</v>
      </c>
      <c r="P48" s="165" t="s">
        <v>3439</v>
      </c>
      <c r="Q48" s="165" t="s">
        <v>3431</v>
      </c>
      <c r="R48" s="339" t="s">
        <v>3432</v>
      </c>
      <c r="S48" s="339"/>
      <c r="T48" s="439"/>
    </row>
    <row r="49" spans="1:20">
      <c r="A49" s="202" t="s">
        <v>28</v>
      </c>
      <c r="B49" s="177">
        <v>45471</v>
      </c>
      <c r="C49" s="165" t="s">
        <v>102</v>
      </c>
      <c r="D49" s="165">
        <v>37</v>
      </c>
      <c r="E49" s="170">
        <v>1785703</v>
      </c>
      <c r="F49" s="165" t="s">
        <v>60</v>
      </c>
      <c r="G49" s="166">
        <v>5449000240668</v>
      </c>
      <c r="H49" s="167" t="s">
        <v>3429</v>
      </c>
      <c r="I49" s="168">
        <v>5000112644029</v>
      </c>
      <c r="J49" s="178"/>
      <c r="K49" s="169">
        <v>1785705</v>
      </c>
      <c r="L49" s="294" t="s">
        <v>3485</v>
      </c>
      <c r="M49" s="171">
        <v>54026940</v>
      </c>
      <c r="N49" s="259"/>
      <c r="O49" s="171">
        <v>5000112675993</v>
      </c>
      <c r="P49" s="165" t="s">
        <v>3439</v>
      </c>
      <c r="Q49" s="165" t="s">
        <v>3431</v>
      </c>
      <c r="R49" s="339" t="s">
        <v>3432</v>
      </c>
      <c r="S49" s="339"/>
      <c r="T49" s="439"/>
    </row>
    <row r="50" spans="1:20">
      <c r="A50" s="202" t="s">
        <v>28</v>
      </c>
      <c r="B50" s="177">
        <v>45471</v>
      </c>
      <c r="C50" s="165" t="s">
        <v>102</v>
      </c>
      <c r="D50" s="165">
        <v>38</v>
      </c>
      <c r="E50" s="170">
        <v>1163003</v>
      </c>
      <c r="F50" s="165" t="s">
        <v>3486</v>
      </c>
      <c r="G50" s="166">
        <v>54491397</v>
      </c>
      <c r="H50" s="167" t="s">
        <v>3429</v>
      </c>
      <c r="I50" s="168">
        <v>5449000141286</v>
      </c>
      <c r="J50" s="178"/>
      <c r="K50" s="169">
        <v>1163010</v>
      </c>
      <c r="L50" s="294" t="s">
        <v>3487</v>
      </c>
      <c r="M50" s="171">
        <v>54026957</v>
      </c>
      <c r="N50" s="259"/>
      <c r="O50" s="171">
        <v>5000112675375</v>
      </c>
      <c r="P50" s="165" t="s">
        <v>3439</v>
      </c>
      <c r="Q50" s="165" t="s">
        <v>3431</v>
      </c>
      <c r="R50" s="339" t="s">
        <v>3432</v>
      </c>
      <c r="S50" s="339"/>
      <c r="T50" s="439"/>
    </row>
    <row r="51" spans="1:20">
      <c r="A51" s="202" t="s">
        <v>28</v>
      </c>
      <c r="B51" s="177">
        <v>45471</v>
      </c>
      <c r="C51" s="165" t="s">
        <v>102</v>
      </c>
      <c r="D51" s="165">
        <v>38</v>
      </c>
      <c r="E51" s="170">
        <v>1163005</v>
      </c>
      <c r="F51" s="165" t="s">
        <v>3488</v>
      </c>
      <c r="G51" s="166">
        <v>54491397</v>
      </c>
      <c r="H51" s="167" t="s">
        <v>3429</v>
      </c>
      <c r="I51" s="168">
        <v>5000112641790</v>
      </c>
      <c r="J51" s="178"/>
      <c r="K51" s="169">
        <v>1163011</v>
      </c>
      <c r="L51" s="294" t="s">
        <v>3489</v>
      </c>
      <c r="M51" s="171">
        <v>54026957</v>
      </c>
      <c r="N51" s="259"/>
      <c r="O51" s="171">
        <v>5000112675986</v>
      </c>
      <c r="P51" s="165" t="s">
        <v>3439</v>
      </c>
      <c r="Q51" s="165" t="s">
        <v>3431</v>
      </c>
      <c r="R51" s="339" t="s">
        <v>3432</v>
      </c>
      <c r="S51" s="339"/>
      <c r="T51" s="439"/>
    </row>
    <row r="52" spans="1:20">
      <c r="A52" s="202" t="s">
        <v>28</v>
      </c>
      <c r="B52" s="177">
        <v>45471</v>
      </c>
      <c r="C52" s="165" t="s">
        <v>102</v>
      </c>
      <c r="D52" s="165">
        <v>39</v>
      </c>
      <c r="E52" s="170">
        <v>2462621</v>
      </c>
      <c r="F52" s="165" t="s">
        <v>616</v>
      </c>
      <c r="G52" s="166">
        <v>5449000168481</v>
      </c>
      <c r="H52" s="167" t="s">
        <v>3429</v>
      </c>
      <c r="I52" s="168">
        <v>5449000170095</v>
      </c>
      <c r="J52" s="178"/>
      <c r="K52" s="169">
        <v>2462629</v>
      </c>
      <c r="L52" s="294" t="s">
        <v>1041</v>
      </c>
      <c r="M52" s="171">
        <v>5000112674309</v>
      </c>
      <c r="N52" s="259"/>
      <c r="O52" s="171">
        <v>5000112675733</v>
      </c>
      <c r="P52" s="165" t="s">
        <v>3490</v>
      </c>
      <c r="Q52" s="165" t="s">
        <v>3491</v>
      </c>
      <c r="R52" s="339" t="s">
        <v>3432</v>
      </c>
      <c r="S52" s="339"/>
      <c r="T52" s="439"/>
    </row>
    <row r="53" spans="1:20">
      <c r="A53" s="202" t="s">
        <v>28</v>
      </c>
      <c r="B53" s="177">
        <v>45471</v>
      </c>
      <c r="C53" s="165" t="s">
        <v>102</v>
      </c>
      <c r="D53" s="165">
        <v>40</v>
      </c>
      <c r="E53" s="170">
        <v>2561701</v>
      </c>
      <c r="F53" s="165" t="s">
        <v>648</v>
      </c>
      <c r="G53" s="166">
        <v>5449000324757</v>
      </c>
      <c r="H53" s="167" t="s">
        <v>3429</v>
      </c>
      <c r="I53" s="168">
        <v>5449000329042</v>
      </c>
      <c r="J53" s="178"/>
      <c r="K53" s="169">
        <v>2561702</v>
      </c>
      <c r="L53" s="294" t="s">
        <v>3492</v>
      </c>
      <c r="M53" s="171">
        <v>5000112674286</v>
      </c>
      <c r="N53" s="259"/>
      <c r="O53" s="171">
        <v>5000112675825</v>
      </c>
      <c r="P53" s="165" t="s">
        <v>3493</v>
      </c>
      <c r="Q53" s="165" t="s">
        <v>3491</v>
      </c>
      <c r="R53" s="339" t="s">
        <v>3432</v>
      </c>
      <c r="S53" s="339"/>
      <c r="T53" s="439"/>
    </row>
    <row r="54" spans="1:20">
      <c r="A54" s="202" t="s">
        <v>28</v>
      </c>
      <c r="B54" s="177">
        <v>45471</v>
      </c>
      <c r="C54" s="165" t="s">
        <v>102</v>
      </c>
      <c r="D54" s="165">
        <v>41</v>
      </c>
      <c r="E54" s="170">
        <v>2473802</v>
      </c>
      <c r="F54" s="165" t="s">
        <v>646</v>
      </c>
      <c r="G54" s="166">
        <v>5449000324733</v>
      </c>
      <c r="H54" s="167" t="s">
        <v>3429</v>
      </c>
      <c r="I54" s="168">
        <v>5449000329363</v>
      </c>
      <c r="J54" s="178"/>
      <c r="K54" s="169">
        <v>2473803</v>
      </c>
      <c r="L54" s="294" t="s">
        <v>3494</v>
      </c>
      <c r="M54" s="171">
        <v>5000112674279</v>
      </c>
      <c r="N54" s="259"/>
      <c r="O54" s="171">
        <v>5000112675818</v>
      </c>
      <c r="P54" s="165" t="s">
        <v>3493</v>
      </c>
      <c r="Q54" s="165" t="s">
        <v>3491</v>
      </c>
      <c r="R54" s="339" t="s">
        <v>3432</v>
      </c>
      <c r="S54" s="339"/>
      <c r="T54" s="439"/>
    </row>
    <row r="55" spans="1:20">
      <c r="A55" s="202" t="s">
        <v>28</v>
      </c>
      <c r="B55" s="177">
        <v>45471</v>
      </c>
      <c r="C55" s="165" t="s">
        <v>102</v>
      </c>
      <c r="D55" s="165">
        <v>42</v>
      </c>
      <c r="E55" s="170">
        <v>2561101</v>
      </c>
      <c r="F55" s="165" t="s">
        <v>644</v>
      </c>
      <c r="G55" s="166">
        <v>5449000324719</v>
      </c>
      <c r="H55" s="167" t="s">
        <v>3429</v>
      </c>
      <c r="I55" s="168">
        <v>5449000329356</v>
      </c>
      <c r="J55" s="178"/>
      <c r="K55" s="169">
        <v>2561103</v>
      </c>
      <c r="L55" s="294" t="s">
        <v>3495</v>
      </c>
      <c r="M55" s="171">
        <v>5000112674347</v>
      </c>
      <c r="N55" s="259"/>
      <c r="O55" s="171">
        <v>5000112675856</v>
      </c>
      <c r="P55" s="165" t="s">
        <v>3493</v>
      </c>
      <c r="Q55" s="165" t="s">
        <v>3491</v>
      </c>
      <c r="R55" s="339" t="s">
        <v>3432</v>
      </c>
      <c r="S55" s="339"/>
      <c r="T55" s="439"/>
    </row>
    <row r="56" spans="1:20">
      <c r="A56" s="202" t="s">
        <v>28</v>
      </c>
      <c r="B56" s="177">
        <v>45471</v>
      </c>
      <c r="C56" s="165" t="s">
        <v>102</v>
      </c>
      <c r="D56" s="165">
        <v>43</v>
      </c>
      <c r="E56" s="170">
        <v>2274702</v>
      </c>
      <c r="F56" s="165" t="s">
        <v>642</v>
      </c>
      <c r="G56" s="166">
        <v>5449000193124</v>
      </c>
      <c r="H56" s="167" t="s">
        <v>3429</v>
      </c>
      <c r="I56" s="168">
        <v>5449000233653</v>
      </c>
      <c r="J56" s="178"/>
      <c r="K56" s="169">
        <v>2274703</v>
      </c>
      <c r="L56" s="294" t="s">
        <v>851</v>
      </c>
      <c r="M56" s="171">
        <v>5000112674224</v>
      </c>
      <c r="N56" s="259"/>
      <c r="O56" s="171">
        <v>5000112675306</v>
      </c>
      <c r="P56" s="165" t="s">
        <v>3496</v>
      </c>
      <c r="Q56" s="165" t="s">
        <v>3491</v>
      </c>
      <c r="R56" s="339" t="s">
        <v>3432</v>
      </c>
      <c r="S56" s="339"/>
      <c r="T56" s="439"/>
    </row>
    <row r="57" spans="1:20">
      <c r="A57" s="202" t="s">
        <v>28</v>
      </c>
      <c r="B57" s="177">
        <v>45471</v>
      </c>
      <c r="C57" s="165" t="s">
        <v>102</v>
      </c>
      <c r="D57" s="165">
        <v>44</v>
      </c>
      <c r="E57" s="170">
        <v>1374905</v>
      </c>
      <c r="F57" s="165" t="s">
        <v>641</v>
      </c>
      <c r="G57" s="166">
        <v>5449000033383</v>
      </c>
      <c r="H57" s="167" t="s">
        <v>3429</v>
      </c>
      <c r="I57" s="168">
        <v>5449000036025</v>
      </c>
      <c r="J57" s="178"/>
      <c r="K57" s="169">
        <v>1374906</v>
      </c>
      <c r="L57" s="294" t="s">
        <v>1020</v>
      </c>
      <c r="M57" s="171">
        <v>5000112674262</v>
      </c>
      <c r="N57" s="259"/>
      <c r="O57" s="171">
        <v>5000112675207</v>
      </c>
      <c r="P57" s="165" t="s">
        <v>3493</v>
      </c>
      <c r="Q57" s="165" t="s">
        <v>3491</v>
      </c>
      <c r="R57" s="339" t="s">
        <v>3432</v>
      </c>
      <c r="S57" s="339"/>
      <c r="T57" s="439"/>
    </row>
    <row r="58" spans="1:20">
      <c r="A58" s="202" t="s">
        <v>28</v>
      </c>
      <c r="B58" s="177">
        <v>45471</v>
      </c>
      <c r="C58" s="165" t="s">
        <v>102</v>
      </c>
      <c r="D58" s="165">
        <v>46</v>
      </c>
      <c r="E58" s="170">
        <v>132802</v>
      </c>
      <c r="F58" s="165" t="s">
        <v>874</v>
      </c>
      <c r="G58" s="166">
        <v>5449000000453</v>
      </c>
      <c r="H58" s="167" t="s">
        <v>3429</v>
      </c>
      <c r="I58" s="168">
        <v>5449000000910</v>
      </c>
      <c r="J58" s="178"/>
      <c r="K58" s="169">
        <v>132810</v>
      </c>
      <c r="L58" s="294" t="s">
        <v>3497</v>
      </c>
      <c r="M58" s="171">
        <v>5000112673357</v>
      </c>
      <c r="N58" s="259"/>
      <c r="O58" s="171">
        <v>5000112675801</v>
      </c>
      <c r="P58" s="165" t="s">
        <v>57</v>
      </c>
      <c r="Q58" s="165" t="s">
        <v>3491</v>
      </c>
      <c r="R58" s="339" t="s">
        <v>3432</v>
      </c>
      <c r="S58" s="339"/>
      <c r="T58" s="439"/>
    </row>
    <row r="59" spans="1:20">
      <c r="A59" s="202" t="s">
        <v>28</v>
      </c>
      <c r="B59" s="177">
        <v>45471</v>
      </c>
      <c r="C59" s="165" t="s">
        <v>102</v>
      </c>
      <c r="D59" s="165">
        <v>48</v>
      </c>
      <c r="E59" s="170">
        <v>1312313</v>
      </c>
      <c r="F59" s="165" t="s">
        <v>567</v>
      </c>
      <c r="G59" s="166">
        <v>90357473</v>
      </c>
      <c r="H59" s="167" t="s">
        <v>3429</v>
      </c>
      <c r="I59" s="168">
        <v>5449000138156</v>
      </c>
      <c r="J59" s="178"/>
      <c r="K59" s="169">
        <v>1312320</v>
      </c>
      <c r="L59" s="294" t="s">
        <v>3498</v>
      </c>
      <c r="M59" s="171">
        <v>54026582</v>
      </c>
      <c r="N59" s="259"/>
      <c r="O59" s="171">
        <v>5000112675832</v>
      </c>
      <c r="P59" s="165" t="s">
        <v>3437</v>
      </c>
      <c r="Q59" s="165" t="s">
        <v>3491</v>
      </c>
      <c r="R59" s="339" t="s">
        <v>3432</v>
      </c>
      <c r="S59" s="339"/>
      <c r="T59" s="439"/>
    </row>
    <row r="60" spans="1:20">
      <c r="A60" s="202" t="s">
        <v>28</v>
      </c>
      <c r="B60" s="177">
        <v>45471</v>
      </c>
      <c r="C60" s="165" t="s">
        <v>102</v>
      </c>
      <c r="D60" s="165">
        <v>49</v>
      </c>
      <c r="E60" s="170">
        <v>989108</v>
      </c>
      <c r="F60" s="165" t="s">
        <v>674</v>
      </c>
      <c r="G60" s="166">
        <v>42117469</v>
      </c>
      <c r="H60" s="167" t="s">
        <v>3429</v>
      </c>
      <c r="I60" s="168">
        <v>5449000183040</v>
      </c>
      <c r="J60" s="178"/>
      <c r="K60" s="169">
        <v>989116</v>
      </c>
      <c r="L60" s="294" t="s">
        <v>872</v>
      </c>
      <c r="M60" s="171">
        <v>5000112674118</v>
      </c>
      <c r="N60" s="259"/>
      <c r="O60" s="171">
        <v>5000112675290</v>
      </c>
      <c r="P60" s="165" t="s">
        <v>492</v>
      </c>
      <c r="Q60" s="165" t="s">
        <v>3491</v>
      </c>
      <c r="R60" s="339" t="s">
        <v>3432</v>
      </c>
      <c r="S60" s="339"/>
      <c r="T60" s="439"/>
    </row>
    <row r="61" spans="1:20">
      <c r="A61" s="202" t="s">
        <v>28</v>
      </c>
      <c r="B61" s="177">
        <v>45471</v>
      </c>
      <c r="C61" s="165" t="s">
        <v>102</v>
      </c>
      <c r="D61" s="165">
        <v>54</v>
      </c>
      <c r="E61" s="176">
        <v>491401</v>
      </c>
      <c r="F61" s="165" t="s">
        <v>844</v>
      </c>
      <c r="G61" s="166">
        <v>54492653</v>
      </c>
      <c r="H61" s="167" t="s">
        <v>3429</v>
      </c>
      <c r="I61" s="168">
        <v>5449000085276</v>
      </c>
      <c r="J61" s="178"/>
      <c r="K61" s="169">
        <v>491371</v>
      </c>
      <c r="L61" s="294" t="s">
        <v>3499</v>
      </c>
      <c r="M61" s="171">
        <v>5000112674125</v>
      </c>
      <c r="N61" s="259"/>
      <c r="O61" s="171">
        <v>5000112675283</v>
      </c>
      <c r="P61" s="165" t="s">
        <v>492</v>
      </c>
      <c r="Q61" s="165" t="s">
        <v>3491</v>
      </c>
      <c r="R61" s="339" t="s">
        <v>3432</v>
      </c>
      <c r="S61" s="339"/>
      <c r="T61" s="439"/>
    </row>
    <row r="62" spans="1:20">
      <c r="A62" s="202" t="s">
        <v>28</v>
      </c>
      <c r="B62" s="177">
        <v>45471</v>
      </c>
      <c r="C62" s="165" t="s">
        <v>102</v>
      </c>
      <c r="D62" s="165">
        <v>57</v>
      </c>
      <c r="E62" s="170">
        <v>1142404</v>
      </c>
      <c r="F62" s="165" t="s">
        <v>624</v>
      </c>
      <c r="G62" s="166">
        <v>5449000320988</v>
      </c>
      <c r="H62" s="167" t="s">
        <v>3429</v>
      </c>
      <c r="I62" s="168">
        <v>5449000320995</v>
      </c>
      <c r="J62" s="178"/>
      <c r="K62" s="169">
        <v>1142408</v>
      </c>
      <c r="L62" s="294" t="s">
        <v>1025</v>
      </c>
      <c r="M62" s="171">
        <v>5000112674149</v>
      </c>
      <c r="N62" s="259"/>
      <c r="O62" s="171">
        <v>5000112675276</v>
      </c>
      <c r="P62" s="165" t="s">
        <v>492</v>
      </c>
      <c r="Q62" s="165" t="s">
        <v>3491</v>
      </c>
      <c r="R62" s="339" t="s">
        <v>3432</v>
      </c>
      <c r="S62" s="339"/>
      <c r="T62" s="439"/>
    </row>
    <row r="63" spans="1:20">
      <c r="A63" s="202" t="s">
        <v>28</v>
      </c>
      <c r="B63" s="177">
        <v>45471</v>
      </c>
      <c r="C63" s="165" t="s">
        <v>102</v>
      </c>
      <c r="D63" s="165">
        <v>58</v>
      </c>
      <c r="E63" s="170">
        <v>2010707</v>
      </c>
      <c r="F63" s="165" t="s">
        <v>827</v>
      </c>
      <c r="G63" s="166">
        <v>5449000158987</v>
      </c>
      <c r="H63" s="167" t="s">
        <v>3429</v>
      </c>
      <c r="I63" s="168">
        <v>5449000174901</v>
      </c>
      <c r="J63" s="178"/>
      <c r="K63" s="169">
        <v>2010709</v>
      </c>
      <c r="L63" s="294" t="s">
        <v>3500</v>
      </c>
      <c r="M63" s="171">
        <v>5000112674132</v>
      </c>
      <c r="N63" s="259"/>
      <c r="O63" s="171">
        <v>5000112675269</v>
      </c>
      <c r="P63" s="165" t="s">
        <v>3501</v>
      </c>
      <c r="Q63" s="165" t="s">
        <v>3491</v>
      </c>
      <c r="R63" s="339" t="s">
        <v>3432</v>
      </c>
      <c r="S63" s="339"/>
      <c r="T63" s="439"/>
    </row>
    <row r="64" spans="1:20">
      <c r="A64" s="202" t="s">
        <v>28</v>
      </c>
      <c r="B64" s="177">
        <v>45471</v>
      </c>
      <c r="C64" s="165" t="s">
        <v>102</v>
      </c>
      <c r="D64" s="165">
        <v>59</v>
      </c>
      <c r="E64" s="170">
        <v>1676536</v>
      </c>
      <c r="F64" s="165" t="s">
        <v>474</v>
      </c>
      <c r="G64" s="166">
        <v>5449000236623</v>
      </c>
      <c r="H64" s="167" t="s">
        <v>3429</v>
      </c>
      <c r="I64" s="168">
        <v>5449000237514</v>
      </c>
      <c r="J64" s="178"/>
      <c r="K64" s="169">
        <v>1676548</v>
      </c>
      <c r="L64" s="294" t="s">
        <v>3502</v>
      </c>
      <c r="M64" s="171">
        <v>5000112674248</v>
      </c>
      <c r="N64" s="259"/>
      <c r="O64" s="171">
        <v>5000112675702</v>
      </c>
      <c r="P64" s="165" t="s">
        <v>3496</v>
      </c>
      <c r="Q64" s="165" t="s">
        <v>3491</v>
      </c>
      <c r="R64" s="339" t="s">
        <v>3432</v>
      </c>
      <c r="S64" s="339"/>
      <c r="T64" s="439"/>
    </row>
    <row r="65" spans="1:20">
      <c r="A65" s="202" t="s">
        <v>28</v>
      </c>
      <c r="B65" s="177">
        <v>45471</v>
      </c>
      <c r="C65" s="165" t="s">
        <v>102</v>
      </c>
      <c r="D65" s="165">
        <v>60</v>
      </c>
      <c r="E65" s="170">
        <v>1676442</v>
      </c>
      <c r="F65" s="165" t="s">
        <v>471</v>
      </c>
      <c r="G65" s="166">
        <v>5449000235947</v>
      </c>
      <c r="H65" s="167" t="s">
        <v>3429</v>
      </c>
      <c r="I65" s="168">
        <v>5449000237477</v>
      </c>
      <c r="J65" s="178"/>
      <c r="K65" s="169">
        <v>1676455</v>
      </c>
      <c r="L65" s="294" t="s">
        <v>3503</v>
      </c>
      <c r="M65" s="171">
        <v>5000112674231</v>
      </c>
      <c r="N65" s="259"/>
      <c r="O65" s="171">
        <v>5000112675320</v>
      </c>
      <c r="P65" s="165" t="s">
        <v>3496</v>
      </c>
      <c r="Q65" s="165" t="s">
        <v>3491</v>
      </c>
      <c r="R65" s="339" t="s">
        <v>3432</v>
      </c>
      <c r="S65" s="339"/>
      <c r="T65" s="439"/>
    </row>
    <row r="66" spans="1:20">
      <c r="A66" s="202" t="s">
        <v>28</v>
      </c>
      <c r="B66" s="177">
        <v>45471</v>
      </c>
      <c r="C66" s="165" t="s">
        <v>102</v>
      </c>
      <c r="D66" s="165">
        <v>62</v>
      </c>
      <c r="E66" s="170">
        <v>1986714</v>
      </c>
      <c r="F66" s="165" t="s">
        <v>478</v>
      </c>
      <c r="G66" s="166">
        <v>5449000270139</v>
      </c>
      <c r="H66" s="167" t="s">
        <v>3429</v>
      </c>
      <c r="I66" s="168">
        <v>5449000270160</v>
      </c>
      <c r="J66" s="178"/>
      <c r="K66" s="169">
        <v>1986719</v>
      </c>
      <c r="L66" s="294" t="s">
        <v>3504</v>
      </c>
      <c r="M66" s="171">
        <v>5000112674255</v>
      </c>
      <c r="N66" s="259"/>
      <c r="O66" s="171">
        <v>5000112675313</v>
      </c>
      <c r="P66" s="165" t="s">
        <v>3496</v>
      </c>
      <c r="Q66" s="165" t="s">
        <v>3491</v>
      </c>
      <c r="R66" s="339" t="s">
        <v>3432</v>
      </c>
      <c r="S66" s="339"/>
      <c r="T66" s="439"/>
    </row>
    <row r="67" spans="1:20">
      <c r="A67" s="202" t="s">
        <v>28</v>
      </c>
      <c r="B67" s="177">
        <v>45471</v>
      </c>
      <c r="C67" s="165" t="s">
        <v>102</v>
      </c>
      <c r="D67" s="165">
        <v>65</v>
      </c>
      <c r="E67" s="170">
        <v>961412</v>
      </c>
      <c r="F67" s="165" t="s">
        <v>501</v>
      </c>
      <c r="G67" s="166">
        <v>54491014</v>
      </c>
      <c r="H67" s="167" t="s">
        <v>3429</v>
      </c>
      <c r="I67" s="168">
        <v>5449000034229</v>
      </c>
      <c r="J67" s="178"/>
      <c r="K67" s="169">
        <v>961434</v>
      </c>
      <c r="L67" s="294" t="s">
        <v>3505</v>
      </c>
      <c r="M67" s="171">
        <v>54026575</v>
      </c>
      <c r="N67" s="259"/>
      <c r="O67" s="171">
        <v>5000112675849</v>
      </c>
      <c r="P67" s="165" t="s">
        <v>57</v>
      </c>
      <c r="Q67" s="165" t="s">
        <v>3491</v>
      </c>
      <c r="R67" s="339" t="s">
        <v>3432</v>
      </c>
      <c r="S67" s="339"/>
      <c r="T67" s="439"/>
    </row>
    <row r="68" spans="1:20">
      <c r="A68" s="202" t="s">
        <v>28</v>
      </c>
      <c r="B68" s="177">
        <v>45471</v>
      </c>
      <c r="C68" s="165" t="s">
        <v>102</v>
      </c>
      <c r="D68" s="165">
        <v>68</v>
      </c>
      <c r="E68" s="170">
        <v>282501</v>
      </c>
      <c r="F68" s="165" t="s">
        <v>836</v>
      </c>
      <c r="G68" s="166">
        <v>90311291</v>
      </c>
      <c r="H68" s="167" t="s">
        <v>3429</v>
      </c>
      <c r="I68" s="168">
        <v>9000311010072</v>
      </c>
      <c r="J68" s="178"/>
      <c r="K68" s="169">
        <v>282506</v>
      </c>
      <c r="L68" s="294" t="s">
        <v>3506</v>
      </c>
      <c r="M68" s="171">
        <v>9031100008116</v>
      </c>
      <c r="N68" s="259"/>
      <c r="O68" s="171">
        <v>9031100008123</v>
      </c>
      <c r="P68" s="165" t="s">
        <v>3507</v>
      </c>
      <c r="Q68" s="165" t="s">
        <v>3431</v>
      </c>
      <c r="R68" s="339" t="s">
        <v>3432</v>
      </c>
      <c r="S68" s="339"/>
      <c r="T68" s="439"/>
    </row>
    <row r="69" spans="1:20">
      <c r="A69" s="202" t="s">
        <v>28</v>
      </c>
      <c r="B69" s="177">
        <v>45471</v>
      </c>
      <c r="C69" s="165" t="s">
        <v>102</v>
      </c>
      <c r="D69" s="165">
        <v>69</v>
      </c>
      <c r="E69" s="170">
        <v>1867301</v>
      </c>
      <c r="F69" s="165" t="s">
        <v>830</v>
      </c>
      <c r="G69" s="166">
        <v>90311185</v>
      </c>
      <c r="H69" s="167" t="s">
        <v>3429</v>
      </c>
      <c r="I69" s="168">
        <v>9031100004552</v>
      </c>
      <c r="J69" s="178"/>
      <c r="K69" s="169">
        <v>1867303</v>
      </c>
      <c r="L69" s="294" t="s">
        <v>3508</v>
      </c>
      <c r="M69" s="171">
        <v>9031100007966</v>
      </c>
      <c r="N69" s="259"/>
      <c r="O69" s="171">
        <v>9031100008024</v>
      </c>
      <c r="P69" s="165" t="s">
        <v>3507</v>
      </c>
      <c r="Q69" s="165" t="s">
        <v>3431</v>
      </c>
      <c r="R69" s="339" t="s">
        <v>3432</v>
      </c>
      <c r="S69" s="339"/>
      <c r="T69" s="439"/>
    </row>
    <row r="70" spans="1:20">
      <c r="A70" s="202" t="s">
        <v>28</v>
      </c>
      <c r="B70" s="177">
        <v>45471</v>
      </c>
      <c r="C70" s="165" t="s">
        <v>102</v>
      </c>
      <c r="D70" s="165">
        <v>69</v>
      </c>
      <c r="E70" s="170">
        <v>859001</v>
      </c>
      <c r="F70" s="165" t="s">
        <v>839</v>
      </c>
      <c r="G70" s="166">
        <v>90311185</v>
      </c>
      <c r="H70" s="167" t="s">
        <v>3429</v>
      </c>
      <c r="I70" s="168">
        <v>9031100003418</v>
      </c>
      <c r="J70" s="178"/>
      <c r="K70" s="169">
        <v>859013</v>
      </c>
      <c r="L70" s="294" t="s">
        <v>3509</v>
      </c>
      <c r="M70" s="171">
        <v>9031100007966</v>
      </c>
      <c r="N70" s="259"/>
      <c r="O70" s="171">
        <v>9031100007973</v>
      </c>
      <c r="P70" s="165" t="s">
        <v>3507</v>
      </c>
      <c r="Q70" s="165" t="s">
        <v>3431</v>
      </c>
      <c r="R70" s="339" t="s">
        <v>3432</v>
      </c>
      <c r="S70" s="339"/>
      <c r="T70" s="439"/>
    </row>
    <row r="71" spans="1:20">
      <c r="A71" s="202" t="s">
        <v>28</v>
      </c>
      <c r="B71" s="177">
        <v>45471</v>
      </c>
      <c r="C71" s="165" t="s">
        <v>102</v>
      </c>
      <c r="D71" s="165">
        <v>70</v>
      </c>
      <c r="E71" s="170">
        <v>511601</v>
      </c>
      <c r="F71" s="165" t="s">
        <v>840</v>
      </c>
      <c r="G71" s="166">
        <v>90311802</v>
      </c>
      <c r="H71" s="167" t="s">
        <v>3429</v>
      </c>
      <c r="I71" s="168">
        <v>9000311050849</v>
      </c>
      <c r="J71" s="178"/>
      <c r="K71" s="169">
        <v>511618</v>
      </c>
      <c r="L71" s="294" t="s">
        <v>3510</v>
      </c>
      <c r="M71" s="171">
        <v>9031100008130</v>
      </c>
      <c r="N71" s="259"/>
      <c r="O71" s="171">
        <v>9031100008147</v>
      </c>
      <c r="P71" s="165" t="s">
        <v>3507</v>
      </c>
      <c r="Q71" s="165" t="s">
        <v>3431</v>
      </c>
      <c r="R71" s="339" t="s">
        <v>3432</v>
      </c>
      <c r="S71" s="339"/>
      <c r="T71" s="439"/>
    </row>
    <row r="72" spans="1:20">
      <c r="A72" s="202" t="s">
        <v>28</v>
      </c>
      <c r="B72" s="177">
        <v>45471</v>
      </c>
      <c r="C72" s="165" t="s">
        <v>102</v>
      </c>
      <c r="D72" s="165">
        <v>71</v>
      </c>
      <c r="E72" s="170">
        <v>1867201</v>
      </c>
      <c r="F72" s="165" t="s">
        <v>3511</v>
      </c>
      <c r="G72" s="166">
        <v>90311208</v>
      </c>
      <c r="H72" s="167" t="s">
        <v>3429</v>
      </c>
      <c r="I72" s="168">
        <v>9031100004514</v>
      </c>
      <c r="J72" s="178"/>
      <c r="K72" s="169">
        <v>1867207</v>
      </c>
      <c r="L72" s="294" t="s">
        <v>3512</v>
      </c>
      <c r="M72" s="171">
        <v>9031100008000</v>
      </c>
      <c r="N72" s="259"/>
      <c r="O72" s="171">
        <v>9031100008048</v>
      </c>
      <c r="P72" s="165" t="s">
        <v>3507</v>
      </c>
      <c r="Q72" s="165" t="s">
        <v>3431</v>
      </c>
      <c r="R72" s="339" t="s">
        <v>3432</v>
      </c>
      <c r="S72" s="339"/>
      <c r="T72" s="439"/>
    </row>
    <row r="73" spans="1:20">
      <c r="A73" s="202" t="s">
        <v>28</v>
      </c>
      <c r="B73" s="177">
        <v>45471</v>
      </c>
      <c r="C73" s="165" t="s">
        <v>102</v>
      </c>
      <c r="D73" s="165">
        <v>71</v>
      </c>
      <c r="E73" s="170">
        <v>694101</v>
      </c>
      <c r="F73" s="165" t="s">
        <v>824</v>
      </c>
      <c r="G73" s="166">
        <v>90311208</v>
      </c>
      <c r="H73" s="167" t="s">
        <v>3429</v>
      </c>
      <c r="I73" s="168">
        <v>9031100003425</v>
      </c>
      <c r="J73" s="178"/>
      <c r="K73" s="169">
        <v>694111</v>
      </c>
      <c r="L73" s="294" t="s">
        <v>3513</v>
      </c>
      <c r="M73" s="171">
        <v>9031100008000</v>
      </c>
      <c r="N73" s="259"/>
      <c r="O73" s="171">
        <v>9031100008017</v>
      </c>
      <c r="P73" s="165" t="s">
        <v>3507</v>
      </c>
      <c r="Q73" s="165" t="s">
        <v>3431</v>
      </c>
      <c r="R73" s="339" t="s">
        <v>3432</v>
      </c>
      <c r="S73" s="339"/>
      <c r="T73" s="439"/>
    </row>
    <row r="74" spans="1:20">
      <c r="A74" s="202" t="s">
        <v>28</v>
      </c>
      <c r="B74" s="177">
        <v>45471</v>
      </c>
      <c r="C74" s="165" t="s">
        <v>102</v>
      </c>
      <c r="D74" s="165">
        <v>72</v>
      </c>
      <c r="E74" s="170">
        <v>223201</v>
      </c>
      <c r="F74" s="165" t="s">
        <v>3514</v>
      </c>
      <c r="G74" s="166">
        <v>90311789</v>
      </c>
      <c r="H74" s="167" t="s">
        <v>3429</v>
      </c>
      <c r="I74" s="168">
        <v>9000311050825</v>
      </c>
      <c r="J74" s="178"/>
      <c r="K74" s="169">
        <v>223217</v>
      </c>
      <c r="L74" s="294" t="s">
        <v>3515</v>
      </c>
      <c r="M74" s="171">
        <v>9031100008178</v>
      </c>
      <c r="N74" s="259"/>
      <c r="O74" s="171">
        <v>9031100008185</v>
      </c>
      <c r="P74" s="165" t="s">
        <v>3507</v>
      </c>
      <c r="Q74" s="165" t="s">
        <v>3431</v>
      </c>
      <c r="R74" s="339" t="s">
        <v>3432</v>
      </c>
      <c r="S74" s="339"/>
      <c r="T74" s="439"/>
    </row>
    <row r="75" spans="1:20">
      <c r="A75" s="202" t="s">
        <v>28</v>
      </c>
      <c r="B75" s="177">
        <v>45471</v>
      </c>
      <c r="C75" s="165" t="s">
        <v>102</v>
      </c>
      <c r="D75" s="165">
        <v>73</v>
      </c>
      <c r="E75" s="170">
        <v>223301</v>
      </c>
      <c r="F75" s="165" t="s">
        <v>837</v>
      </c>
      <c r="G75" s="166">
        <v>90311796</v>
      </c>
      <c r="H75" s="167" t="s">
        <v>3429</v>
      </c>
      <c r="I75" s="168">
        <v>9000311050832</v>
      </c>
      <c r="J75" s="178"/>
      <c r="K75" s="169">
        <v>223308</v>
      </c>
      <c r="L75" s="294" t="s">
        <v>3516</v>
      </c>
      <c r="M75" s="171">
        <v>9031100008154</v>
      </c>
      <c r="N75" s="259"/>
      <c r="O75" s="171">
        <v>9031100008161</v>
      </c>
      <c r="P75" s="165" t="s">
        <v>3507</v>
      </c>
      <c r="Q75" s="165" t="s">
        <v>3431</v>
      </c>
      <c r="R75" s="339" t="s">
        <v>3432</v>
      </c>
      <c r="S75" s="339"/>
      <c r="T75" s="439"/>
    </row>
    <row r="76" spans="1:20">
      <c r="A76" s="202" t="s">
        <v>28</v>
      </c>
      <c r="B76" s="177">
        <v>45471</v>
      </c>
      <c r="C76" s="165" t="s">
        <v>102</v>
      </c>
      <c r="D76" s="165">
        <v>74</v>
      </c>
      <c r="E76" s="170">
        <v>282701</v>
      </c>
      <c r="F76" s="165" t="s">
        <v>3517</v>
      </c>
      <c r="G76" s="166">
        <v>90311413</v>
      </c>
      <c r="H76" s="167" t="s">
        <v>3429</v>
      </c>
      <c r="I76" s="168">
        <v>9000311010096</v>
      </c>
      <c r="J76" s="178"/>
      <c r="K76" s="169">
        <v>282706</v>
      </c>
      <c r="L76" s="294" t="s">
        <v>3518</v>
      </c>
      <c r="M76" s="171">
        <v>9031100008079</v>
      </c>
      <c r="N76" s="259"/>
      <c r="O76" s="171">
        <v>9031100008086</v>
      </c>
      <c r="P76" s="165" t="s">
        <v>3507</v>
      </c>
      <c r="Q76" s="165" t="s">
        <v>3431</v>
      </c>
      <c r="R76" s="339" t="s">
        <v>3432</v>
      </c>
      <c r="S76" s="339"/>
      <c r="T76" s="439"/>
    </row>
    <row r="77" spans="1:20">
      <c r="A77" s="202" t="s">
        <v>28</v>
      </c>
      <c r="B77" s="177">
        <v>45471</v>
      </c>
      <c r="C77" s="165" t="s">
        <v>102</v>
      </c>
      <c r="D77" s="165">
        <v>75</v>
      </c>
      <c r="E77" s="170">
        <v>16207</v>
      </c>
      <c r="F77" s="165" t="s">
        <v>372</v>
      </c>
      <c r="G77" s="166">
        <v>90494055</v>
      </c>
      <c r="H77" s="167" t="s">
        <v>3429</v>
      </c>
      <c r="I77" s="168">
        <v>5449000085320</v>
      </c>
      <c r="J77" s="178"/>
      <c r="K77" s="169">
        <v>16209</v>
      </c>
      <c r="L77" s="294" t="s">
        <v>1044</v>
      </c>
      <c r="M77" s="171">
        <v>54026964</v>
      </c>
      <c r="N77" s="259"/>
      <c r="O77" s="171">
        <v>5000112675016</v>
      </c>
      <c r="P77" s="165" t="s">
        <v>48</v>
      </c>
      <c r="Q77" s="165" t="s">
        <v>3431</v>
      </c>
      <c r="R77" s="339" t="s">
        <v>3432</v>
      </c>
      <c r="S77" s="339"/>
      <c r="T77" s="439"/>
    </row>
    <row r="78" spans="1:20">
      <c r="A78" s="202" t="s">
        <v>28</v>
      </c>
      <c r="B78" s="177">
        <v>45471</v>
      </c>
      <c r="C78" s="165" t="s">
        <v>102</v>
      </c>
      <c r="D78" s="165">
        <v>77</v>
      </c>
      <c r="E78" s="170">
        <v>1867801</v>
      </c>
      <c r="F78" s="165" t="s">
        <v>3519</v>
      </c>
      <c r="G78" s="166">
        <v>90311659</v>
      </c>
      <c r="H78" s="167" t="s">
        <v>3429</v>
      </c>
      <c r="I78" s="168">
        <v>9031100004538</v>
      </c>
      <c r="J78" s="178"/>
      <c r="K78" s="169">
        <v>1867805</v>
      </c>
      <c r="L78" s="294" t="s">
        <v>3520</v>
      </c>
      <c r="M78" s="171">
        <v>9031100007980</v>
      </c>
      <c r="N78" s="259"/>
      <c r="O78" s="171">
        <v>9031100008031</v>
      </c>
      <c r="P78" s="165" t="s">
        <v>3507</v>
      </c>
      <c r="Q78" s="165" t="s">
        <v>3431</v>
      </c>
      <c r="R78" s="339" t="s">
        <v>3432</v>
      </c>
      <c r="S78" s="339"/>
      <c r="T78" s="439"/>
    </row>
    <row r="79" spans="1:20">
      <c r="A79" s="202" t="s">
        <v>28</v>
      </c>
      <c r="B79" s="177">
        <v>45471</v>
      </c>
      <c r="C79" s="165" t="s">
        <v>102</v>
      </c>
      <c r="D79" s="165">
        <v>77</v>
      </c>
      <c r="E79" s="170">
        <v>1610101</v>
      </c>
      <c r="F79" s="165" t="s">
        <v>3521</v>
      </c>
      <c r="G79" s="166">
        <v>90311659</v>
      </c>
      <c r="H79" s="167" t="s">
        <v>3429</v>
      </c>
      <c r="I79" s="168">
        <v>9031100003401</v>
      </c>
      <c r="J79" s="178"/>
      <c r="K79" s="169">
        <v>1610104</v>
      </c>
      <c r="L79" s="294" t="s">
        <v>3522</v>
      </c>
      <c r="M79" s="171">
        <v>9031100007980</v>
      </c>
      <c r="N79" s="259"/>
      <c r="O79" s="171">
        <v>9031100007997</v>
      </c>
      <c r="P79" s="165" t="s">
        <v>3507</v>
      </c>
      <c r="Q79" s="165" t="s">
        <v>3431</v>
      </c>
      <c r="R79" s="339" t="s">
        <v>3432</v>
      </c>
      <c r="S79" s="339"/>
      <c r="T79" s="439"/>
    </row>
    <row r="80" spans="1:20">
      <c r="A80" s="202" t="s">
        <v>28</v>
      </c>
      <c r="B80" s="177">
        <v>45471</v>
      </c>
      <c r="C80" s="165" t="s">
        <v>102</v>
      </c>
      <c r="D80" s="165">
        <v>78</v>
      </c>
      <c r="E80" s="170">
        <v>515201</v>
      </c>
      <c r="F80" s="165" t="s">
        <v>828</v>
      </c>
      <c r="G80" s="166">
        <v>90311826</v>
      </c>
      <c r="H80" s="167" t="s">
        <v>3429</v>
      </c>
      <c r="I80" s="168">
        <v>9000311050917</v>
      </c>
      <c r="J80" s="178"/>
      <c r="K80" s="169">
        <v>515203</v>
      </c>
      <c r="L80" s="294" t="s">
        <v>3523</v>
      </c>
      <c r="M80" s="171">
        <v>54026599</v>
      </c>
      <c r="N80" s="259"/>
      <c r="O80" s="171">
        <v>9031100008062</v>
      </c>
      <c r="P80" s="165" t="s">
        <v>3507</v>
      </c>
      <c r="Q80" s="165" t="s">
        <v>3431</v>
      </c>
      <c r="R80" s="339" t="s">
        <v>3432</v>
      </c>
      <c r="S80" s="339"/>
      <c r="T80" s="439"/>
    </row>
    <row r="81" spans="1:20">
      <c r="A81" s="202" t="s">
        <v>28</v>
      </c>
      <c r="B81" s="177">
        <v>45471</v>
      </c>
      <c r="C81" s="165" t="s">
        <v>102</v>
      </c>
      <c r="D81" s="165">
        <v>79</v>
      </c>
      <c r="E81" s="170">
        <v>514601</v>
      </c>
      <c r="F81" s="165" t="s">
        <v>3524</v>
      </c>
      <c r="G81" s="166">
        <v>90311307</v>
      </c>
      <c r="H81" s="167" t="s">
        <v>3429</v>
      </c>
      <c r="I81" s="168">
        <v>9000311010089</v>
      </c>
      <c r="J81" s="178"/>
      <c r="K81" s="169">
        <v>514605</v>
      </c>
      <c r="L81" s="294" t="s">
        <v>3525</v>
      </c>
      <c r="M81" s="171">
        <v>9031100008093</v>
      </c>
      <c r="N81" s="259"/>
      <c r="O81" s="171">
        <v>9031100008109</v>
      </c>
      <c r="P81" s="165" t="s">
        <v>3507</v>
      </c>
      <c r="Q81" s="165" t="s">
        <v>3431</v>
      </c>
      <c r="R81" s="339" t="s">
        <v>3432</v>
      </c>
      <c r="S81" s="339"/>
      <c r="T81" s="439"/>
    </row>
    <row r="82" spans="1:20">
      <c r="A82" s="202" t="s">
        <v>28</v>
      </c>
      <c r="B82" s="177">
        <v>45471</v>
      </c>
      <c r="C82" s="165" t="s">
        <v>102</v>
      </c>
      <c r="D82" s="165">
        <v>80</v>
      </c>
      <c r="E82" s="170">
        <v>2511701</v>
      </c>
      <c r="F82" s="165" t="s">
        <v>628</v>
      </c>
      <c r="G82" s="166">
        <v>9031100007768</v>
      </c>
      <c r="H82" s="167" t="s">
        <v>3429</v>
      </c>
      <c r="I82" s="168">
        <v>9031100007775</v>
      </c>
      <c r="J82" s="178"/>
      <c r="K82" s="169">
        <v>2511707</v>
      </c>
      <c r="L82" s="294" t="s">
        <v>3526</v>
      </c>
      <c r="M82" s="171">
        <v>9031100008390</v>
      </c>
      <c r="N82" s="259"/>
      <c r="O82" s="171">
        <v>9031100008406</v>
      </c>
      <c r="P82" s="165" t="s">
        <v>3507</v>
      </c>
      <c r="Q82" s="165" t="s">
        <v>3431</v>
      </c>
      <c r="R82" s="339" t="s">
        <v>3432</v>
      </c>
      <c r="S82" s="339"/>
      <c r="T82" s="439"/>
    </row>
    <row r="83" spans="1:20">
      <c r="A83" s="202" t="s">
        <v>28</v>
      </c>
      <c r="B83" s="177">
        <v>45471</v>
      </c>
      <c r="C83" s="165" t="s">
        <v>102</v>
      </c>
      <c r="D83" s="165">
        <v>81</v>
      </c>
      <c r="E83" s="170">
        <v>2511702</v>
      </c>
      <c r="F83" s="165" t="s">
        <v>3527</v>
      </c>
      <c r="G83" s="166">
        <v>9031100007782</v>
      </c>
      <c r="H83" s="167" t="s">
        <v>3429</v>
      </c>
      <c r="I83" s="168">
        <v>9031100007799</v>
      </c>
      <c r="J83" s="178"/>
      <c r="K83" s="169">
        <v>2574301</v>
      </c>
      <c r="L83" s="294" t="s">
        <v>3528</v>
      </c>
      <c r="M83" s="171">
        <v>9031100008598</v>
      </c>
      <c r="N83" s="259"/>
      <c r="O83" s="171">
        <v>9031100008604</v>
      </c>
      <c r="P83" s="165" t="s">
        <v>3507</v>
      </c>
      <c r="Q83" s="165" t="s">
        <v>3431</v>
      </c>
      <c r="R83" s="339" t="s">
        <v>3432</v>
      </c>
      <c r="S83" s="339"/>
      <c r="T83" s="439"/>
    </row>
    <row r="84" spans="1:20">
      <c r="A84" s="202" t="s">
        <v>28</v>
      </c>
      <c r="B84" s="177">
        <v>45471</v>
      </c>
      <c r="C84" s="165" t="s">
        <v>102</v>
      </c>
      <c r="D84" s="165">
        <v>82</v>
      </c>
      <c r="E84" s="170">
        <v>2511703</v>
      </c>
      <c r="F84" s="165" t="s">
        <v>630</v>
      </c>
      <c r="G84" s="166">
        <v>9031100007805</v>
      </c>
      <c r="H84" s="167" t="s">
        <v>3429</v>
      </c>
      <c r="I84" s="168">
        <v>9031100007812</v>
      </c>
      <c r="J84" s="178"/>
      <c r="K84" s="169">
        <v>2574201</v>
      </c>
      <c r="L84" s="294" t="s">
        <v>3529</v>
      </c>
      <c r="M84" s="171">
        <v>9031100008413</v>
      </c>
      <c r="N84" s="259"/>
      <c r="O84" s="171">
        <v>9031100008420</v>
      </c>
      <c r="P84" s="165" t="s">
        <v>3507</v>
      </c>
      <c r="Q84" s="165" t="s">
        <v>3431</v>
      </c>
      <c r="R84" s="339" t="s">
        <v>3432</v>
      </c>
      <c r="S84" s="339"/>
      <c r="T84" s="439"/>
    </row>
    <row r="85" spans="1:20">
      <c r="A85" s="202" t="s">
        <v>28</v>
      </c>
      <c r="B85" s="177">
        <v>45471</v>
      </c>
      <c r="C85" s="165" t="s">
        <v>102</v>
      </c>
      <c r="D85" s="165">
        <v>83</v>
      </c>
      <c r="E85" s="170">
        <v>14669</v>
      </c>
      <c r="F85" s="165" t="s">
        <v>3530</v>
      </c>
      <c r="G85" s="166">
        <v>5449000000996</v>
      </c>
      <c r="H85" s="167" t="s">
        <v>3429</v>
      </c>
      <c r="I85" s="168">
        <v>5449000000279</v>
      </c>
      <c r="J85" s="178"/>
      <c r="K85" s="169">
        <v>1188091</v>
      </c>
      <c r="L85" s="294" t="s">
        <v>3531</v>
      </c>
      <c r="M85" s="171">
        <v>5000112673586</v>
      </c>
      <c r="N85" s="259"/>
      <c r="O85" s="171">
        <v>5000112676099</v>
      </c>
      <c r="P85" s="165" t="s">
        <v>57</v>
      </c>
      <c r="Q85" s="165" t="s">
        <v>3431</v>
      </c>
      <c r="R85" s="339" t="s">
        <v>3432</v>
      </c>
      <c r="S85" s="339"/>
      <c r="T85" s="439"/>
    </row>
    <row r="86" spans="1:20">
      <c r="A86" s="202" t="s">
        <v>28</v>
      </c>
      <c r="B86" s="177">
        <v>45471</v>
      </c>
      <c r="C86" s="165" t="s">
        <v>102</v>
      </c>
      <c r="D86" s="165">
        <v>83</v>
      </c>
      <c r="E86" s="170">
        <v>1002627</v>
      </c>
      <c r="F86" s="165" t="s">
        <v>393</v>
      </c>
      <c r="G86" s="166">
        <v>5449000000996</v>
      </c>
      <c r="H86" s="167">
        <v>5449000313218</v>
      </c>
      <c r="I86" s="168">
        <v>5449000312655</v>
      </c>
      <c r="J86" s="178"/>
      <c r="K86" s="169">
        <v>1002634</v>
      </c>
      <c r="L86" s="294" t="s">
        <v>3532</v>
      </c>
      <c r="M86" s="171">
        <v>5000112673586</v>
      </c>
      <c r="N86" s="171">
        <v>5000112675139</v>
      </c>
      <c r="O86" s="171">
        <v>5000112675740</v>
      </c>
      <c r="P86" s="165" t="s">
        <v>57</v>
      </c>
      <c r="Q86" s="165" t="s">
        <v>3431</v>
      </c>
      <c r="R86" s="339" t="s">
        <v>3432</v>
      </c>
      <c r="S86" s="339"/>
      <c r="T86" s="439"/>
    </row>
    <row r="87" spans="1:20">
      <c r="A87" s="202" t="s">
        <v>28</v>
      </c>
      <c r="B87" s="177">
        <v>45471</v>
      </c>
      <c r="C87" s="165" t="s">
        <v>102</v>
      </c>
      <c r="D87" s="165">
        <v>83</v>
      </c>
      <c r="E87" s="170">
        <v>517475</v>
      </c>
      <c r="F87" s="165" t="s">
        <v>173</v>
      </c>
      <c r="G87" s="166">
        <v>5449000000996</v>
      </c>
      <c r="H87" s="167">
        <v>5449000290984</v>
      </c>
      <c r="I87" s="168">
        <v>5449000290977</v>
      </c>
      <c r="J87" s="178"/>
      <c r="K87" s="169">
        <v>2505008</v>
      </c>
      <c r="L87" s="294" t="s">
        <v>3533</v>
      </c>
      <c r="M87" s="171">
        <v>5000112673586</v>
      </c>
      <c r="N87" s="171">
        <v>5000112675122</v>
      </c>
      <c r="O87" s="171">
        <v>5000112675764</v>
      </c>
      <c r="P87" s="165" t="s">
        <v>57</v>
      </c>
      <c r="Q87" s="165" t="s">
        <v>3431</v>
      </c>
      <c r="R87" s="339" t="s">
        <v>3432</v>
      </c>
      <c r="S87" s="339"/>
      <c r="T87" s="439"/>
    </row>
    <row r="88" spans="1:20">
      <c r="A88" s="202" t="s">
        <v>28</v>
      </c>
      <c r="B88" s="177">
        <v>45471</v>
      </c>
      <c r="C88" s="165" t="s">
        <v>102</v>
      </c>
      <c r="D88" s="165">
        <v>84</v>
      </c>
      <c r="E88" s="170">
        <v>14731</v>
      </c>
      <c r="F88" s="165" t="s">
        <v>3534</v>
      </c>
      <c r="G88" s="166">
        <v>5449000050205</v>
      </c>
      <c r="H88" s="167" t="s">
        <v>3429</v>
      </c>
      <c r="I88" s="168">
        <v>9049000000444</v>
      </c>
      <c r="J88" s="178"/>
      <c r="K88" s="169">
        <v>14738</v>
      </c>
      <c r="L88" s="294" t="s">
        <v>3535</v>
      </c>
      <c r="M88" s="171">
        <v>5000112674330</v>
      </c>
      <c r="N88" s="259"/>
      <c r="O88" s="171">
        <v>5000112676051</v>
      </c>
      <c r="P88" s="165" t="s">
        <v>3449</v>
      </c>
      <c r="Q88" s="165" t="s">
        <v>3431</v>
      </c>
      <c r="R88" s="339" t="s">
        <v>3432</v>
      </c>
      <c r="S88" s="339"/>
      <c r="T88" s="439"/>
    </row>
    <row r="89" spans="1:20">
      <c r="A89" s="202" t="s">
        <v>28</v>
      </c>
      <c r="B89" s="177">
        <v>45471</v>
      </c>
      <c r="C89" s="165" t="s">
        <v>102</v>
      </c>
      <c r="D89" s="165">
        <v>85</v>
      </c>
      <c r="E89" s="170">
        <v>17246</v>
      </c>
      <c r="F89" s="165" t="s">
        <v>3536</v>
      </c>
      <c r="G89" s="166">
        <v>5449000011527</v>
      </c>
      <c r="H89" s="167" t="s">
        <v>3429</v>
      </c>
      <c r="I89" s="168">
        <v>5449000011541</v>
      </c>
      <c r="J89" s="178"/>
      <c r="K89" s="169">
        <v>27207</v>
      </c>
      <c r="L89" s="294" t="s">
        <v>3537</v>
      </c>
      <c r="M89" s="171">
        <v>5000112673340</v>
      </c>
      <c r="N89" s="259"/>
      <c r="O89" s="171">
        <v>5000112676082</v>
      </c>
      <c r="P89" s="165" t="s">
        <v>48</v>
      </c>
      <c r="Q89" s="165" t="s">
        <v>3431</v>
      </c>
      <c r="R89" s="339" t="s">
        <v>3432</v>
      </c>
      <c r="S89" s="339"/>
      <c r="T89" s="439"/>
    </row>
    <row r="90" spans="1:20">
      <c r="A90" s="202" t="s">
        <v>28</v>
      </c>
      <c r="B90" s="177">
        <v>45471</v>
      </c>
      <c r="C90" s="165" t="s">
        <v>102</v>
      </c>
      <c r="D90" s="165">
        <v>85</v>
      </c>
      <c r="E90" s="170">
        <v>1068506</v>
      </c>
      <c r="F90" s="165" t="s">
        <v>394</v>
      </c>
      <c r="G90" s="166">
        <v>5449000011527</v>
      </c>
      <c r="H90" s="167">
        <v>5449000313195</v>
      </c>
      <c r="I90" s="168">
        <v>5449000312662</v>
      </c>
      <c r="J90" s="178"/>
      <c r="K90" s="169">
        <v>1068507</v>
      </c>
      <c r="L90" s="294" t="s">
        <v>3538</v>
      </c>
      <c r="M90" s="171">
        <v>5000112673340</v>
      </c>
      <c r="N90" s="171">
        <v>5000112675108</v>
      </c>
      <c r="O90" s="171">
        <v>5000112675788</v>
      </c>
      <c r="P90" s="165" t="s">
        <v>48</v>
      </c>
      <c r="Q90" s="165" t="s">
        <v>3431</v>
      </c>
      <c r="R90" s="339" t="s">
        <v>3432</v>
      </c>
      <c r="S90" s="339"/>
      <c r="T90" s="439"/>
    </row>
    <row r="91" spans="1:20">
      <c r="A91" s="202" t="s">
        <v>28</v>
      </c>
      <c r="B91" s="177">
        <v>45471</v>
      </c>
      <c r="C91" s="165" t="s">
        <v>102</v>
      </c>
      <c r="D91" s="165">
        <v>85</v>
      </c>
      <c r="E91" s="170">
        <v>404041</v>
      </c>
      <c r="F91" s="165" t="s">
        <v>175</v>
      </c>
      <c r="G91" s="166">
        <v>5449000011527</v>
      </c>
      <c r="H91" s="167">
        <v>5449000290946</v>
      </c>
      <c r="I91" s="168">
        <v>5449000290953</v>
      </c>
      <c r="J91" s="178"/>
      <c r="K91" s="169">
        <v>404061</v>
      </c>
      <c r="L91" s="294" t="s">
        <v>3539</v>
      </c>
      <c r="M91" s="171">
        <v>5000112673340</v>
      </c>
      <c r="N91" s="171">
        <v>5000112675115</v>
      </c>
      <c r="O91" s="171">
        <v>5000112675771</v>
      </c>
      <c r="P91" s="165" t="s">
        <v>48</v>
      </c>
      <c r="Q91" s="165" t="s">
        <v>3431</v>
      </c>
      <c r="R91" s="339" t="s">
        <v>3432</v>
      </c>
      <c r="S91" s="339"/>
      <c r="T91" s="439"/>
    </row>
    <row r="92" spans="1:20">
      <c r="A92" s="202" t="s">
        <v>28</v>
      </c>
      <c r="B92" s="177">
        <v>45471</v>
      </c>
      <c r="C92" s="165" t="s">
        <v>102</v>
      </c>
      <c r="D92" s="165">
        <v>86</v>
      </c>
      <c r="E92" s="170">
        <v>512502</v>
      </c>
      <c r="F92" s="165" t="s">
        <v>3540</v>
      </c>
      <c r="G92" s="166">
        <v>5449000014528</v>
      </c>
      <c r="H92" s="167" t="s">
        <v>3429</v>
      </c>
      <c r="I92" s="168">
        <v>5449000001566</v>
      </c>
      <c r="J92" s="178"/>
      <c r="K92" s="169">
        <v>512503</v>
      </c>
      <c r="L92" s="294" t="s">
        <v>3541</v>
      </c>
      <c r="M92" s="171">
        <v>5000112674316</v>
      </c>
      <c r="N92" s="259"/>
      <c r="O92" s="171">
        <v>5000112676020</v>
      </c>
      <c r="P92" s="165" t="s">
        <v>86</v>
      </c>
      <c r="Q92" s="165" t="s">
        <v>3431</v>
      </c>
      <c r="R92" s="339" t="s">
        <v>3432</v>
      </c>
      <c r="S92" s="339"/>
      <c r="T92" s="439"/>
    </row>
    <row r="93" spans="1:20">
      <c r="A93" s="202" t="s">
        <v>28</v>
      </c>
      <c r="B93" s="177">
        <v>45471</v>
      </c>
      <c r="C93" s="165" t="s">
        <v>102</v>
      </c>
      <c r="D93" s="165">
        <v>87</v>
      </c>
      <c r="E93" s="170">
        <v>609215</v>
      </c>
      <c r="F93" s="165" t="s">
        <v>3542</v>
      </c>
      <c r="G93" s="166">
        <v>5449000131805</v>
      </c>
      <c r="H93" s="167" t="s">
        <v>3429</v>
      </c>
      <c r="I93" s="168">
        <v>5449000135148</v>
      </c>
      <c r="J93" s="178"/>
      <c r="K93" s="169">
        <v>609281</v>
      </c>
      <c r="L93" s="294" t="s">
        <v>3543</v>
      </c>
      <c r="M93" s="171">
        <v>5000112673463</v>
      </c>
      <c r="N93" s="259"/>
      <c r="O93" s="171">
        <v>5000112676044</v>
      </c>
      <c r="P93" s="165" t="s">
        <v>3437</v>
      </c>
      <c r="Q93" s="165" t="s">
        <v>3431</v>
      </c>
      <c r="R93" s="339" t="s">
        <v>3432</v>
      </c>
      <c r="S93" s="339"/>
      <c r="T93" s="439"/>
    </row>
    <row r="94" spans="1:20">
      <c r="A94" s="202" t="s">
        <v>28</v>
      </c>
      <c r="B94" s="177">
        <v>45471</v>
      </c>
      <c r="C94" s="165" t="s">
        <v>102</v>
      </c>
      <c r="D94" s="165">
        <v>87</v>
      </c>
      <c r="E94" s="170">
        <v>1025222</v>
      </c>
      <c r="F94" s="165" t="s">
        <v>395</v>
      </c>
      <c r="G94" s="166">
        <v>5449000131805</v>
      </c>
      <c r="H94" s="167">
        <v>5449000313201</v>
      </c>
      <c r="I94" s="168">
        <v>5449000312648</v>
      </c>
      <c r="J94" s="178"/>
      <c r="K94" s="169">
        <v>1025230</v>
      </c>
      <c r="L94" s="294" t="s">
        <v>3544</v>
      </c>
      <c r="M94" s="171">
        <v>5000112673463</v>
      </c>
      <c r="N94" s="171">
        <v>5000112675153</v>
      </c>
      <c r="O94" s="171">
        <v>5000112675795</v>
      </c>
      <c r="P94" s="165" t="s">
        <v>3437</v>
      </c>
      <c r="Q94" s="165" t="s">
        <v>3431</v>
      </c>
      <c r="R94" s="339" t="s">
        <v>3432</v>
      </c>
      <c r="S94" s="339"/>
      <c r="T94" s="439"/>
    </row>
    <row r="95" spans="1:20">
      <c r="A95" s="202" t="s">
        <v>28</v>
      </c>
      <c r="B95" s="177">
        <v>45471</v>
      </c>
      <c r="C95" s="165" t="s">
        <v>102</v>
      </c>
      <c r="D95" s="165">
        <v>87</v>
      </c>
      <c r="E95" s="170">
        <v>225337</v>
      </c>
      <c r="F95" s="165" t="s">
        <v>174</v>
      </c>
      <c r="G95" s="166">
        <v>5449000131805</v>
      </c>
      <c r="H95" s="167">
        <v>5449000290939</v>
      </c>
      <c r="I95" s="168">
        <v>5449000290960</v>
      </c>
      <c r="J95" s="178"/>
      <c r="K95" s="169">
        <v>225355</v>
      </c>
      <c r="L95" s="294" t="s">
        <v>3545</v>
      </c>
      <c r="M95" s="171">
        <v>5000112673463</v>
      </c>
      <c r="N95" s="171">
        <v>5000112675146</v>
      </c>
      <c r="O95" s="171">
        <v>5000112675757</v>
      </c>
      <c r="P95" s="165" t="s">
        <v>3437</v>
      </c>
      <c r="Q95" s="165" t="s">
        <v>3431</v>
      </c>
      <c r="R95" s="339" t="s">
        <v>3432</v>
      </c>
      <c r="S95" s="339"/>
      <c r="T95" s="439"/>
    </row>
    <row r="96" spans="1:20">
      <c r="A96" s="202" t="s">
        <v>28</v>
      </c>
      <c r="B96" s="177">
        <v>45471</v>
      </c>
      <c r="C96" s="165" t="s">
        <v>102</v>
      </c>
      <c r="D96" s="165">
        <v>88</v>
      </c>
      <c r="E96" s="170">
        <v>1409005</v>
      </c>
      <c r="F96" s="165" t="s">
        <v>230</v>
      </c>
      <c r="G96" s="166">
        <v>9031100006495</v>
      </c>
      <c r="H96" s="167" t="s">
        <v>3429</v>
      </c>
      <c r="I96" s="168">
        <v>9031100006501</v>
      </c>
      <c r="J96" s="178"/>
      <c r="K96" s="169">
        <v>2237801</v>
      </c>
      <c r="L96" s="294" t="s">
        <v>3546</v>
      </c>
      <c r="M96" s="171">
        <v>9031100008277</v>
      </c>
      <c r="N96" s="259"/>
      <c r="O96" s="171">
        <v>9031100008284</v>
      </c>
      <c r="P96" s="165" t="s">
        <v>3507</v>
      </c>
      <c r="Q96" s="165" t="s">
        <v>3431</v>
      </c>
      <c r="R96" s="339" t="s">
        <v>3432</v>
      </c>
      <c r="S96" s="339"/>
      <c r="T96" s="439"/>
    </row>
    <row r="97" spans="1:20">
      <c r="A97" s="202" t="s">
        <v>28</v>
      </c>
      <c r="B97" s="177">
        <v>45471</v>
      </c>
      <c r="C97" s="165" t="s">
        <v>102</v>
      </c>
      <c r="D97" s="165">
        <v>90</v>
      </c>
      <c r="E97" s="170">
        <v>1858501</v>
      </c>
      <c r="F97" s="165" t="s">
        <v>3547</v>
      </c>
      <c r="G97" s="166">
        <v>9031100004460</v>
      </c>
      <c r="H97" s="167" t="s">
        <v>3429</v>
      </c>
      <c r="I97" s="168">
        <v>9031100004477</v>
      </c>
      <c r="J97" s="178"/>
      <c r="K97" s="169">
        <v>1858506</v>
      </c>
      <c r="L97" s="294" t="s">
        <v>3548</v>
      </c>
      <c r="M97" s="171">
        <v>9031100008437</v>
      </c>
      <c r="N97" s="259"/>
      <c r="O97" s="171">
        <v>9031100008444</v>
      </c>
      <c r="P97" s="165" t="s">
        <v>3507</v>
      </c>
      <c r="Q97" s="165" t="s">
        <v>3431</v>
      </c>
      <c r="R97" s="339" t="s">
        <v>3432</v>
      </c>
      <c r="S97" s="339"/>
      <c r="T97" s="439"/>
    </row>
    <row r="98" spans="1:20">
      <c r="A98" s="202" t="s">
        <v>28</v>
      </c>
      <c r="B98" s="177">
        <v>45471</v>
      </c>
      <c r="C98" s="165" t="s">
        <v>102</v>
      </c>
      <c r="D98" s="165">
        <v>91</v>
      </c>
      <c r="E98" s="170">
        <v>1920101</v>
      </c>
      <c r="F98" s="165" t="s">
        <v>3549</v>
      </c>
      <c r="G98" s="166">
        <v>9031100004712</v>
      </c>
      <c r="H98" s="167" t="s">
        <v>3429</v>
      </c>
      <c r="I98" s="168">
        <v>9031100004729</v>
      </c>
      <c r="J98" s="178"/>
      <c r="K98" s="169">
        <v>1920103</v>
      </c>
      <c r="L98" s="294" t="s">
        <v>893</v>
      </c>
      <c r="M98" s="171">
        <v>9031100008499</v>
      </c>
      <c r="N98" s="259"/>
      <c r="O98" s="171">
        <v>9031100008505</v>
      </c>
      <c r="P98" s="165" t="s">
        <v>3507</v>
      </c>
      <c r="Q98" s="165" t="s">
        <v>3431</v>
      </c>
      <c r="R98" s="339" t="s">
        <v>3432</v>
      </c>
      <c r="S98" s="339"/>
      <c r="T98" s="439"/>
    </row>
    <row r="99" spans="1:20">
      <c r="A99" s="202" t="s">
        <v>28</v>
      </c>
      <c r="B99" s="177">
        <v>45471</v>
      </c>
      <c r="C99" s="165" t="s">
        <v>102</v>
      </c>
      <c r="D99" s="165">
        <v>92</v>
      </c>
      <c r="E99" s="170">
        <v>1920201</v>
      </c>
      <c r="F99" s="165" t="s">
        <v>829</v>
      </c>
      <c r="G99" s="166">
        <v>9031100004699</v>
      </c>
      <c r="H99" s="167" t="s">
        <v>3429</v>
      </c>
      <c r="I99" s="168">
        <v>9031100004705</v>
      </c>
      <c r="J99" s="178"/>
      <c r="K99" s="169">
        <v>1920203</v>
      </c>
      <c r="L99" s="294" t="s">
        <v>885</v>
      </c>
      <c r="M99" s="171">
        <v>9031100008475</v>
      </c>
      <c r="N99" s="259"/>
      <c r="O99" s="171">
        <v>9031100008482</v>
      </c>
      <c r="P99" s="165" t="s">
        <v>3507</v>
      </c>
      <c r="Q99" s="165" t="s">
        <v>3431</v>
      </c>
      <c r="R99" s="339" t="s">
        <v>3432</v>
      </c>
      <c r="S99" s="339"/>
      <c r="T99" s="439"/>
    </row>
    <row r="100" spans="1:20">
      <c r="A100" s="202" t="s">
        <v>28</v>
      </c>
      <c r="B100" s="177">
        <v>45471</v>
      </c>
      <c r="C100" s="165" t="s">
        <v>102</v>
      </c>
      <c r="D100" s="165">
        <v>93</v>
      </c>
      <c r="E100" s="170">
        <v>2166603</v>
      </c>
      <c r="F100" s="165" t="s">
        <v>561</v>
      </c>
      <c r="G100" s="166">
        <v>9031100007478</v>
      </c>
      <c r="H100" s="167" t="s">
        <v>3429</v>
      </c>
      <c r="I100" s="168">
        <v>9031100007485</v>
      </c>
      <c r="J100" s="178"/>
      <c r="K100" s="169">
        <v>2450301</v>
      </c>
      <c r="L100" s="294" t="s">
        <v>3550</v>
      </c>
      <c r="M100" s="171">
        <v>9031100008376</v>
      </c>
      <c r="N100" s="259"/>
      <c r="O100" s="171">
        <v>9031100008383</v>
      </c>
      <c r="P100" s="165" t="s">
        <v>3507</v>
      </c>
      <c r="Q100" s="165" t="s">
        <v>3431</v>
      </c>
      <c r="R100" s="339" t="s">
        <v>3432</v>
      </c>
      <c r="S100" s="339"/>
      <c r="T100" s="439"/>
    </row>
    <row r="101" spans="1:20">
      <c r="A101" s="202" t="s">
        <v>28</v>
      </c>
      <c r="B101" s="177">
        <v>45471</v>
      </c>
      <c r="C101" s="165" t="s">
        <v>102</v>
      </c>
      <c r="D101" s="165">
        <v>95</v>
      </c>
      <c r="E101" s="170">
        <v>46008</v>
      </c>
      <c r="F101" s="165" t="s">
        <v>3551</v>
      </c>
      <c r="G101" s="166">
        <v>54492387</v>
      </c>
      <c r="H101" s="167" t="s">
        <v>3429</v>
      </c>
      <c r="I101" s="168">
        <v>5449000017680</v>
      </c>
      <c r="J101" s="178"/>
      <c r="K101" s="169">
        <v>46046</v>
      </c>
      <c r="L101" s="294" t="s">
        <v>3552</v>
      </c>
      <c r="M101" s="171">
        <v>54026926</v>
      </c>
      <c r="N101" s="259"/>
      <c r="O101" s="171">
        <v>5000112675061</v>
      </c>
      <c r="P101" s="165" t="s">
        <v>3449</v>
      </c>
      <c r="Q101" s="165" t="s">
        <v>3431</v>
      </c>
      <c r="R101" s="339" t="s">
        <v>3432</v>
      </c>
      <c r="S101" s="339"/>
      <c r="T101" s="439"/>
    </row>
    <row r="102" spans="1:20">
      <c r="A102" s="202" t="s">
        <v>28</v>
      </c>
      <c r="B102" s="177">
        <v>45471</v>
      </c>
      <c r="C102" s="165" t="s">
        <v>102</v>
      </c>
      <c r="D102" s="165">
        <v>96</v>
      </c>
      <c r="E102" s="170">
        <v>225212</v>
      </c>
      <c r="F102" s="165" t="s">
        <v>3553</v>
      </c>
      <c r="G102" s="166">
        <v>5449000131836</v>
      </c>
      <c r="H102" s="167" t="s">
        <v>3429</v>
      </c>
      <c r="I102" s="168">
        <v>5449000141170</v>
      </c>
      <c r="J102" s="178"/>
      <c r="K102" s="169">
        <v>225257</v>
      </c>
      <c r="L102" s="294" t="s">
        <v>3554</v>
      </c>
      <c r="M102" s="171">
        <v>54026971</v>
      </c>
      <c r="N102" s="259"/>
      <c r="O102" s="171">
        <v>5000112675054</v>
      </c>
      <c r="P102" s="165" t="s">
        <v>3437</v>
      </c>
      <c r="Q102" s="165" t="s">
        <v>3431</v>
      </c>
      <c r="R102" s="339" t="s">
        <v>3432</v>
      </c>
      <c r="S102" s="339"/>
      <c r="T102" s="439"/>
    </row>
    <row r="103" spans="1:20">
      <c r="A103" s="202" t="s">
        <v>28</v>
      </c>
      <c r="B103" s="177">
        <v>45471</v>
      </c>
      <c r="C103" s="165" t="s">
        <v>102</v>
      </c>
      <c r="D103" s="165">
        <v>96</v>
      </c>
      <c r="E103" s="170">
        <v>298012</v>
      </c>
      <c r="F103" s="165" t="s">
        <v>3555</v>
      </c>
      <c r="G103" s="166">
        <v>5449000131836</v>
      </c>
      <c r="H103" s="167">
        <v>5449000134554</v>
      </c>
      <c r="I103" s="168">
        <v>5449000004116</v>
      </c>
      <c r="J103" s="178"/>
      <c r="K103" s="169">
        <v>298014</v>
      </c>
      <c r="L103" s="294" t="s">
        <v>3556</v>
      </c>
      <c r="M103" s="171">
        <v>54026971</v>
      </c>
      <c r="N103" s="171">
        <v>5000112675160</v>
      </c>
      <c r="O103" s="171">
        <v>5000112675245</v>
      </c>
      <c r="P103" s="165" t="s">
        <v>3437</v>
      </c>
      <c r="Q103" s="165" t="s">
        <v>3431</v>
      </c>
      <c r="R103" s="339" t="s">
        <v>3432</v>
      </c>
      <c r="S103" s="339"/>
      <c r="T103" s="439"/>
    </row>
    <row r="104" spans="1:20">
      <c r="A104" s="202" t="s">
        <v>28</v>
      </c>
      <c r="B104" s="177">
        <v>45471</v>
      </c>
      <c r="C104" s="165" t="s">
        <v>102</v>
      </c>
      <c r="D104" s="165">
        <v>98</v>
      </c>
      <c r="E104" s="170">
        <v>1827203</v>
      </c>
      <c r="F104" s="165" t="s">
        <v>563</v>
      </c>
      <c r="G104" s="166">
        <v>9031100007492</v>
      </c>
      <c r="H104" s="167" t="s">
        <v>3429</v>
      </c>
      <c r="I104" s="168">
        <v>9031100007508</v>
      </c>
      <c r="J104" s="178"/>
      <c r="K104" s="169">
        <v>2450401</v>
      </c>
      <c r="L104" s="294" t="s">
        <v>1045</v>
      </c>
      <c r="M104" s="171">
        <v>9031100008192</v>
      </c>
      <c r="N104" s="259"/>
      <c r="O104" s="171">
        <v>9031100008208</v>
      </c>
      <c r="P104" s="165" t="s">
        <v>3507</v>
      </c>
      <c r="Q104" s="165" t="s">
        <v>3431</v>
      </c>
      <c r="R104" s="339" t="s">
        <v>3432</v>
      </c>
      <c r="S104" s="339"/>
      <c r="T104" s="439"/>
    </row>
    <row r="105" spans="1:20">
      <c r="A105" s="202" t="s">
        <v>28</v>
      </c>
      <c r="B105" s="177">
        <v>45471</v>
      </c>
      <c r="C105" s="165" t="s">
        <v>102</v>
      </c>
      <c r="D105" s="165">
        <v>99</v>
      </c>
      <c r="E105" s="170">
        <v>2166801</v>
      </c>
      <c r="F105" s="165" t="s">
        <v>235</v>
      </c>
      <c r="G105" s="166">
        <v>9031100006617</v>
      </c>
      <c r="H105" s="167" t="s">
        <v>3429</v>
      </c>
      <c r="I105" s="168">
        <v>9031100006624</v>
      </c>
      <c r="J105" s="178"/>
      <c r="K105" s="169">
        <v>2166803</v>
      </c>
      <c r="L105" s="294" t="s">
        <v>3557</v>
      </c>
      <c r="M105" s="171">
        <v>9031100008352</v>
      </c>
      <c r="N105" s="259"/>
      <c r="O105" s="171">
        <v>9031100008369</v>
      </c>
      <c r="P105" s="165" t="s">
        <v>3507</v>
      </c>
      <c r="Q105" s="165" t="s">
        <v>3431</v>
      </c>
      <c r="R105" s="339" t="s">
        <v>3432</v>
      </c>
      <c r="S105" s="339"/>
      <c r="T105" s="439"/>
    </row>
    <row r="106" spans="1:20">
      <c r="A106" s="202" t="s">
        <v>28</v>
      </c>
      <c r="B106" s="177">
        <v>45471</v>
      </c>
      <c r="C106" s="165" t="s">
        <v>102</v>
      </c>
      <c r="D106" s="165">
        <v>101</v>
      </c>
      <c r="E106" s="170">
        <v>1858601</v>
      </c>
      <c r="F106" s="165" t="s">
        <v>3558</v>
      </c>
      <c r="G106" s="166">
        <v>9031100004484</v>
      </c>
      <c r="H106" s="167" t="s">
        <v>3429</v>
      </c>
      <c r="I106" s="168">
        <v>9031100004491</v>
      </c>
      <c r="J106" s="178"/>
      <c r="K106" s="169">
        <v>1858606</v>
      </c>
      <c r="L106" s="294" t="s">
        <v>886</v>
      </c>
      <c r="M106" s="171">
        <v>9031100008451</v>
      </c>
      <c r="N106" s="259"/>
      <c r="O106" s="171">
        <v>9031100008468</v>
      </c>
      <c r="P106" s="165" t="s">
        <v>3507</v>
      </c>
      <c r="Q106" s="165" t="s">
        <v>3431</v>
      </c>
      <c r="R106" s="339" t="s">
        <v>3432</v>
      </c>
      <c r="S106" s="339"/>
      <c r="T106" s="439"/>
    </row>
    <row r="107" spans="1:20">
      <c r="A107" s="202" t="s">
        <v>28</v>
      </c>
      <c r="B107" s="177">
        <v>45471</v>
      </c>
      <c r="C107" s="165" t="s">
        <v>102</v>
      </c>
      <c r="D107" s="165">
        <v>102</v>
      </c>
      <c r="E107" s="170">
        <v>2166001</v>
      </c>
      <c r="F107" s="165" t="s">
        <v>232</v>
      </c>
      <c r="G107" s="166">
        <v>9031100006525</v>
      </c>
      <c r="H107" s="167" t="s">
        <v>3429</v>
      </c>
      <c r="I107" s="168">
        <v>9031100006532</v>
      </c>
      <c r="J107" s="178"/>
      <c r="K107" s="169">
        <v>2166003</v>
      </c>
      <c r="L107" s="294" t="s">
        <v>3559</v>
      </c>
      <c r="M107" s="171">
        <v>9031100008291</v>
      </c>
      <c r="N107" s="259"/>
      <c r="O107" s="171">
        <v>9031100008307</v>
      </c>
      <c r="P107" s="165" t="s">
        <v>3507</v>
      </c>
      <c r="Q107" s="165" t="s">
        <v>3431</v>
      </c>
      <c r="R107" s="339" t="s">
        <v>3432</v>
      </c>
      <c r="S107" s="339"/>
      <c r="T107" s="439"/>
    </row>
    <row r="108" spans="1:20">
      <c r="A108" s="202" t="s">
        <v>28</v>
      </c>
      <c r="B108" s="177">
        <v>45471</v>
      </c>
      <c r="C108" s="165" t="s">
        <v>102</v>
      </c>
      <c r="D108" s="165">
        <v>103</v>
      </c>
      <c r="E108" s="170">
        <v>2166101</v>
      </c>
      <c r="F108" s="165" t="s">
        <v>233</v>
      </c>
      <c r="G108" s="166">
        <v>9031100006556</v>
      </c>
      <c r="H108" s="167" t="s">
        <v>3429</v>
      </c>
      <c r="I108" s="168">
        <v>9031100006563</v>
      </c>
      <c r="J108" s="178"/>
      <c r="K108" s="169">
        <v>2166103</v>
      </c>
      <c r="L108" s="294" t="s">
        <v>3560</v>
      </c>
      <c r="M108" s="171">
        <v>9031100008314</v>
      </c>
      <c r="N108" s="259"/>
      <c r="O108" s="171">
        <v>9031100008321</v>
      </c>
      <c r="P108" s="165" t="s">
        <v>3507</v>
      </c>
      <c r="Q108" s="165" t="s">
        <v>3431</v>
      </c>
      <c r="R108" s="339" t="s">
        <v>3432</v>
      </c>
      <c r="S108" s="339"/>
      <c r="T108" s="439"/>
    </row>
    <row r="109" spans="1:20">
      <c r="A109" s="202" t="s">
        <v>28</v>
      </c>
      <c r="B109" s="177">
        <v>45471</v>
      </c>
      <c r="C109" s="165" t="s">
        <v>102</v>
      </c>
      <c r="D109" s="165">
        <v>104</v>
      </c>
      <c r="E109" s="170">
        <v>2166601</v>
      </c>
      <c r="F109" s="165" t="s">
        <v>234</v>
      </c>
      <c r="G109" s="166">
        <v>9031100006587</v>
      </c>
      <c r="H109" s="167" t="s">
        <v>3429</v>
      </c>
      <c r="I109" s="168">
        <v>9031100006594</v>
      </c>
      <c r="J109" s="178"/>
      <c r="K109" s="169">
        <v>2166607</v>
      </c>
      <c r="L109" s="294" t="s">
        <v>3561</v>
      </c>
      <c r="M109" s="171">
        <v>9031100008338</v>
      </c>
      <c r="N109" s="259"/>
      <c r="O109" s="171">
        <v>9031100008345</v>
      </c>
      <c r="P109" s="165" t="s">
        <v>3507</v>
      </c>
      <c r="Q109" s="165" t="s">
        <v>3431</v>
      </c>
      <c r="R109" s="339" t="s">
        <v>3432</v>
      </c>
      <c r="S109" s="339"/>
      <c r="T109" s="439"/>
    </row>
    <row r="110" spans="1:20">
      <c r="A110" s="202" t="s">
        <v>28</v>
      </c>
      <c r="B110" s="177">
        <v>45471</v>
      </c>
      <c r="C110" s="165" t="s">
        <v>102</v>
      </c>
      <c r="D110" s="165">
        <v>105</v>
      </c>
      <c r="E110" s="170">
        <v>240012</v>
      </c>
      <c r="F110" s="165" t="s">
        <v>428</v>
      </c>
      <c r="G110" s="166">
        <v>5449000054227</v>
      </c>
      <c r="H110" s="167" t="s">
        <v>3429</v>
      </c>
      <c r="I110" s="168">
        <v>5449000053060</v>
      </c>
      <c r="J110" s="178"/>
      <c r="K110" s="169">
        <v>240013</v>
      </c>
      <c r="L110" s="294" t="s">
        <v>3562</v>
      </c>
      <c r="M110" s="171">
        <v>5000112673364</v>
      </c>
      <c r="N110" s="259"/>
      <c r="O110" s="171">
        <v>5000112675658</v>
      </c>
      <c r="P110" s="165" t="s">
        <v>57</v>
      </c>
      <c r="Q110" s="165" t="s">
        <v>3431</v>
      </c>
      <c r="R110" s="339" t="s">
        <v>3432</v>
      </c>
      <c r="S110" s="339"/>
      <c r="T110" s="439"/>
    </row>
    <row r="111" spans="1:20">
      <c r="A111" s="202" t="s">
        <v>28</v>
      </c>
      <c r="B111" s="177">
        <v>45471</v>
      </c>
      <c r="C111" s="165" t="s">
        <v>102</v>
      </c>
      <c r="D111" s="165">
        <v>106</v>
      </c>
      <c r="E111" s="170">
        <v>256512</v>
      </c>
      <c r="F111" s="165" t="s">
        <v>3563</v>
      </c>
      <c r="G111" s="166">
        <v>54491472</v>
      </c>
      <c r="H111" s="167" t="s">
        <v>3429</v>
      </c>
      <c r="I111" s="168">
        <v>5449000017673</v>
      </c>
      <c r="J111" s="178"/>
      <c r="K111" s="169">
        <v>195798</v>
      </c>
      <c r="L111" s="294" t="s">
        <v>3564</v>
      </c>
      <c r="M111" s="171">
        <v>54026933</v>
      </c>
      <c r="N111" s="259"/>
      <c r="O111" s="171">
        <v>5000112675078</v>
      </c>
      <c r="P111" s="165" t="s">
        <v>57</v>
      </c>
      <c r="Q111" s="165" t="s">
        <v>3431</v>
      </c>
      <c r="R111" s="339" t="s">
        <v>3432</v>
      </c>
      <c r="S111" s="339"/>
      <c r="T111" s="439"/>
    </row>
    <row r="112" spans="1:20">
      <c r="A112" s="202" t="s">
        <v>28</v>
      </c>
      <c r="B112" s="177">
        <v>45471</v>
      </c>
      <c r="C112" s="165" t="s">
        <v>102</v>
      </c>
      <c r="D112" s="165">
        <v>106</v>
      </c>
      <c r="E112" s="170">
        <v>153714</v>
      </c>
      <c r="F112" s="165" t="s">
        <v>3565</v>
      </c>
      <c r="G112" s="166">
        <v>54491472</v>
      </c>
      <c r="H112" s="167">
        <v>5449000020628</v>
      </c>
      <c r="I112" s="168">
        <v>5449000020680</v>
      </c>
      <c r="J112" s="178"/>
      <c r="K112" s="169">
        <v>153726</v>
      </c>
      <c r="L112" s="294" t="s">
        <v>3566</v>
      </c>
      <c r="M112" s="171">
        <v>54026933</v>
      </c>
      <c r="N112" s="171">
        <v>5000112675184</v>
      </c>
      <c r="O112" s="171">
        <v>5000112675252</v>
      </c>
      <c r="P112" s="165" t="s">
        <v>57</v>
      </c>
      <c r="Q112" s="165" t="s">
        <v>3431</v>
      </c>
      <c r="R112" s="339" t="s">
        <v>3432</v>
      </c>
      <c r="S112" s="339"/>
      <c r="T112" s="439"/>
    </row>
    <row r="113" spans="1:20">
      <c r="A113" s="202" t="s">
        <v>28</v>
      </c>
      <c r="B113" s="177">
        <v>45471</v>
      </c>
      <c r="C113" s="165" t="s">
        <v>102</v>
      </c>
      <c r="D113" s="165">
        <v>107</v>
      </c>
      <c r="E113" s="170">
        <v>1297101</v>
      </c>
      <c r="F113" s="165" t="s">
        <v>3567</v>
      </c>
      <c r="G113" s="166">
        <v>9031100000448</v>
      </c>
      <c r="H113" s="167" t="s">
        <v>3429</v>
      </c>
      <c r="I113" s="168">
        <v>9031100000455</v>
      </c>
      <c r="J113" s="178"/>
      <c r="K113" s="169">
        <v>1297106</v>
      </c>
      <c r="L113" s="294" t="s">
        <v>3568</v>
      </c>
      <c r="M113" s="171">
        <v>9031100008253</v>
      </c>
      <c r="N113" s="259"/>
      <c r="O113" s="171">
        <v>9031100008260</v>
      </c>
      <c r="P113" s="165" t="s">
        <v>3507</v>
      </c>
      <c r="Q113" s="165" t="s">
        <v>3431</v>
      </c>
      <c r="R113" s="339" t="s">
        <v>3432</v>
      </c>
      <c r="S113" s="339"/>
      <c r="T113" s="439"/>
    </row>
    <row r="114" spans="1:20">
      <c r="A114" s="202" t="s">
        <v>28</v>
      </c>
      <c r="B114" s="177">
        <v>45471</v>
      </c>
      <c r="C114" s="165" t="s">
        <v>102</v>
      </c>
      <c r="D114" s="165">
        <v>108</v>
      </c>
      <c r="E114" s="170">
        <v>161201</v>
      </c>
      <c r="F114" s="165" t="s">
        <v>3569</v>
      </c>
      <c r="G114" s="166">
        <v>90311697</v>
      </c>
      <c r="H114" s="167" t="s">
        <v>3429</v>
      </c>
      <c r="I114" s="168">
        <v>9000311011901</v>
      </c>
      <c r="J114" s="178"/>
      <c r="K114" s="169">
        <v>161208</v>
      </c>
      <c r="L114" s="294" t="s">
        <v>3570</v>
      </c>
      <c r="M114" s="171">
        <v>9031100008239</v>
      </c>
      <c r="N114" s="259"/>
      <c r="O114" s="171">
        <v>9031100008246</v>
      </c>
      <c r="P114" s="165" t="s">
        <v>3507</v>
      </c>
      <c r="Q114" s="165" t="s">
        <v>3431</v>
      </c>
      <c r="R114" s="339" t="s">
        <v>3432</v>
      </c>
      <c r="S114" s="339"/>
      <c r="T114" s="439"/>
    </row>
    <row r="115" spans="1:20">
      <c r="A115" s="202" t="s">
        <v>28</v>
      </c>
      <c r="B115" s="177">
        <v>45471</v>
      </c>
      <c r="C115" s="165" t="s">
        <v>102</v>
      </c>
      <c r="D115" s="165">
        <v>109</v>
      </c>
      <c r="E115" s="170">
        <v>247301</v>
      </c>
      <c r="F115" s="165" t="s">
        <v>3571</v>
      </c>
      <c r="G115" s="166">
        <v>90311260</v>
      </c>
      <c r="H115" s="167" t="s">
        <v>3429</v>
      </c>
      <c r="I115" s="168">
        <v>9000311050764</v>
      </c>
      <c r="J115" s="178"/>
      <c r="K115" s="169">
        <v>247307</v>
      </c>
      <c r="L115" s="294" t="s">
        <v>3572</v>
      </c>
      <c r="M115" s="171">
        <v>9031100008215</v>
      </c>
      <c r="N115" s="259"/>
      <c r="O115" s="171">
        <v>9031100008222</v>
      </c>
      <c r="P115" s="165" t="s">
        <v>3507</v>
      </c>
      <c r="Q115" s="165" t="s">
        <v>3431</v>
      </c>
      <c r="R115" s="339" t="s">
        <v>3432</v>
      </c>
      <c r="S115" s="339"/>
      <c r="T115" s="439"/>
    </row>
    <row r="116" spans="1:20">
      <c r="A116" s="202" t="s">
        <v>28</v>
      </c>
      <c r="B116" s="177">
        <v>45471</v>
      </c>
      <c r="C116" s="165" t="s">
        <v>102</v>
      </c>
      <c r="D116" s="165">
        <v>110</v>
      </c>
      <c r="E116" s="170">
        <v>671012</v>
      </c>
      <c r="F116" s="165" t="s">
        <v>3573</v>
      </c>
      <c r="G116" s="166">
        <v>5449000000286</v>
      </c>
      <c r="H116" s="167" t="s">
        <v>3429</v>
      </c>
      <c r="I116" s="168">
        <v>5449000008688</v>
      </c>
      <c r="J116" s="178"/>
      <c r="K116" s="169">
        <v>671023</v>
      </c>
      <c r="L116" s="294" t="s">
        <v>3574</v>
      </c>
      <c r="M116" s="171">
        <v>5000112673388</v>
      </c>
      <c r="N116" s="259"/>
      <c r="O116" s="171">
        <v>5000112675412</v>
      </c>
      <c r="P116" s="165" t="s">
        <v>57</v>
      </c>
      <c r="Q116" s="165" t="s">
        <v>3431</v>
      </c>
      <c r="R116" s="339" t="s">
        <v>3432</v>
      </c>
      <c r="S116" s="339"/>
      <c r="T116" s="439"/>
    </row>
    <row r="117" spans="1:20">
      <c r="A117" s="202" t="s">
        <v>28</v>
      </c>
      <c r="B117" s="177">
        <v>45471</v>
      </c>
      <c r="C117" s="165" t="s">
        <v>102</v>
      </c>
      <c r="D117" s="165">
        <v>111</v>
      </c>
      <c r="E117" s="170">
        <v>613812</v>
      </c>
      <c r="F117" s="165" t="s">
        <v>831</v>
      </c>
      <c r="G117" s="166">
        <v>5449000131843</v>
      </c>
      <c r="H117" s="167" t="s">
        <v>3429</v>
      </c>
      <c r="I117" s="168">
        <v>5449000060181</v>
      </c>
      <c r="J117" s="178"/>
      <c r="K117" s="169">
        <v>613808</v>
      </c>
      <c r="L117" s="294" t="s">
        <v>3575</v>
      </c>
      <c r="M117" s="171">
        <v>5000112673401</v>
      </c>
      <c r="N117" s="259"/>
      <c r="O117" s="171">
        <v>5000112675399</v>
      </c>
      <c r="P117" s="165" t="s">
        <v>3437</v>
      </c>
      <c r="Q117" s="165" t="s">
        <v>3431</v>
      </c>
      <c r="R117" s="339" t="s">
        <v>3432</v>
      </c>
      <c r="S117" s="339"/>
      <c r="T117" s="439"/>
    </row>
    <row r="118" spans="1:20">
      <c r="A118" s="202" t="s">
        <v>28</v>
      </c>
      <c r="B118" s="177">
        <v>45471</v>
      </c>
      <c r="C118" s="165" t="s">
        <v>102</v>
      </c>
      <c r="D118" s="165">
        <v>112</v>
      </c>
      <c r="E118" s="170">
        <v>471612</v>
      </c>
      <c r="F118" s="165" t="s">
        <v>3576</v>
      </c>
      <c r="G118" s="166">
        <v>5449000050229</v>
      </c>
      <c r="H118" s="167" t="s">
        <v>3429</v>
      </c>
      <c r="I118" s="168">
        <v>5449000016874</v>
      </c>
      <c r="J118" s="178"/>
      <c r="K118" s="169">
        <v>471609</v>
      </c>
      <c r="L118" s="294" t="s">
        <v>3577</v>
      </c>
      <c r="M118" s="171">
        <v>5000112674200</v>
      </c>
      <c r="N118" s="259"/>
      <c r="O118" s="171">
        <v>5000112675405</v>
      </c>
      <c r="P118" s="165" t="s">
        <v>3449</v>
      </c>
      <c r="Q118" s="165" t="s">
        <v>3431</v>
      </c>
      <c r="R118" s="339" t="s">
        <v>3432</v>
      </c>
      <c r="S118" s="339"/>
      <c r="T118" s="439"/>
    </row>
    <row r="119" spans="1:20">
      <c r="A119" s="202" t="s">
        <v>28</v>
      </c>
      <c r="B119" s="177">
        <v>45471</v>
      </c>
      <c r="C119" s="165" t="s">
        <v>102</v>
      </c>
      <c r="D119" s="165">
        <v>113</v>
      </c>
      <c r="E119" s="170">
        <v>250124</v>
      </c>
      <c r="F119" s="165" t="s">
        <v>3578</v>
      </c>
      <c r="G119" s="166">
        <v>42104643</v>
      </c>
      <c r="H119" s="167" t="s">
        <v>3429</v>
      </c>
      <c r="I119" s="168">
        <v>5449000101839</v>
      </c>
      <c r="J119" s="178"/>
      <c r="K119" s="169">
        <v>250142</v>
      </c>
      <c r="L119" s="294" t="s">
        <v>1037</v>
      </c>
      <c r="M119" s="171">
        <v>5000112674088</v>
      </c>
      <c r="N119" s="259"/>
      <c r="O119" s="171">
        <v>5000112675337</v>
      </c>
      <c r="P119" s="165" t="s">
        <v>297</v>
      </c>
      <c r="Q119" s="165" t="s">
        <v>3491</v>
      </c>
      <c r="R119" s="339" t="s">
        <v>3432</v>
      </c>
      <c r="S119" s="339"/>
      <c r="T119" s="439"/>
    </row>
    <row r="120" spans="1:20">
      <c r="A120" s="202" t="s">
        <v>28</v>
      </c>
      <c r="B120" s="177">
        <v>45471</v>
      </c>
      <c r="C120" s="165" t="s">
        <v>102</v>
      </c>
      <c r="D120" s="165">
        <v>115</v>
      </c>
      <c r="E120" s="170">
        <v>2566501</v>
      </c>
      <c r="F120" s="165" t="s">
        <v>668</v>
      </c>
      <c r="G120" s="166">
        <v>5449000039767</v>
      </c>
      <c r="H120" s="167" t="s">
        <v>3429</v>
      </c>
      <c r="I120" s="168">
        <v>5449000329295</v>
      </c>
      <c r="J120" s="178"/>
      <c r="K120" s="169">
        <v>2566502</v>
      </c>
      <c r="L120" s="294" t="s">
        <v>3579</v>
      </c>
      <c r="M120" s="171">
        <v>5000112674651</v>
      </c>
      <c r="N120" s="259"/>
      <c r="O120" s="171">
        <v>5000112675689</v>
      </c>
      <c r="P120" s="165" t="s">
        <v>3493</v>
      </c>
      <c r="Q120" s="165" t="s">
        <v>3491</v>
      </c>
      <c r="R120" s="339" t="s">
        <v>3432</v>
      </c>
      <c r="S120" s="339"/>
      <c r="T120" s="439"/>
    </row>
    <row r="121" spans="1:20">
      <c r="A121" s="202" t="s">
        <v>28</v>
      </c>
      <c r="B121" s="177">
        <v>45471</v>
      </c>
      <c r="C121" s="165" t="s">
        <v>102</v>
      </c>
      <c r="D121" s="165">
        <v>116</v>
      </c>
      <c r="E121" s="170">
        <v>270908</v>
      </c>
      <c r="F121" s="165" t="s">
        <v>666</v>
      </c>
      <c r="G121" s="166">
        <v>5449000021779</v>
      </c>
      <c r="H121" s="167" t="s">
        <v>3429</v>
      </c>
      <c r="I121" s="168">
        <v>5449000036032</v>
      </c>
      <c r="J121" s="178"/>
      <c r="K121" s="169">
        <v>270909</v>
      </c>
      <c r="L121" s="294" t="s">
        <v>3580</v>
      </c>
      <c r="M121" s="171">
        <v>5000112674644</v>
      </c>
      <c r="N121" s="259"/>
      <c r="O121" s="171">
        <v>5000112675214</v>
      </c>
      <c r="P121" s="165" t="s">
        <v>3493</v>
      </c>
      <c r="Q121" s="165" t="s">
        <v>3491</v>
      </c>
      <c r="R121" s="339" t="s">
        <v>3432</v>
      </c>
      <c r="S121" s="339"/>
      <c r="T121" s="439"/>
    </row>
    <row r="122" spans="1:20">
      <c r="A122" s="203" t="s">
        <v>28</v>
      </c>
      <c r="B122" s="177">
        <v>45492</v>
      </c>
      <c r="C122" s="165" t="s">
        <v>102</v>
      </c>
      <c r="D122" s="165">
        <v>45</v>
      </c>
      <c r="E122" s="176">
        <v>113930</v>
      </c>
      <c r="F122" s="165" t="s">
        <v>690</v>
      </c>
      <c r="G122" s="166">
        <v>5060166692285</v>
      </c>
      <c r="H122" s="167" t="s">
        <v>3429</v>
      </c>
      <c r="I122" s="168">
        <v>5060166692292</v>
      </c>
      <c r="K122" s="169">
        <v>113932</v>
      </c>
      <c r="L122" s="294" t="s">
        <v>3581</v>
      </c>
      <c r="M122" s="171">
        <v>5056784902097</v>
      </c>
      <c r="N122" s="259"/>
      <c r="O122" s="171">
        <v>5056784902196</v>
      </c>
      <c r="P122" s="165" t="s">
        <v>3582</v>
      </c>
      <c r="Q122" s="165" t="s">
        <v>3491</v>
      </c>
      <c r="R122" s="339" t="s">
        <v>3432</v>
      </c>
      <c r="S122" s="339"/>
      <c r="T122" s="439"/>
    </row>
    <row r="123" spans="1:20">
      <c r="A123" s="203" t="s">
        <v>28</v>
      </c>
      <c r="B123" s="177">
        <v>45492</v>
      </c>
      <c r="C123" s="165" t="s">
        <v>102</v>
      </c>
      <c r="D123" s="165">
        <v>47</v>
      </c>
      <c r="E123" s="176">
        <v>1561421</v>
      </c>
      <c r="F123" s="165" t="s">
        <v>698</v>
      </c>
      <c r="G123" s="166">
        <v>5060337501972</v>
      </c>
      <c r="H123" s="167" t="s">
        <v>3429</v>
      </c>
      <c r="I123" s="168">
        <v>5060337501989</v>
      </c>
      <c r="K123" s="169">
        <v>1561425</v>
      </c>
      <c r="L123" s="294" t="s">
        <v>3583</v>
      </c>
      <c r="M123" s="171">
        <v>5056784902073</v>
      </c>
      <c r="N123" s="259"/>
      <c r="O123" s="171">
        <v>5056784902172</v>
      </c>
      <c r="P123" s="165" t="s">
        <v>3582</v>
      </c>
      <c r="Q123" s="165" t="s">
        <v>3491</v>
      </c>
      <c r="R123" s="339" t="s">
        <v>3432</v>
      </c>
      <c r="S123" s="339"/>
      <c r="T123" s="439"/>
    </row>
    <row r="124" spans="1:20">
      <c r="A124" s="203" t="s">
        <v>28</v>
      </c>
      <c r="B124" s="177">
        <v>45492</v>
      </c>
      <c r="C124" s="165" t="s">
        <v>102</v>
      </c>
      <c r="D124" s="165">
        <v>53</v>
      </c>
      <c r="E124" s="176">
        <v>2403806</v>
      </c>
      <c r="F124" s="165" t="s">
        <v>695</v>
      </c>
      <c r="G124" s="166">
        <v>5060895743180</v>
      </c>
      <c r="H124" s="167" t="s">
        <v>3429</v>
      </c>
      <c r="I124" s="168">
        <v>5060895743197</v>
      </c>
      <c r="K124" s="341">
        <v>2403807</v>
      </c>
      <c r="L124" s="342" t="s">
        <v>3584</v>
      </c>
      <c r="M124" s="171">
        <v>5056784903261</v>
      </c>
      <c r="N124" s="259"/>
      <c r="O124" s="171">
        <v>5056784903278</v>
      </c>
      <c r="P124" s="165" t="s">
        <v>3582</v>
      </c>
      <c r="Q124" s="165" t="s">
        <v>3491</v>
      </c>
      <c r="R124" s="339" t="s">
        <v>3432</v>
      </c>
      <c r="S124" s="339"/>
      <c r="T124" s="439" t="s">
        <v>3585</v>
      </c>
    </row>
    <row r="125" spans="1:20">
      <c r="A125" s="203" t="s">
        <v>28</v>
      </c>
      <c r="B125" s="177">
        <v>45492</v>
      </c>
      <c r="C125" s="165" t="s">
        <v>102</v>
      </c>
      <c r="D125" s="165">
        <v>55</v>
      </c>
      <c r="E125" s="176">
        <v>2431614</v>
      </c>
      <c r="F125" s="165" t="s">
        <v>703</v>
      </c>
      <c r="G125" s="166">
        <v>5061013941518</v>
      </c>
      <c r="H125" s="167" t="s">
        <v>3429</v>
      </c>
      <c r="I125" s="168">
        <v>5061013941525</v>
      </c>
      <c r="K125" s="169">
        <v>2431907</v>
      </c>
      <c r="L125" s="294" t="s">
        <v>1046</v>
      </c>
      <c r="M125" s="171">
        <v>5056784902080</v>
      </c>
      <c r="N125" s="259"/>
      <c r="O125" s="171">
        <v>5056784902189</v>
      </c>
      <c r="P125" s="165" t="s">
        <v>3582</v>
      </c>
      <c r="Q125" s="165" t="s">
        <v>3491</v>
      </c>
      <c r="R125" s="339" t="s">
        <v>3432</v>
      </c>
      <c r="S125" s="339"/>
      <c r="T125" s="439"/>
    </row>
    <row r="126" spans="1:20">
      <c r="A126" s="203" t="s">
        <v>28</v>
      </c>
      <c r="B126" s="177">
        <v>45492</v>
      </c>
      <c r="C126" s="165" t="s">
        <v>102</v>
      </c>
      <c r="D126" s="165">
        <v>56</v>
      </c>
      <c r="E126" s="176">
        <v>1545117</v>
      </c>
      <c r="F126" s="165" t="s">
        <v>702</v>
      </c>
      <c r="G126" s="166">
        <v>5061013940078</v>
      </c>
      <c r="H126" s="167" t="s">
        <v>3429</v>
      </c>
      <c r="I126" s="168">
        <v>5061013940092</v>
      </c>
      <c r="K126" s="169">
        <v>2504919</v>
      </c>
      <c r="L126" s="294" t="s">
        <v>3586</v>
      </c>
      <c r="M126" s="171">
        <v>5056784902486</v>
      </c>
      <c r="N126" s="259"/>
      <c r="O126" s="171">
        <v>5056784902493</v>
      </c>
      <c r="P126" s="165" t="s">
        <v>3582</v>
      </c>
      <c r="Q126" s="165" t="s">
        <v>3491</v>
      </c>
      <c r="R126" s="339" t="s">
        <v>3432</v>
      </c>
      <c r="S126" s="339"/>
      <c r="T126" s="439"/>
    </row>
    <row r="127" spans="1:20">
      <c r="A127" s="203" t="s">
        <v>28</v>
      </c>
      <c r="B127" s="177">
        <v>45492</v>
      </c>
      <c r="C127" s="165" t="s">
        <v>102</v>
      </c>
      <c r="D127" s="165">
        <v>66</v>
      </c>
      <c r="E127" s="176">
        <v>2205303</v>
      </c>
      <c r="F127" s="165" t="s">
        <v>441</v>
      </c>
      <c r="G127" s="166">
        <v>5060751214021</v>
      </c>
      <c r="H127" s="167" t="s">
        <v>3429</v>
      </c>
      <c r="I127" s="168">
        <v>5060751214007</v>
      </c>
      <c r="K127" s="169">
        <v>2205309</v>
      </c>
      <c r="L127" s="294" t="s">
        <v>3587</v>
      </c>
      <c r="M127" s="171">
        <v>5056784903292</v>
      </c>
      <c r="N127" s="259"/>
      <c r="O127" s="171">
        <v>5056784903308</v>
      </c>
      <c r="P127" s="165" t="s">
        <v>3582</v>
      </c>
      <c r="Q127" s="165" t="s">
        <v>3491</v>
      </c>
      <c r="R127" s="339" t="s">
        <v>3432</v>
      </c>
      <c r="S127" s="339"/>
      <c r="T127" s="439"/>
    </row>
    <row r="128" spans="1:20">
      <c r="A128" s="203" t="s">
        <v>28</v>
      </c>
      <c r="B128" s="177">
        <v>45492</v>
      </c>
      <c r="C128" s="165" t="s">
        <v>102</v>
      </c>
      <c r="D128" s="165">
        <v>67</v>
      </c>
      <c r="E128" s="176">
        <v>2109410</v>
      </c>
      <c r="F128" s="165" t="s">
        <v>692</v>
      </c>
      <c r="G128" s="166">
        <v>5060639129287</v>
      </c>
      <c r="H128" s="167" t="s">
        <v>3429</v>
      </c>
      <c r="I128" s="168">
        <v>5060639129270</v>
      </c>
      <c r="K128" s="169">
        <v>2109411</v>
      </c>
      <c r="L128" s="294" t="s">
        <v>3588</v>
      </c>
      <c r="M128" s="171">
        <v>5056784902066</v>
      </c>
      <c r="N128" s="259"/>
      <c r="O128" s="171">
        <v>5056784902165</v>
      </c>
      <c r="P128" s="165" t="s">
        <v>3582</v>
      </c>
      <c r="Q128" s="165" t="s">
        <v>3491</v>
      </c>
      <c r="R128" s="339" t="s">
        <v>3432</v>
      </c>
      <c r="S128" s="339"/>
      <c r="T128" s="439"/>
    </row>
    <row r="129" spans="1:20">
      <c r="A129" s="203" t="s">
        <v>28</v>
      </c>
      <c r="B129" s="177">
        <v>45492</v>
      </c>
      <c r="C129" s="165" t="s">
        <v>102</v>
      </c>
      <c r="D129" s="165">
        <v>114</v>
      </c>
      <c r="E129" s="176">
        <v>2431319</v>
      </c>
      <c r="F129" s="165" t="s">
        <v>705</v>
      </c>
      <c r="G129" s="166">
        <v>5061013944007</v>
      </c>
      <c r="H129" s="167" t="s">
        <v>3429</v>
      </c>
      <c r="I129" s="168">
        <v>5061013944014</v>
      </c>
      <c r="K129" s="169">
        <v>2431323</v>
      </c>
      <c r="L129" s="294" t="s">
        <v>3589</v>
      </c>
      <c r="M129" s="171">
        <v>5056784903322</v>
      </c>
      <c r="N129" s="259"/>
      <c r="O129" s="171">
        <v>5056784903339</v>
      </c>
      <c r="P129" s="165" t="s">
        <v>3582</v>
      </c>
      <c r="Q129" s="165" t="s">
        <v>3491</v>
      </c>
      <c r="R129" s="339" t="s">
        <v>3432</v>
      </c>
      <c r="S129" s="339"/>
      <c r="T129" s="439"/>
    </row>
    <row r="130" spans="1:20">
      <c r="A130" s="203" t="s">
        <v>28</v>
      </c>
      <c r="B130" s="226">
        <v>45540</v>
      </c>
      <c r="C130" s="165" t="s">
        <v>102</v>
      </c>
      <c r="D130" s="165">
        <v>50</v>
      </c>
      <c r="E130" s="213">
        <v>1591001</v>
      </c>
      <c r="F130" s="330" t="s">
        <v>848</v>
      </c>
      <c r="G130" s="214">
        <v>5060639121762</v>
      </c>
      <c r="H130" s="215" t="s">
        <v>3429</v>
      </c>
      <c r="I130" s="216">
        <v>5060639121779</v>
      </c>
      <c r="K130" s="217">
        <v>1938214</v>
      </c>
      <c r="L130" s="295" t="s">
        <v>3590</v>
      </c>
      <c r="M130" s="171">
        <v>5056784902455</v>
      </c>
      <c r="N130" s="259"/>
      <c r="O130" s="171">
        <v>5056784902462</v>
      </c>
      <c r="P130" s="165" t="s">
        <v>3582</v>
      </c>
      <c r="Q130" s="165" t="s">
        <v>3491</v>
      </c>
      <c r="R130" s="339" t="s">
        <v>3432</v>
      </c>
      <c r="S130" s="339"/>
      <c r="T130" s="441"/>
    </row>
    <row r="131" spans="1:20">
      <c r="A131" s="203" t="s">
        <v>28</v>
      </c>
      <c r="B131" s="226">
        <v>45540</v>
      </c>
      <c r="C131" s="165" t="s">
        <v>102</v>
      </c>
      <c r="D131" s="165">
        <v>61</v>
      </c>
      <c r="E131" s="213">
        <v>2310006</v>
      </c>
      <c r="F131" s="330" t="s">
        <v>585</v>
      </c>
      <c r="G131" s="214">
        <v>5060947544574</v>
      </c>
      <c r="H131" s="215" t="s">
        <v>3429</v>
      </c>
      <c r="I131" s="216">
        <v>5060947544581</v>
      </c>
      <c r="K131" s="217">
        <v>2394516</v>
      </c>
      <c r="L131" s="295" t="s">
        <v>3591</v>
      </c>
      <c r="M131" s="171">
        <v>5056784903223</v>
      </c>
      <c r="N131" s="259"/>
      <c r="O131" s="171">
        <v>5056784903230</v>
      </c>
      <c r="P131" s="165" t="s">
        <v>3582</v>
      </c>
      <c r="Q131" s="165" t="s">
        <v>3491</v>
      </c>
      <c r="R131" s="339" t="s">
        <v>3432</v>
      </c>
      <c r="S131" s="339"/>
      <c r="T131" s="441"/>
    </row>
    <row r="132" spans="1:20">
      <c r="A132" s="343" t="s">
        <v>3592</v>
      </c>
      <c r="B132" s="344">
        <v>45567</v>
      </c>
      <c r="C132" s="345" t="s">
        <v>102</v>
      </c>
      <c r="D132" s="345">
        <v>52</v>
      </c>
      <c r="E132" s="346">
        <v>2431704</v>
      </c>
      <c r="F132" s="347" t="s">
        <v>480</v>
      </c>
      <c r="G132" s="348">
        <v>5060896625409</v>
      </c>
      <c r="H132" s="349"/>
      <c r="I132" s="350">
        <v>5060896625416</v>
      </c>
      <c r="K132" s="222"/>
      <c r="L132" s="200"/>
      <c r="M132" s="201"/>
      <c r="N132" s="201"/>
      <c r="O132" s="201"/>
      <c r="P132" s="165" t="s">
        <v>3582</v>
      </c>
      <c r="Q132" s="165" t="s">
        <v>3491</v>
      </c>
      <c r="R132" s="339"/>
      <c r="S132" s="339"/>
      <c r="T132" s="439"/>
    </row>
    <row r="133" spans="1:20">
      <c r="A133" s="203" t="s">
        <v>28</v>
      </c>
      <c r="B133" s="227">
        <v>45576</v>
      </c>
      <c r="C133" s="165" t="s">
        <v>102</v>
      </c>
      <c r="D133" s="200">
        <v>120</v>
      </c>
      <c r="E133" s="200"/>
      <c r="F133" s="200"/>
      <c r="G133" s="218"/>
      <c r="H133" s="219"/>
      <c r="I133" s="221"/>
      <c r="K133" s="217">
        <v>2603102</v>
      </c>
      <c r="L133" s="295" t="s">
        <v>761</v>
      </c>
      <c r="M133" s="171">
        <v>5000112681079</v>
      </c>
      <c r="N133" s="259"/>
      <c r="O133" s="171">
        <v>5000112681086</v>
      </c>
      <c r="P133" s="165" t="s">
        <v>3437</v>
      </c>
      <c r="Q133" s="200" t="s">
        <v>3431</v>
      </c>
      <c r="R133" s="339" t="s">
        <v>3432</v>
      </c>
      <c r="S133" s="339"/>
      <c r="T133" s="442"/>
    </row>
    <row r="134" spans="1:20">
      <c r="A134" s="238" t="s">
        <v>28</v>
      </c>
      <c r="B134" s="239">
        <v>45576</v>
      </c>
      <c r="C134" s="231" t="s">
        <v>102</v>
      </c>
      <c r="D134" s="237">
        <v>81</v>
      </c>
      <c r="E134" s="240"/>
      <c r="F134" s="237"/>
      <c r="G134" s="241"/>
      <c r="H134" s="242"/>
      <c r="I134" s="243"/>
      <c r="K134" s="235">
        <v>2574301</v>
      </c>
      <c r="L134" s="296" t="s">
        <v>764</v>
      </c>
      <c r="M134" s="236">
        <v>9031100008598</v>
      </c>
      <c r="N134" s="260"/>
      <c r="O134" s="236">
        <v>9031100008604</v>
      </c>
      <c r="P134" s="231" t="s">
        <v>3507</v>
      </c>
      <c r="Q134" s="237" t="s">
        <v>3431</v>
      </c>
      <c r="R134" s="339" t="s">
        <v>3432</v>
      </c>
      <c r="S134" s="353"/>
      <c r="T134" s="443"/>
    </row>
    <row r="135" spans="1:20">
      <c r="A135" s="251" t="s">
        <v>28</v>
      </c>
      <c r="B135" s="252">
        <v>45618</v>
      </c>
      <c r="C135" s="231" t="s">
        <v>102</v>
      </c>
      <c r="D135" s="200"/>
      <c r="E135" s="253"/>
      <c r="F135" s="200"/>
      <c r="G135" s="218"/>
      <c r="H135" s="219"/>
      <c r="I135" s="221"/>
      <c r="K135" s="217">
        <v>501326</v>
      </c>
      <c r="L135" s="295" t="s">
        <v>767</v>
      </c>
      <c r="M135" s="236">
        <v>54032507</v>
      </c>
      <c r="N135" s="260"/>
      <c r="O135" s="236">
        <v>5000112681109</v>
      </c>
      <c r="P135" s="200" t="s">
        <v>48</v>
      </c>
      <c r="Q135" s="237" t="s">
        <v>3431</v>
      </c>
      <c r="R135" s="339" t="s">
        <v>3432</v>
      </c>
      <c r="S135" s="339"/>
      <c r="T135" s="442"/>
    </row>
    <row r="136" spans="1:20">
      <c r="A136" s="251" t="s">
        <v>28</v>
      </c>
      <c r="B136" s="252">
        <v>45618</v>
      </c>
      <c r="C136" s="231" t="s">
        <v>102</v>
      </c>
      <c r="D136" s="200"/>
      <c r="E136" s="253"/>
      <c r="F136" s="200"/>
      <c r="G136" s="218"/>
      <c r="H136" s="219"/>
      <c r="I136" s="221"/>
      <c r="K136" s="217">
        <v>592432</v>
      </c>
      <c r="L136" s="295" t="s">
        <v>769</v>
      </c>
      <c r="M136" s="236">
        <v>5000112681116</v>
      </c>
      <c r="N136" s="260"/>
      <c r="O136" s="236">
        <v>5000112681123</v>
      </c>
      <c r="P136" s="200" t="s">
        <v>48</v>
      </c>
      <c r="Q136" s="237" t="s">
        <v>3431</v>
      </c>
      <c r="R136" s="339" t="s">
        <v>3432</v>
      </c>
      <c r="S136" s="339"/>
      <c r="T136" s="442"/>
    </row>
    <row r="137" spans="1:20">
      <c r="A137" s="251" t="s">
        <v>28</v>
      </c>
      <c r="B137" s="252">
        <v>45618</v>
      </c>
      <c r="C137" s="231" t="s">
        <v>102</v>
      </c>
      <c r="D137" s="200"/>
      <c r="E137" s="253"/>
      <c r="F137" s="200"/>
      <c r="G137" s="218"/>
      <c r="H137" s="219"/>
      <c r="I137" s="221"/>
      <c r="K137" s="217">
        <v>592433</v>
      </c>
      <c r="L137" s="295" t="s">
        <v>3593</v>
      </c>
      <c r="M137" s="236">
        <v>5000112681116</v>
      </c>
      <c r="N137" s="260"/>
      <c r="O137" s="236">
        <v>5000112682663</v>
      </c>
      <c r="P137" s="200" t="s">
        <v>48</v>
      </c>
      <c r="Q137" s="237" t="s">
        <v>3431</v>
      </c>
      <c r="R137" s="339" t="s">
        <v>3432</v>
      </c>
      <c r="S137" s="339"/>
      <c r="T137" s="442"/>
    </row>
    <row r="138" spans="1:20">
      <c r="A138" s="251" t="s">
        <v>28</v>
      </c>
      <c r="B138" s="252">
        <v>45618</v>
      </c>
      <c r="C138" s="231" t="s">
        <v>102</v>
      </c>
      <c r="D138" s="200"/>
      <c r="E138" s="200"/>
      <c r="F138" s="200"/>
      <c r="G138" s="218"/>
      <c r="H138" s="219"/>
      <c r="I138" s="221"/>
      <c r="K138" s="217">
        <v>1963403</v>
      </c>
      <c r="L138" s="295" t="s">
        <v>771</v>
      </c>
      <c r="M138" s="236">
        <v>5000112681697</v>
      </c>
      <c r="N138" s="236">
        <v>5000112682656</v>
      </c>
      <c r="O138" s="236">
        <v>5000112681703</v>
      </c>
      <c r="P138" s="165" t="s">
        <v>3439</v>
      </c>
      <c r="Q138" s="237" t="s">
        <v>3431</v>
      </c>
      <c r="R138" s="339" t="s">
        <v>3432</v>
      </c>
      <c r="S138" s="339"/>
      <c r="T138" s="442"/>
    </row>
    <row r="139" spans="1:20">
      <c r="A139" s="251" t="s">
        <v>28</v>
      </c>
      <c r="B139" s="252">
        <v>45618</v>
      </c>
      <c r="C139" s="231" t="s">
        <v>102</v>
      </c>
      <c r="D139" s="200"/>
      <c r="E139" s="200"/>
      <c r="F139" s="200"/>
      <c r="G139" s="218"/>
      <c r="H139" s="219"/>
      <c r="I139" s="221"/>
      <c r="K139" s="217">
        <v>444102</v>
      </c>
      <c r="L139" s="295" t="s">
        <v>773</v>
      </c>
      <c r="M139" s="236">
        <v>5000112681635</v>
      </c>
      <c r="N139" s="259"/>
      <c r="O139" s="236">
        <v>5000112681642</v>
      </c>
      <c r="P139" s="165" t="s">
        <v>57</v>
      </c>
      <c r="Q139" s="237" t="s">
        <v>3431</v>
      </c>
      <c r="R139" s="339" t="s">
        <v>3432</v>
      </c>
      <c r="S139" s="339"/>
      <c r="T139" s="442"/>
    </row>
    <row r="140" spans="1:20">
      <c r="A140" s="251" t="s">
        <v>28</v>
      </c>
      <c r="B140" s="252">
        <v>45618</v>
      </c>
      <c r="C140" s="231" t="s">
        <v>102</v>
      </c>
      <c r="D140" s="200"/>
      <c r="E140" s="200"/>
      <c r="F140" s="200"/>
      <c r="G140" s="218"/>
      <c r="H140" s="219"/>
      <c r="I140" s="221"/>
      <c r="K140" s="217">
        <v>509804</v>
      </c>
      <c r="L140" s="295" t="s">
        <v>775</v>
      </c>
      <c r="M140" s="236">
        <v>54013919</v>
      </c>
      <c r="N140" s="259"/>
      <c r="O140" s="236">
        <v>5000112681659</v>
      </c>
      <c r="P140" s="165" t="s">
        <v>57</v>
      </c>
      <c r="Q140" s="237" t="s">
        <v>3431</v>
      </c>
      <c r="R140" s="339" t="s">
        <v>3432</v>
      </c>
      <c r="S140" s="339"/>
      <c r="T140" s="442"/>
    </row>
    <row r="141" spans="1:20">
      <c r="A141" s="251" t="s">
        <v>28</v>
      </c>
      <c r="B141" s="252">
        <v>45618</v>
      </c>
      <c r="C141" s="231" t="s">
        <v>102</v>
      </c>
      <c r="D141" s="200"/>
      <c r="E141" s="200"/>
      <c r="F141" s="200"/>
      <c r="G141" s="218"/>
      <c r="H141" s="219"/>
      <c r="I141" s="221"/>
      <c r="K141" s="217">
        <v>1004415</v>
      </c>
      <c r="L141" s="295" t="s">
        <v>777</v>
      </c>
      <c r="M141" s="236">
        <v>5000112681673</v>
      </c>
      <c r="N141" s="259"/>
      <c r="O141" s="236">
        <v>5000112681680</v>
      </c>
      <c r="P141" s="165" t="s">
        <v>57</v>
      </c>
      <c r="Q141" s="237" t="s">
        <v>3431</v>
      </c>
      <c r="R141" s="339" t="s">
        <v>3432</v>
      </c>
      <c r="S141" s="339"/>
      <c r="T141" s="442"/>
    </row>
    <row r="142" spans="1:20">
      <c r="A142" s="251" t="s">
        <v>28</v>
      </c>
      <c r="B142" s="252">
        <v>45618</v>
      </c>
      <c r="C142" s="231" t="s">
        <v>102</v>
      </c>
      <c r="D142" s="200"/>
      <c r="E142" s="200"/>
      <c r="F142" s="200"/>
      <c r="G142" s="218"/>
      <c r="H142" s="219"/>
      <c r="I142" s="221"/>
      <c r="K142" s="217">
        <v>1257235</v>
      </c>
      <c r="L142" s="295" t="s">
        <v>779</v>
      </c>
      <c r="M142" s="236">
        <v>5000112673463</v>
      </c>
      <c r="N142" s="236">
        <v>5000112682793</v>
      </c>
      <c r="O142" s="236">
        <v>5000112682809</v>
      </c>
      <c r="P142" s="165" t="s">
        <v>3437</v>
      </c>
      <c r="Q142" s="237" t="s">
        <v>3431</v>
      </c>
      <c r="R142" s="339" t="s">
        <v>3432</v>
      </c>
      <c r="S142" s="339"/>
      <c r="T142" s="442"/>
    </row>
    <row r="143" spans="1:20">
      <c r="A143" s="251" t="s">
        <v>28</v>
      </c>
      <c r="B143" s="252">
        <v>45618</v>
      </c>
      <c r="C143" s="231" t="s">
        <v>102</v>
      </c>
      <c r="D143" s="200"/>
      <c r="E143" s="200"/>
      <c r="F143" s="200"/>
      <c r="G143" s="218"/>
      <c r="H143" s="219"/>
      <c r="I143" s="221"/>
      <c r="K143" s="217">
        <v>1180848</v>
      </c>
      <c r="L143" s="295" t="s">
        <v>781</v>
      </c>
      <c r="M143" s="236">
        <v>5000112673586</v>
      </c>
      <c r="N143" s="236">
        <v>5000112682823</v>
      </c>
      <c r="O143" s="236">
        <v>5000112682816</v>
      </c>
      <c r="P143" s="165" t="s">
        <v>57</v>
      </c>
      <c r="Q143" s="237" t="s">
        <v>3431</v>
      </c>
      <c r="R143" s="339" t="s">
        <v>3432</v>
      </c>
      <c r="S143" s="339"/>
      <c r="T143" s="442"/>
    </row>
    <row r="144" spans="1:20">
      <c r="A144" s="251" t="s">
        <v>28</v>
      </c>
      <c r="B144" s="252">
        <v>45618</v>
      </c>
      <c r="C144" s="231" t="s">
        <v>102</v>
      </c>
      <c r="D144" s="200"/>
      <c r="E144" s="200"/>
      <c r="F144" s="200"/>
      <c r="G144" s="218"/>
      <c r="H144" s="219"/>
      <c r="I144" s="221"/>
      <c r="K144" s="217">
        <v>1011036</v>
      </c>
      <c r="L144" s="295" t="s">
        <v>783</v>
      </c>
      <c r="M144" s="236">
        <v>5000112673340</v>
      </c>
      <c r="N144" s="236">
        <v>5000112684247</v>
      </c>
      <c r="O144" s="236">
        <v>5000112682830</v>
      </c>
      <c r="P144" s="200" t="s">
        <v>48</v>
      </c>
      <c r="Q144" s="237" t="s">
        <v>3431</v>
      </c>
      <c r="R144" s="339" t="s">
        <v>3432</v>
      </c>
      <c r="S144" s="339"/>
      <c r="T144" s="442"/>
    </row>
    <row r="145" spans="1:20">
      <c r="A145" s="251" t="s">
        <v>28</v>
      </c>
      <c r="B145" s="252">
        <v>45618</v>
      </c>
      <c r="C145" s="231" t="s">
        <v>102</v>
      </c>
      <c r="D145" s="200"/>
      <c r="E145" s="200"/>
      <c r="F145" s="200"/>
      <c r="G145" s="218"/>
      <c r="H145" s="219"/>
      <c r="I145" s="221"/>
      <c r="K145" s="217">
        <v>2631703</v>
      </c>
      <c r="L145" s="295" t="s">
        <v>785</v>
      </c>
      <c r="M145" s="236">
        <v>5000112681628</v>
      </c>
      <c r="N145" s="259"/>
      <c r="O145" s="236">
        <v>5000112681611</v>
      </c>
      <c r="P145" s="165" t="s">
        <v>3501</v>
      </c>
      <c r="Q145" s="165" t="s">
        <v>3491</v>
      </c>
      <c r="R145" s="339" t="s">
        <v>3432</v>
      </c>
      <c r="S145" s="339"/>
      <c r="T145" s="442"/>
    </row>
    <row r="146" spans="1:20">
      <c r="A146" s="258" t="s">
        <v>28</v>
      </c>
      <c r="B146" s="252">
        <v>45618</v>
      </c>
      <c r="C146" s="165" t="s">
        <v>102</v>
      </c>
      <c r="D146" s="200"/>
      <c r="E146" s="200"/>
      <c r="F146" s="200"/>
      <c r="G146" s="218"/>
      <c r="H146" s="219"/>
      <c r="I146" s="221"/>
      <c r="K146" s="217">
        <v>956706</v>
      </c>
      <c r="L146" s="295" t="s">
        <v>787</v>
      </c>
      <c r="M146" s="236">
        <v>5000112681130</v>
      </c>
      <c r="N146" s="259"/>
      <c r="O146" s="236">
        <v>5000112681147</v>
      </c>
      <c r="P146" s="165" t="s">
        <v>492</v>
      </c>
      <c r="Q146" s="165" t="s">
        <v>3491</v>
      </c>
      <c r="R146" s="339" t="s">
        <v>3432</v>
      </c>
      <c r="S146" s="339"/>
      <c r="T146" s="442"/>
    </row>
    <row r="147" spans="1:20">
      <c r="A147" s="258" t="s">
        <v>28</v>
      </c>
      <c r="B147" s="252">
        <v>45625</v>
      </c>
      <c r="C147" s="165" t="s">
        <v>102</v>
      </c>
      <c r="D147" s="200"/>
      <c r="E147" s="200"/>
      <c r="F147" s="200"/>
      <c r="G147" s="218"/>
      <c r="H147" s="219"/>
      <c r="I147" s="221"/>
      <c r="K147" s="288">
        <v>2633101</v>
      </c>
      <c r="L147" s="297" t="s">
        <v>796</v>
      </c>
      <c r="M147" s="236">
        <v>5000112681178</v>
      </c>
      <c r="N147" s="259"/>
      <c r="O147" s="236">
        <v>5000112681185</v>
      </c>
      <c r="P147" s="165" t="s">
        <v>3439</v>
      </c>
      <c r="Q147" s="165" t="s">
        <v>3491</v>
      </c>
      <c r="R147" s="339" t="s">
        <v>3432</v>
      </c>
      <c r="S147" s="339"/>
      <c r="T147" s="442"/>
    </row>
    <row r="148" spans="1:20" s="256" customFormat="1">
      <c r="A148" s="281" t="s">
        <v>28</v>
      </c>
      <c r="B148" s="282">
        <v>45639</v>
      </c>
      <c r="C148" s="237" t="s">
        <v>102</v>
      </c>
      <c r="D148" s="237"/>
      <c r="E148" s="237"/>
      <c r="F148" s="237"/>
      <c r="G148" s="241"/>
      <c r="H148" s="242"/>
      <c r="I148" s="221"/>
      <c r="J148" s="174"/>
      <c r="K148" s="235">
        <v>2646901</v>
      </c>
      <c r="L148" s="297" t="s">
        <v>801</v>
      </c>
      <c r="M148" s="236">
        <v>5000112682885</v>
      </c>
      <c r="N148" s="260"/>
      <c r="O148" s="236">
        <v>5000112682892</v>
      </c>
      <c r="P148" s="237" t="s">
        <v>800</v>
      </c>
      <c r="Q148" s="257" t="s">
        <v>3491</v>
      </c>
      <c r="R148" s="339" t="s">
        <v>3432</v>
      </c>
      <c r="S148" s="353"/>
      <c r="T148" s="436" t="s">
        <v>3594</v>
      </c>
    </row>
    <row r="149" spans="1:20">
      <c r="A149" s="278" t="s">
        <v>28</v>
      </c>
      <c r="B149" s="252">
        <v>45646</v>
      </c>
      <c r="C149" s="200" t="s">
        <v>102</v>
      </c>
      <c r="D149" s="200"/>
      <c r="E149" s="200"/>
      <c r="F149" s="200"/>
      <c r="G149" s="218"/>
      <c r="H149" s="219"/>
      <c r="I149" s="221"/>
      <c r="K149" s="276">
        <v>2651301</v>
      </c>
      <c r="L149" s="298" t="s">
        <v>803</v>
      </c>
      <c r="M149" s="236">
        <v>5056784906682</v>
      </c>
      <c r="N149" s="260"/>
      <c r="O149" s="236">
        <v>5056784906699</v>
      </c>
      <c r="P149" s="231" t="s">
        <v>3582</v>
      </c>
      <c r="Q149" s="231" t="s">
        <v>3491</v>
      </c>
      <c r="R149" s="339" t="s">
        <v>3432</v>
      </c>
      <c r="S149" s="353"/>
      <c r="T149" s="443" t="s">
        <v>3594</v>
      </c>
    </row>
    <row r="150" spans="1:20">
      <c r="A150" s="278" t="s">
        <v>28</v>
      </c>
      <c r="B150" s="252">
        <v>45646</v>
      </c>
      <c r="C150" s="200" t="s">
        <v>102</v>
      </c>
      <c r="D150" s="200"/>
      <c r="E150" s="200"/>
      <c r="F150" s="200"/>
      <c r="G150" s="218"/>
      <c r="H150" s="219"/>
      <c r="I150" s="221"/>
      <c r="K150" s="276">
        <v>2563313</v>
      </c>
      <c r="L150" s="298" t="s">
        <v>810</v>
      </c>
      <c r="M150" s="236">
        <v>5056784901441</v>
      </c>
      <c r="N150" s="260"/>
      <c r="O150" s="236">
        <v>5056784901458</v>
      </c>
      <c r="P150" s="231" t="s">
        <v>3582</v>
      </c>
      <c r="Q150" s="231" t="s">
        <v>3491</v>
      </c>
      <c r="R150" s="339" t="s">
        <v>3432</v>
      </c>
      <c r="S150" s="353"/>
      <c r="T150" s="443"/>
    </row>
    <row r="151" spans="1:20">
      <c r="A151" s="279" t="s">
        <v>28</v>
      </c>
      <c r="B151" s="252">
        <v>45688</v>
      </c>
      <c r="C151" s="200" t="s">
        <v>102</v>
      </c>
      <c r="D151" s="200"/>
      <c r="E151" s="200"/>
      <c r="F151" s="200"/>
      <c r="G151" s="218"/>
      <c r="H151" s="219"/>
      <c r="I151" s="221"/>
      <c r="K151" s="288">
        <v>1366514</v>
      </c>
      <c r="L151" s="298" t="s">
        <v>832</v>
      </c>
      <c r="M151" s="236">
        <v>5000112683813</v>
      </c>
      <c r="N151" s="201"/>
      <c r="O151" s="236">
        <v>5000112683820</v>
      </c>
      <c r="P151" s="165" t="s">
        <v>57</v>
      </c>
      <c r="Q151" s="231" t="s">
        <v>3491</v>
      </c>
      <c r="R151" s="339" t="s">
        <v>3432</v>
      </c>
      <c r="S151" s="353"/>
      <c r="T151" s="436" t="s">
        <v>3594</v>
      </c>
    </row>
    <row r="152" spans="1:20">
      <c r="A152" s="279" t="s">
        <v>28</v>
      </c>
      <c r="B152" s="252">
        <v>45688</v>
      </c>
      <c r="C152" s="200" t="s">
        <v>102</v>
      </c>
      <c r="D152" s="200"/>
      <c r="E152" s="200"/>
      <c r="F152" s="200"/>
      <c r="G152" s="218"/>
      <c r="H152" s="219"/>
      <c r="I152" s="221"/>
      <c r="K152" s="235">
        <v>1374509</v>
      </c>
      <c r="L152" s="297" t="s">
        <v>834</v>
      </c>
      <c r="M152" s="171">
        <v>5000112683806</v>
      </c>
      <c r="N152" s="201"/>
      <c r="O152" s="171">
        <v>5000112683837</v>
      </c>
      <c r="P152" s="165" t="s">
        <v>3437</v>
      </c>
      <c r="Q152" s="165" t="s">
        <v>3491</v>
      </c>
      <c r="R152" s="339" t="s">
        <v>3432</v>
      </c>
      <c r="S152" s="353"/>
      <c r="T152" s="436"/>
    </row>
    <row r="153" spans="1:20">
      <c r="A153" s="278" t="s">
        <v>28</v>
      </c>
      <c r="B153" s="252">
        <v>45709</v>
      </c>
      <c r="C153" s="200" t="s">
        <v>102</v>
      </c>
      <c r="D153" s="200"/>
      <c r="E153" s="200"/>
      <c r="F153" s="200"/>
      <c r="G153" s="218"/>
      <c r="H153" s="219"/>
      <c r="I153" s="221"/>
      <c r="K153" s="217">
        <v>2648102</v>
      </c>
      <c r="L153" s="297" t="s">
        <v>842</v>
      </c>
      <c r="M153" s="171">
        <v>5000112683325</v>
      </c>
      <c r="N153" s="201"/>
      <c r="O153" s="171">
        <v>5000112684100</v>
      </c>
      <c r="P153" s="165" t="s">
        <v>3496</v>
      </c>
      <c r="Q153" s="165" t="s">
        <v>3491</v>
      </c>
      <c r="R153" s="339" t="s">
        <v>3432</v>
      </c>
      <c r="S153" s="353"/>
      <c r="T153" s="436" t="s">
        <v>3594</v>
      </c>
    </row>
    <row r="154" spans="1:20">
      <c r="A154" s="278" t="s">
        <v>28</v>
      </c>
      <c r="B154" s="252">
        <v>45730</v>
      </c>
      <c r="C154" s="200" t="s">
        <v>102</v>
      </c>
      <c r="D154" s="200"/>
      <c r="E154" s="200"/>
      <c r="F154" s="200"/>
      <c r="G154" s="218"/>
      <c r="H154" s="219"/>
      <c r="I154" s="221"/>
      <c r="K154" s="217">
        <v>2563409</v>
      </c>
      <c r="L154" s="297" t="s">
        <v>849</v>
      </c>
      <c r="M154" s="171">
        <v>5056784903094</v>
      </c>
      <c r="N154" s="259"/>
      <c r="O154" s="171">
        <v>5056784903100</v>
      </c>
      <c r="P154" s="165" t="s">
        <v>3582</v>
      </c>
      <c r="Q154" s="165" t="s">
        <v>3491</v>
      </c>
      <c r="R154" s="339" t="s">
        <v>3432</v>
      </c>
      <c r="S154" s="339"/>
      <c r="T154" s="441"/>
    </row>
    <row r="155" spans="1:20">
      <c r="A155" s="278" t="s">
        <v>28</v>
      </c>
      <c r="B155" s="252">
        <v>45744</v>
      </c>
      <c r="C155" s="200" t="s">
        <v>102</v>
      </c>
      <c r="D155" s="200"/>
      <c r="E155" s="200"/>
      <c r="F155" s="200"/>
      <c r="G155" s="218"/>
      <c r="H155" s="219"/>
      <c r="I155" s="221"/>
      <c r="K155" s="217">
        <v>958509</v>
      </c>
      <c r="L155" s="332" t="s">
        <v>852</v>
      </c>
      <c r="M155" s="171">
        <v>5000112674125</v>
      </c>
      <c r="N155" s="307">
        <v>5000112685930</v>
      </c>
      <c r="O155" s="307">
        <v>5000112685923</v>
      </c>
      <c r="P155" s="165" t="s">
        <v>492</v>
      </c>
      <c r="Q155" s="200" t="s">
        <v>3491</v>
      </c>
      <c r="R155" s="339" t="s">
        <v>3432</v>
      </c>
      <c r="S155" s="339"/>
      <c r="T155" s="441"/>
    </row>
    <row r="156" spans="1:20">
      <c r="A156" s="278" t="s">
        <v>28</v>
      </c>
      <c r="B156" s="252">
        <v>45744</v>
      </c>
      <c r="C156" s="200" t="s">
        <v>102</v>
      </c>
      <c r="D156" s="200"/>
      <c r="E156" s="200"/>
      <c r="F156" s="200"/>
      <c r="G156" s="218"/>
      <c r="H156" s="219"/>
      <c r="I156" s="221"/>
      <c r="K156" s="217">
        <v>2558302</v>
      </c>
      <c r="L156" s="297" t="s">
        <v>855</v>
      </c>
      <c r="M156" s="171">
        <v>5000112674163</v>
      </c>
      <c r="N156" s="259"/>
      <c r="O156" s="171">
        <v>5000112675672</v>
      </c>
      <c r="P156" s="165" t="s">
        <v>86</v>
      </c>
      <c r="Q156" s="200" t="s">
        <v>3431</v>
      </c>
      <c r="R156" s="339" t="s">
        <v>3432</v>
      </c>
      <c r="S156" s="339"/>
      <c r="T156" s="441"/>
    </row>
    <row r="157" spans="1:20">
      <c r="A157" s="279" t="s">
        <v>28</v>
      </c>
      <c r="B157" s="252">
        <v>45758</v>
      </c>
      <c r="C157" s="200" t="s">
        <v>102</v>
      </c>
      <c r="D157" s="200"/>
      <c r="E157" s="200"/>
      <c r="F157" s="200"/>
      <c r="G157" s="218"/>
      <c r="H157" s="219"/>
      <c r="I157" s="221"/>
      <c r="K157" s="217">
        <v>2633908</v>
      </c>
      <c r="L157" s="297" t="s">
        <v>856</v>
      </c>
      <c r="M157" s="171">
        <v>5056784908020</v>
      </c>
      <c r="N157" s="259"/>
      <c r="O157" s="171">
        <v>5056784908464</v>
      </c>
      <c r="P157" s="165" t="s">
        <v>3582</v>
      </c>
      <c r="Q157" s="165" t="s">
        <v>3491</v>
      </c>
      <c r="R157" s="339" t="s">
        <v>3432</v>
      </c>
      <c r="S157" s="339"/>
      <c r="T157" s="441"/>
    </row>
    <row r="158" spans="1:20">
      <c r="A158" s="279" t="s">
        <v>28</v>
      </c>
      <c r="B158" s="252">
        <v>45764</v>
      </c>
      <c r="C158" s="200" t="s">
        <v>102</v>
      </c>
      <c r="D158" s="200"/>
      <c r="E158" s="200"/>
      <c r="F158" s="200"/>
      <c r="G158" s="218"/>
      <c r="H158" s="219"/>
      <c r="I158" s="221"/>
      <c r="K158" s="217">
        <v>2605809</v>
      </c>
      <c r="L158" s="297" t="s">
        <v>858</v>
      </c>
      <c r="M158" s="171">
        <v>5056784902820</v>
      </c>
      <c r="N158" s="259"/>
      <c r="O158" s="171">
        <v>5056784902837</v>
      </c>
      <c r="P158" s="165" t="s">
        <v>3582</v>
      </c>
      <c r="Q158" s="165" t="s">
        <v>3491</v>
      </c>
      <c r="R158" s="339" t="s">
        <v>3432</v>
      </c>
      <c r="S158" s="339"/>
      <c r="T158" s="435" t="s">
        <v>3595</v>
      </c>
    </row>
    <row r="159" spans="1:20">
      <c r="A159" s="279" t="s">
        <v>28</v>
      </c>
      <c r="B159" s="252">
        <v>45772</v>
      </c>
      <c r="C159" s="200" t="s">
        <v>102</v>
      </c>
      <c r="D159" s="200"/>
      <c r="E159" s="200"/>
      <c r="F159" s="200"/>
      <c r="G159" s="218"/>
      <c r="H159" s="219"/>
      <c r="I159" s="221"/>
      <c r="K159" s="217">
        <v>2680401</v>
      </c>
      <c r="L159" s="297" t="s">
        <v>862</v>
      </c>
      <c r="M159" s="171">
        <v>9031100008956</v>
      </c>
      <c r="N159" s="259"/>
      <c r="O159" s="171">
        <v>9031100008963</v>
      </c>
      <c r="P159" s="231" t="s">
        <v>3507</v>
      </c>
      <c r="Q159" s="200" t="s">
        <v>3431</v>
      </c>
      <c r="R159" s="339" t="s">
        <v>3432</v>
      </c>
      <c r="S159" s="339"/>
      <c r="T159" s="435"/>
    </row>
    <row r="160" spans="1:20">
      <c r="A160" s="279" t="s">
        <v>28</v>
      </c>
      <c r="B160" s="252">
        <v>45772</v>
      </c>
      <c r="C160" s="200" t="s">
        <v>102</v>
      </c>
      <c r="D160" s="200"/>
      <c r="E160" s="200"/>
      <c r="F160" s="200"/>
      <c r="G160" s="218"/>
      <c r="H160" s="219"/>
      <c r="I160" s="221"/>
      <c r="K160" s="217">
        <v>2680501</v>
      </c>
      <c r="L160" s="297" t="s">
        <v>865</v>
      </c>
      <c r="M160" s="171">
        <v>9031100008970</v>
      </c>
      <c r="N160" s="259"/>
      <c r="O160" s="171">
        <v>9031100008987</v>
      </c>
      <c r="P160" s="165" t="s">
        <v>3507</v>
      </c>
      <c r="Q160" s="200" t="s">
        <v>3431</v>
      </c>
      <c r="R160" s="339" t="s">
        <v>3432</v>
      </c>
      <c r="S160" s="339"/>
      <c r="T160" s="435"/>
    </row>
    <row r="161" spans="1:20">
      <c r="A161" s="279" t="s">
        <v>28</v>
      </c>
      <c r="B161" s="252">
        <v>45800</v>
      </c>
      <c r="C161" s="200" t="s">
        <v>102</v>
      </c>
      <c r="D161" s="200"/>
      <c r="E161" s="200"/>
      <c r="F161" s="200"/>
      <c r="G161" s="218"/>
      <c r="H161" s="219"/>
      <c r="I161" s="221"/>
      <c r="K161" s="217">
        <v>2687201</v>
      </c>
      <c r="L161" s="297" t="s">
        <v>875</v>
      </c>
      <c r="M161" s="171">
        <v>5000112687262</v>
      </c>
      <c r="N161" s="259"/>
      <c r="O161" s="171">
        <v>5000112687279</v>
      </c>
      <c r="P161" s="165" t="s">
        <v>3439</v>
      </c>
      <c r="Q161" s="165" t="s">
        <v>3491</v>
      </c>
      <c r="R161" s="339" t="s">
        <v>3432</v>
      </c>
      <c r="S161" s="339"/>
      <c r="T161" s="435"/>
    </row>
    <row r="162" spans="1:20">
      <c r="A162" s="279" t="s">
        <v>28</v>
      </c>
      <c r="B162" s="252">
        <v>45821</v>
      </c>
      <c r="C162" s="200" t="s">
        <v>102</v>
      </c>
      <c r="D162" s="200"/>
      <c r="E162" s="200"/>
      <c r="F162" s="200"/>
      <c r="G162" s="218"/>
      <c r="H162" s="219"/>
      <c r="I162" s="221"/>
      <c r="K162" s="217">
        <v>1561431</v>
      </c>
      <c r="L162" s="297" t="s">
        <v>878</v>
      </c>
      <c r="M162" s="171">
        <v>5056784902073</v>
      </c>
      <c r="N162" s="259"/>
      <c r="O162" s="171">
        <v>5056784902172</v>
      </c>
      <c r="P162" s="165" t="s">
        <v>3582</v>
      </c>
      <c r="Q162" s="165" t="s">
        <v>3491</v>
      </c>
      <c r="R162" s="339" t="s">
        <v>3432</v>
      </c>
      <c r="S162" s="339"/>
      <c r="T162" s="444" t="s">
        <v>3596</v>
      </c>
    </row>
    <row r="163" spans="1:20">
      <c r="A163" s="279" t="s">
        <v>28</v>
      </c>
      <c r="B163" s="252">
        <v>45821</v>
      </c>
      <c r="C163" s="200" t="s">
        <v>102</v>
      </c>
      <c r="D163" s="200"/>
      <c r="E163" s="200"/>
      <c r="F163" s="200"/>
      <c r="G163" s="218"/>
      <c r="H163" s="219"/>
      <c r="I163" s="221"/>
      <c r="K163" s="217">
        <v>1527224</v>
      </c>
      <c r="L163" s="297" t="s">
        <v>881</v>
      </c>
      <c r="M163" s="171">
        <v>5056784902097</v>
      </c>
      <c r="N163" s="259"/>
      <c r="O163" s="171">
        <v>5056784902196</v>
      </c>
      <c r="P163" s="165" t="s">
        <v>3582</v>
      </c>
      <c r="Q163" s="165" t="s">
        <v>3491</v>
      </c>
      <c r="R163" s="339" t="s">
        <v>3432</v>
      </c>
      <c r="S163" s="339"/>
      <c r="T163" s="444" t="s">
        <v>3596</v>
      </c>
    </row>
    <row r="164" spans="1:20">
      <c r="A164" s="279" t="s">
        <v>28</v>
      </c>
      <c r="B164" s="252">
        <v>45821</v>
      </c>
      <c r="C164" s="200" t="s">
        <v>102</v>
      </c>
      <c r="D164" s="200"/>
      <c r="E164" s="200"/>
      <c r="F164" s="200"/>
      <c r="G164" s="218"/>
      <c r="H164" s="219"/>
      <c r="I164" s="221"/>
      <c r="K164" s="217">
        <v>1938219</v>
      </c>
      <c r="L164" s="297" t="s">
        <v>883</v>
      </c>
      <c r="M164" s="171">
        <v>5056784902455</v>
      </c>
      <c r="N164" s="259"/>
      <c r="O164" s="171">
        <v>5056784902462</v>
      </c>
      <c r="P164" s="165" t="s">
        <v>3582</v>
      </c>
      <c r="Q164" s="165" t="s">
        <v>3491</v>
      </c>
      <c r="R164" s="339" t="s">
        <v>3432</v>
      </c>
      <c r="S164" s="339"/>
      <c r="T164" s="444" t="s">
        <v>3596</v>
      </c>
    </row>
    <row r="165" spans="1:20">
      <c r="A165" s="279" t="s">
        <v>28</v>
      </c>
      <c r="B165" s="252">
        <v>45896</v>
      </c>
      <c r="C165" s="200" t="s">
        <v>102</v>
      </c>
      <c r="D165" s="200"/>
      <c r="E165" s="200"/>
      <c r="F165" s="200"/>
      <c r="G165" s="218"/>
      <c r="H165" s="219"/>
      <c r="I165" s="221"/>
      <c r="K165" s="217">
        <v>2660802</v>
      </c>
      <c r="L165" s="297" t="s">
        <v>890</v>
      </c>
      <c r="M165" s="171">
        <v>5000112689129</v>
      </c>
      <c r="N165" s="259"/>
      <c r="O165" s="171">
        <v>5000112689112</v>
      </c>
      <c r="P165" s="165" t="s">
        <v>3493</v>
      </c>
      <c r="Q165" s="165" t="s">
        <v>3431</v>
      </c>
      <c r="R165" s="339" t="s">
        <v>3432</v>
      </c>
      <c r="S165" s="339"/>
      <c r="T165" s="444"/>
    </row>
    <row r="166" spans="1:20">
      <c r="A166" s="279" t="s">
        <v>28</v>
      </c>
      <c r="B166" s="252">
        <v>45896</v>
      </c>
      <c r="C166" s="200" t="s">
        <v>102</v>
      </c>
      <c r="D166" s="200"/>
      <c r="E166" s="200"/>
      <c r="F166" s="200"/>
      <c r="G166" s="218"/>
      <c r="H166" s="219"/>
      <c r="I166" s="221"/>
      <c r="K166" s="217">
        <v>1188088</v>
      </c>
      <c r="L166" s="297" t="s">
        <v>887</v>
      </c>
      <c r="M166" s="171">
        <v>5000112673586</v>
      </c>
      <c r="N166" s="201"/>
      <c r="O166" s="351">
        <v>5000112688467</v>
      </c>
      <c r="P166" s="165" t="s">
        <v>57</v>
      </c>
      <c r="Q166" s="200" t="s">
        <v>3431</v>
      </c>
      <c r="R166" s="339" t="s">
        <v>3432</v>
      </c>
      <c r="S166" s="339"/>
      <c r="T166" s="434" t="s">
        <v>3597</v>
      </c>
    </row>
    <row r="167" spans="1:20">
      <c r="A167" s="279" t="s">
        <v>28</v>
      </c>
      <c r="B167" s="252">
        <v>45905</v>
      </c>
      <c r="C167" s="200" t="s">
        <v>102</v>
      </c>
      <c r="D167" s="200"/>
      <c r="E167" s="200"/>
      <c r="F167" s="200"/>
      <c r="G167" s="218"/>
      <c r="H167" s="219"/>
      <c r="I167" s="221"/>
      <c r="K167" s="217">
        <v>671024</v>
      </c>
      <c r="L167" s="297" t="s">
        <v>895</v>
      </c>
      <c r="M167" s="171">
        <v>5000112673388</v>
      </c>
      <c r="N167" s="201"/>
      <c r="O167" s="351">
        <v>5000112692525</v>
      </c>
      <c r="P167" s="165" t="s">
        <v>57</v>
      </c>
      <c r="Q167" s="200" t="s">
        <v>3431</v>
      </c>
      <c r="R167" s="339" t="s">
        <v>3432</v>
      </c>
      <c r="S167" s="339"/>
      <c r="T167" s="434" t="s">
        <v>3597</v>
      </c>
    </row>
    <row r="168" spans="1:20">
      <c r="A168" s="279" t="s">
        <v>28</v>
      </c>
      <c r="B168" s="252">
        <v>45905</v>
      </c>
      <c r="C168" s="200" t="s">
        <v>102</v>
      </c>
      <c r="D168" s="200"/>
      <c r="E168" s="200"/>
      <c r="F168" s="200"/>
      <c r="G168" s="218"/>
      <c r="H168" s="219"/>
      <c r="I168" s="221"/>
      <c r="K168" s="217">
        <v>613809</v>
      </c>
      <c r="L168" s="297" t="s">
        <v>898</v>
      </c>
      <c r="M168" s="171">
        <v>5000112673401</v>
      </c>
      <c r="N168" s="201"/>
      <c r="O168" s="351">
        <v>5000112692556</v>
      </c>
      <c r="P168" s="165" t="s">
        <v>57</v>
      </c>
      <c r="Q168" s="200" t="s">
        <v>3431</v>
      </c>
      <c r="R168" s="339" t="s">
        <v>3432</v>
      </c>
      <c r="S168" s="339"/>
      <c r="T168" s="434" t="s">
        <v>3597</v>
      </c>
    </row>
    <row r="169" spans="1:20">
      <c r="A169" s="279" t="s">
        <v>28</v>
      </c>
      <c r="B169" s="252">
        <v>45905</v>
      </c>
      <c r="C169" s="200" t="s">
        <v>102</v>
      </c>
      <c r="D169" s="200"/>
      <c r="E169" s="200"/>
      <c r="F169" s="200"/>
      <c r="G169" s="218"/>
      <c r="H169" s="219"/>
      <c r="I169" s="221"/>
      <c r="K169" s="217">
        <v>465607</v>
      </c>
      <c r="L169" s="297" t="s">
        <v>901</v>
      </c>
      <c r="M169" s="171">
        <v>5000112673333</v>
      </c>
      <c r="N169" s="201"/>
      <c r="O169" s="351">
        <v>5000112692549</v>
      </c>
      <c r="P169" s="200" t="s">
        <v>48</v>
      </c>
      <c r="Q169" s="200" t="s">
        <v>3431</v>
      </c>
      <c r="R169" s="339" t="s">
        <v>3432</v>
      </c>
      <c r="S169" s="339"/>
      <c r="T169" s="434" t="s">
        <v>3597</v>
      </c>
    </row>
    <row r="170" spans="1:20">
      <c r="A170" s="279" t="s">
        <v>28</v>
      </c>
      <c r="B170" s="252">
        <v>45905</v>
      </c>
      <c r="C170" s="200" t="s">
        <v>102</v>
      </c>
      <c r="D170" s="200"/>
      <c r="E170" s="200"/>
      <c r="F170" s="200"/>
      <c r="G170" s="218"/>
      <c r="H170" s="219"/>
      <c r="I170" s="221"/>
      <c r="K170" s="217">
        <v>465706</v>
      </c>
      <c r="L170" s="297" t="s">
        <v>904</v>
      </c>
      <c r="M170" s="171">
        <v>5000112673609</v>
      </c>
      <c r="N170" s="201"/>
      <c r="O170" s="351">
        <v>5000112692532</v>
      </c>
      <c r="P170" s="200" t="s">
        <v>112</v>
      </c>
      <c r="Q170" s="200" t="s">
        <v>3431</v>
      </c>
      <c r="R170" s="339" t="s">
        <v>3432</v>
      </c>
      <c r="S170" s="339"/>
      <c r="T170" s="434" t="s">
        <v>3597</v>
      </c>
    </row>
    <row r="171" spans="1:20">
      <c r="A171" s="279" t="s">
        <v>28</v>
      </c>
      <c r="B171" s="252">
        <v>45919</v>
      </c>
      <c r="C171" s="200" t="s">
        <v>102</v>
      </c>
      <c r="D171" s="200"/>
      <c r="E171" s="200"/>
      <c r="F171" s="200"/>
      <c r="G171" s="218"/>
      <c r="H171" s="219"/>
      <c r="I171" s="221"/>
      <c r="K171" s="217" t="s">
        <v>915</v>
      </c>
      <c r="L171" s="297" t="s">
        <v>916</v>
      </c>
      <c r="M171" s="171">
        <v>5000112673463</v>
      </c>
      <c r="N171" s="307">
        <v>5000112692693</v>
      </c>
      <c r="O171" s="351">
        <v>5000112692709</v>
      </c>
      <c r="P171" s="165" t="s">
        <v>57</v>
      </c>
      <c r="Q171" s="200" t="s">
        <v>3431</v>
      </c>
      <c r="R171" s="339" t="s">
        <v>3432</v>
      </c>
      <c r="S171" s="339"/>
      <c r="T171" s="434" t="s">
        <v>3597</v>
      </c>
    </row>
    <row r="172" spans="1:20">
      <c r="A172" s="279" t="s">
        <v>28</v>
      </c>
      <c r="B172" s="252">
        <v>45919</v>
      </c>
      <c r="C172" s="200" t="s">
        <v>102</v>
      </c>
      <c r="D172" s="200"/>
      <c r="E172" s="200"/>
      <c r="F172" s="200"/>
      <c r="G172" s="218"/>
      <c r="H172" s="219"/>
      <c r="I172" s="221"/>
      <c r="K172" s="217" t="s">
        <v>918</v>
      </c>
      <c r="L172" s="297" t="s">
        <v>919</v>
      </c>
      <c r="M172" s="171">
        <v>5000112673586</v>
      </c>
      <c r="N172" s="307">
        <v>5000112692679</v>
      </c>
      <c r="O172" s="351">
        <v>5000112692686</v>
      </c>
      <c r="P172" s="165" t="s">
        <v>57</v>
      </c>
      <c r="Q172" s="200" t="s">
        <v>3431</v>
      </c>
      <c r="R172" s="339" t="s">
        <v>3432</v>
      </c>
      <c r="S172" s="339"/>
      <c r="T172" s="434" t="s">
        <v>3597</v>
      </c>
    </row>
    <row r="173" spans="1:20">
      <c r="A173" s="279" t="s">
        <v>28</v>
      </c>
      <c r="B173" s="252">
        <v>45919</v>
      </c>
      <c r="C173" s="200" t="s">
        <v>102</v>
      </c>
      <c r="D173" s="200"/>
      <c r="E173" s="200"/>
      <c r="F173" s="200"/>
      <c r="G173" s="218"/>
      <c r="H173" s="219"/>
      <c r="I173" s="221"/>
      <c r="K173" s="217" t="s">
        <v>921</v>
      </c>
      <c r="L173" s="297" t="s">
        <v>922</v>
      </c>
      <c r="M173" s="171">
        <v>5000112673340</v>
      </c>
      <c r="N173" s="307">
        <v>5000112692716</v>
      </c>
      <c r="O173" s="351">
        <v>5000112692723</v>
      </c>
      <c r="P173" s="200" t="s">
        <v>48</v>
      </c>
      <c r="Q173" s="200" t="s">
        <v>3431</v>
      </c>
      <c r="R173" s="339" t="s">
        <v>3432</v>
      </c>
      <c r="S173" s="339"/>
      <c r="T173" s="434" t="s">
        <v>3597</v>
      </c>
    </row>
    <row r="174" spans="1:20">
      <c r="A174" s="279" t="s">
        <v>28</v>
      </c>
      <c r="B174" s="252">
        <v>45975</v>
      </c>
      <c r="C174" s="200" t="s">
        <v>102</v>
      </c>
      <c r="D174" s="200"/>
      <c r="E174" s="200"/>
      <c r="F174" s="200"/>
      <c r="G174" s="218"/>
      <c r="H174" s="219"/>
      <c r="I174" s="221"/>
      <c r="K174" s="217">
        <v>2708102</v>
      </c>
      <c r="L174" s="297" t="s">
        <v>939</v>
      </c>
      <c r="M174" s="171">
        <v>5000112693492</v>
      </c>
      <c r="N174" s="201"/>
      <c r="O174" s="351">
        <v>5000112693461</v>
      </c>
      <c r="P174" s="200" t="s">
        <v>492</v>
      </c>
      <c r="Q174" s="165" t="s">
        <v>3491</v>
      </c>
      <c r="R174" s="339" t="s">
        <v>3432</v>
      </c>
      <c r="S174" s="252">
        <v>46049</v>
      </c>
      <c r="T174" s="434"/>
    </row>
    <row r="175" spans="1:20">
      <c r="A175" s="279" t="s">
        <v>28</v>
      </c>
      <c r="B175" s="252">
        <v>45975</v>
      </c>
      <c r="C175" s="200" t="s">
        <v>102</v>
      </c>
      <c r="D175" s="200"/>
      <c r="E175" s="200"/>
      <c r="F175" s="200"/>
      <c r="G175" s="218"/>
      <c r="H175" s="219"/>
      <c r="I175" s="221"/>
      <c r="K175" s="217">
        <v>2708202</v>
      </c>
      <c r="L175" s="297" t="s">
        <v>942</v>
      </c>
      <c r="M175" s="171">
        <v>5000112693485</v>
      </c>
      <c r="N175" s="201"/>
      <c r="O175" s="351">
        <v>5000112693454</v>
      </c>
      <c r="P175" s="200" t="s">
        <v>492</v>
      </c>
      <c r="Q175" s="165" t="s">
        <v>3491</v>
      </c>
      <c r="R175" s="339" t="s">
        <v>3432</v>
      </c>
      <c r="S175" s="252">
        <v>46049</v>
      </c>
      <c r="T175" s="434"/>
    </row>
    <row r="176" spans="1:20">
      <c r="A176" s="279" t="s">
        <v>28</v>
      </c>
      <c r="B176" s="252">
        <v>45975</v>
      </c>
      <c r="C176" s="200" t="s">
        <v>102</v>
      </c>
      <c r="D176" s="200"/>
      <c r="E176" s="200"/>
      <c r="F176" s="200"/>
      <c r="G176" s="218"/>
      <c r="H176" s="219"/>
      <c r="I176" s="221"/>
      <c r="K176" s="217">
        <v>2707602</v>
      </c>
      <c r="L176" s="297" t="s">
        <v>944</v>
      </c>
      <c r="M176" s="171">
        <v>5000112694321</v>
      </c>
      <c r="N176" s="201"/>
      <c r="O176" s="351">
        <v>5000112694307</v>
      </c>
      <c r="P176" s="200" t="s">
        <v>492</v>
      </c>
      <c r="Q176" s="165" t="s">
        <v>3491</v>
      </c>
      <c r="R176" s="339" t="s">
        <v>3432</v>
      </c>
      <c r="S176" s="252">
        <v>46049</v>
      </c>
      <c r="T176" s="434"/>
    </row>
    <row r="177" spans="1:21">
      <c r="A177" s="279" t="s">
        <v>28</v>
      </c>
      <c r="B177" s="252">
        <v>45975</v>
      </c>
      <c r="C177" s="200" t="s">
        <v>102</v>
      </c>
      <c r="D177" s="200"/>
      <c r="E177" s="200"/>
      <c r="F177" s="200"/>
      <c r="G177" s="218"/>
      <c r="H177" s="219"/>
      <c r="I177" s="221"/>
      <c r="K177" s="217">
        <v>2707702</v>
      </c>
      <c r="L177" s="297" t="s">
        <v>946</v>
      </c>
      <c r="M177" s="171">
        <v>5000112694406</v>
      </c>
      <c r="N177" s="201"/>
      <c r="O177" s="351">
        <v>5000112694789</v>
      </c>
      <c r="P177" s="200" t="s">
        <v>492</v>
      </c>
      <c r="Q177" s="165" t="s">
        <v>3491</v>
      </c>
      <c r="R177" s="339" t="s">
        <v>3432</v>
      </c>
      <c r="S177" s="252">
        <v>46049</v>
      </c>
      <c r="T177" s="434"/>
    </row>
    <row r="178" spans="1:21">
      <c r="A178" s="279" t="s">
        <v>28</v>
      </c>
      <c r="B178" s="252">
        <v>45975</v>
      </c>
      <c r="C178" s="200" t="s">
        <v>102</v>
      </c>
      <c r="D178" s="200"/>
      <c r="E178" s="200"/>
      <c r="F178" s="200"/>
      <c r="G178" s="218"/>
      <c r="H178" s="219"/>
      <c r="I178" s="221"/>
      <c r="K178" s="217">
        <v>2707802</v>
      </c>
      <c r="L178" s="297" t="s">
        <v>948</v>
      </c>
      <c r="M178" s="171">
        <v>5000112694345</v>
      </c>
      <c r="N178" s="201"/>
      <c r="O178" s="351">
        <v>5000112694314</v>
      </c>
      <c r="P178" s="200" t="s">
        <v>492</v>
      </c>
      <c r="Q178" s="165" t="s">
        <v>3491</v>
      </c>
      <c r="R178" s="339" t="s">
        <v>3432</v>
      </c>
      <c r="S178" s="252">
        <v>46049</v>
      </c>
      <c r="T178" s="434"/>
    </row>
    <row r="179" spans="1:21">
      <c r="A179" s="279" t="s">
        <v>28</v>
      </c>
      <c r="B179" s="252">
        <v>45975</v>
      </c>
      <c r="C179" s="200" t="s">
        <v>102</v>
      </c>
      <c r="D179" s="200"/>
      <c r="E179" s="200"/>
      <c r="F179" s="200"/>
      <c r="G179" s="218"/>
      <c r="H179" s="219"/>
      <c r="I179" s="221"/>
      <c r="K179" s="217">
        <v>2706102</v>
      </c>
      <c r="L179" s="297" t="s">
        <v>950</v>
      </c>
      <c r="M179" s="171">
        <v>5449000062543</v>
      </c>
      <c r="N179" s="201"/>
      <c r="O179" s="351">
        <v>5449000062550</v>
      </c>
      <c r="P179" s="200" t="s">
        <v>492</v>
      </c>
      <c r="Q179" s="165" t="s">
        <v>3491</v>
      </c>
      <c r="R179" s="339" t="s">
        <v>3432</v>
      </c>
      <c r="S179" s="252">
        <v>46049</v>
      </c>
      <c r="T179" s="434"/>
    </row>
    <row r="180" spans="1:21">
      <c r="A180" s="279" t="s">
        <v>28</v>
      </c>
      <c r="B180" s="252">
        <v>45975</v>
      </c>
      <c r="C180" s="200" t="s">
        <v>102</v>
      </c>
      <c r="D180" s="200"/>
      <c r="E180" s="200"/>
      <c r="F180" s="200"/>
      <c r="G180" s="218"/>
      <c r="H180" s="219"/>
      <c r="I180" s="221"/>
      <c r="K180" s="356">
        <v>2603502</v>
      </c>
      <c r="L180" s="357" t="s">
        <v>952</v>
      </c>
      <c r="M180" s="259">
        <v>54035164</v>
      </c>
      <c r="N180" s="201"/>
      <c r="O180" s="402">
        <v>5000112693430</v>
      </c>
      <c r="P180" s="165" t="s">
        <v>3437</v>
      </c>
      <c r="Q180" s="200" t="s">
        <v>3431</v>
      </c>
      <c r="R180" s="339" t="s">
        <v>3432</v>
      </c>
      <c r="S180" s="252">
        <v>46049</v>
      </c>
      <c r="T180" s="435" t="s">
        <v>953</v>
      </c>
    </row>
    <row r="181" spans="1:21">
      <c r="A181" s="279" t="s">
        <v>28</v>
      </c>
      <c r="B181" s="252">
        <v>45975</v>
      </c>
      <c r="C181" s="200" t="s">
        <v>102</v>
      </c>
      <c r="D181" s="200"/>
      <c r="E181" s="200"/>
      <c r="F181" s="200"/>
      <c r="G181" s="218"/>
      <c r="H181" s="219"/>
      <c r="I181" s="221"/>
      <c r="K181" s="356">
        <v>2723301</v>
      </c>
      <c r="L181" s="357" t="s">
        <v>954</v>
      </c>
      <c r="M181" s="259">
        <v>5000112693416</v>
      </c>
      <c r="N181" s="201"/>
      <c r="O181" s="402">
        <v>5000112693751</v>
      </c>
      <c r="P181" s="165" t="s">
        <v>3437</v>
      </c>
      <c r="Q181" s="200" t="s">
        <v>3431</v>
      </c>
      <c r="R181" s="339" t="s">
        <v>3432</v>
      </c>
      <c r="S181" s="252">
        <v>46049</v>
      </c>
      <c r="T181" s="435" t="s">
        <v>953</v>
      </c>
    </row>
    <row r="182" spans="1:21">
      <c r="A182" s="279" t="s">
        <v>28</v>
      </c>
      <c r="B182" s="252">
        <v>45975</v>
      </c>
      <c r="C182" s="200" t="s">
        <v>102</v>
      </c>
      <c r="D182" s="200"/>
      <c r="E182" s="200"/>
      <c r="F182" s="200"/>
      <c r="G182" s="218"/>
      <c r="H182" s="219"/>
      <c r="I182" s="221"/>
      <c r="K182" s="217">
        <v>1929602</v>
      </c>
      <c r="L182" s="297" t="s">
        <v>955</v>
      </c>
      <c r="M182" s="171">
        <v>54035171</v>
      </c>
      <c r="N182" s="201"/>
      <c r="O182" s="351">
        <v>5000112693386</v>
      </c>
      <c r="P182" s="200" t="s">
        <v>3598</v>
      </c>
      <c r="Q182" s="200" t="s">
        <v>3431</v>
      </c>
      <c r="R182" s="401" t="s">
        <v>3432</v>
      </c>
      <c r="S182" s="252">
        <v>46049</v>
      </c>
      <c r="T182" s="445"/>
    </row>
    <row r="183" spans="1:21">
      <c r="A183" s="279" t="s">
        <v>28</v>
      </c>
      <c r="B183" s="252">
        <v>45975</v>
      </c>
      <c r="C183" s="200" t="s">
        <v>102</v>
      </c>
      <c r="D183" s="200"/>
      <c r="E183" s="200"/>
      <c r="F183" s="200"/>
      <c r="G183" s="218"/>
      <c r="H183" s="219"/>
      <c r="I183" s="221"/>
      <c r="K183" s="217">
        <v>2723201</v>
      </c>
      <c r="L183" s="297" t="s">
        <v>957</v>
      </c>
      <c r="M183" s="171">
        <v>5000112693355</v>
      </c>
      <c r="N183" s="201"/>
      <c r="O183" s="351">
        <v>5000112693362</v>
      </c>
      <c r="P183" s="200" t="s">
        <v>3598</v>
      </c>
      <c r="Q183" s="200" t="s">
        <v>3431</v>
      </c>
      <c r="R183" s="401" t="s">
        <v>3432</v>
      </c>
      <c r="S183" s="252">
        <v>46049</v>
      </c>
      <c r="T183" s="445"/>
    </row>
    <row r="184" spans="1:21">
      <c r="A184" s="279" t="s">
        <v>28</v>
      </c>
      <c r="B184" s="252">
        <v>45975</v>
      </c>
      <c r="C184" s="200" t="s">
        <v>102</v>
      </c>
      <c r="D184" s="200"/>
      <c r="E184" s="200"/>
      <c r="F184" s="200"/>
      <c r="G184" s="218"/>
      <c r="H184" s="219"/>
      <c r="I184" s="221"/>
      <c r="K184" s="217">
        <v>2708009</v>
      </c>
      <c r="L184" s="297" t="s">
        <v>959</v>
      </c>
      <c r="M184" s="171">
        <v>5000112693232</v>
      </c>
      <c r="N184" s="201"/>
      <c r="O184" s="351">
        <v>5000112693249</v>
      </c>
      <c r="P184" s="200" t="s">
        <v>3496</v>
      </c>
      <c r="Q184" s="200" t="s">
        <v>3431</v>
      </c>
      <c r="R184" s="401" t="s">
        <v>3432</v>
      </c>
      <c r="S184" s="252">
        <v>46049</v>
      </c>
      <c r="T184" s="445"/>
    </row>
    <row r="185" spans="1:21">
      <c r="A185" s="279" t="s">
        <v>28</v>
      </c>
      <c r="B185" s="252">
        <v>45975</v>
      </c>
      <c r="C185" s="200" t="s">
        <v>102</v>
      </c>
      <c r="D185" s="200"/>
      <c r="E185" s="200"/>
      <c r="F185" s="200"/>
      <c r="G185" s="218"/>
      <c r="H185" s="219"/>
      <c r="I185" s="221"/>
      <c r="K185" s="217">
        <v>2711504</v>
      </c>
      <c r="L185" s="297" t="s">
        <v>961</v>
      </c>
      <c r="M185" s="171">
        <v>5000112693270</v>
      </c>
      <c r="N185" s="201"/>
      <c r="O185" s="351">
        <v>5000112693287</v>
      </c>
      <c r="P185" s="200" t="s">
        <v>48</v>
      </c>
      <c r="Q185" s="200" t="s">
        <v>3431</v>
      </c>
      <c r="R185" s="339" t="s">
        <v>3432</v>
      </c>
      <c r="S185" s="252">
        <v>46049</v>
      </c>
      <c r="T185" s="434"/>
    </row>
    <row r="186" spans="1:21">
      <c r="A186" s="279" t="s">
        <v>28</v>
      </c>
      <c r="B186" s="252">
        <v>45975</v>
      </c>
      <c r="C186" s="200" t="s">
        <v>102</v>
      </c>
      <c r="D186" s="200"/>
      <c r="E186" s="200"/>
      <c r="F186" s="200"/>
      <c r="G186" s="218"/>
      <c r="H186" s="219"/>
      <c r="I186" s="221"/>
      <c r="K186" s="217">
        <v>2705604</v>
      </c>
      <c r="L186" s="297" t="s">
        <v>963</v>
      </c>
      <c r="M186" s="171">
        <v>5000112693317</v>
      </c>
      <c r="N186" s="201"/>
      <c r="O186" s="351">
        <v>5000112693324</v>
      </c>
      <c r="P186" s="200" t="s">
        <v>48</v>
      </c>
      <c r="Q186" s="200" t="s">
        <v>3431</v>
      </c>
      <c r="R186" s="339" t="s">
        <v>3432</v>
      </c>
      <c r="S186" s="252">
        <v>46049</v>
      </c>
      <c r="T186" s="434"/>
    </row>
    <row r="187" spans="1:21">
      <c r="A187" s="279" t="s">
        <v>28</v>
      </c>
      <c r="B187" s="252">
        <v>45975</v>
      </c>
      <c r="C187" s="200" t="s">
        <v>102</v>
      </c>
      <c r="D187" s="200"/>
      <c r="E187" s="200"/>
      <c r="F187" s="200"/>
      <c r="G187" s="218"/>
      <c r="H187" s="219"/>
      <c r="I187" s="221"/>
      <c r="K187" s="217">
        <v>2712004</v>
      </c>
      <c r="L187" s="297" t="s">
        <v>965</v>
      </c>
      <c r="M187" s="171">
        <v>5000112693256</v>
      </c>
      <c r="N187" s="201"/>
      <c r="O187" s="351">
        <v>5000112693263</v>
      </c>
      <c r="P187" s="165" t="s">
        <v>3458</v>
      </c>
      <c r="Q187" s="200" t="s">
        <v>3431</v>
      </c>
      <c r="R187" s="339" t="s">
        <v>3432</v>
      </c>
      <c r="S187" s="252">
        <v>46049</v>
      </c>
      <c r="T187" s="434"/>
    </row>
    <row r="188" spans="1:21">
      <c r="A188" s="279" t="s">
        <v>28</v>
      </c>
      <c r="B188" s="252">
        <v>45975</v>
      </c>
      <c r="C188" s="200" t="s">
        <v>102</v>
      </c>
      <c r="D188" s="200"/>
      <c r="E188" s="200"/>
      <c r="F188" s="200"/>
      <c r="G188" s="218"/>
      <c r="H188" s="219"/>
      <c r="I188" s="221"/>
      <c r="K188" s="217">
        <v>2706004</v>
      </c>
      <c r="L188" s="297" t="s">
        <v>968</v>
      </c>
      <c r="M188" s="171">
        <v>5000112693331</v>
      </c>
      <c r="N188" s="201"/>
      <c r="O188" s="351">
        <v>5000112693348</v>
      </c>
      <c r="P188" s="165" t="s">
        <v>3458</v>
      </c>
      <c r="Q188" s="200" t="s">
        <v>3431</v>
      </c>
      <c r="R188" s="339" t="s">
        <v>3432</v>
      </c>
      <c r="S188" s="252">
        <v>46049</v>
      </c>
      <c r="T188" s="434"/>
      <c r="U188" s="164" t="s">
        <v>3599</v>
      </c>
    </row>
    <row r="189" spans="1:21">
      <c r="A189" s="279" t="s">
        <v>28</v>
      </c>
      <c r="B189" s="252">
        <v>45975</v>
      </c>
      <c r="C189" s="200" t="s">
        <v>102</v>
      </c>
      <c r="D189" s="200"/>
      <c r="E189" s="200"/>
      <c r="F189" s="200"/>
      <c r="G189" s="218"/>
      <c r="H189" s="219"/>
      <c r="I189" s="221"/>
      <c r="K189" s="217">
        <v>729513</v>
      </c>
      <c r="L189" s="297" t="s">
        <v>970</v>
      </c>
      <c r="M189" s="171">
        <v>5000112693393</v>
      </c>
      <c r="N189" s="201"/>
      <c r="O189" s="351">
        <v>5000112693409</v>
      </c>
      <c r="P189" s="200" t="s">
        <v>48</v>
      </c>
      <c r="Q189" s="200" t="s">
        <v>3431</v>
      </c>
      <c r="R189" s="339" t="s">
        <v>3432</v>
      </c>
      <c r="S189" s="252">
        <v>46049</v>
      </c>
      <c r="T189" s="434"/>
    </row>
    <row r="190" spans="1:21">
      <c r="A190" s="279" t="s">
        <v>28</v>
      </c>
      <c r="B190" s="252">
        <v>45975</v>
      </c>
      <c r="C190" s="200" t="s">
        <v>102</v>
      </c>
      <c r="D190" s="200"/>
      <c r="E190" s="200"/>
      <c r="F190" s="200"/>
      <c r="G190" s="218"/>
      <c r="H190" s="219"/>
      <c r="I190" s="221"/>
      <c r="K190" s="217">
        <v>478724</v>
      </c>
      <c r="L190" s="297" t="s">
        <v>972</v>
      </c>
      <c r="M190" s="171">
        <v>5000112694666</v>
      </c>
      <c r="N190" s="201"/>
      <c r="O190" s="351">
        <v>5000112694673</v>
      </c>
      <c r="P190" s="200" t="s">
        <v>48</v>
      </c>
      <c r="Q190" s="200" t="s">
        <v>3431</v>
      </c>
      <c r="R190" s="339" t="s">
        <v>3432</v>
      </c>
      <c r="S190" s="252">
        <v>46049</v>
      </c>
      <c r="T190" s="434"/>
    </row>
    <row r="191" spans="1:21">
      <c r="A191" s="279" t="s">
        <v>28</v>
      </c>
      <c r="B191" s="252">
        <v>45975</v>
      </c>
      <c r="C191" s="200" t="s">
        <v>102</v>
      </c>
      <c r="D191" s="200"/>
      <c r="E191" s="200"/>
      <c r="F191" s="200"/>
      <c r="G191" s="218"/>
      <c r="H191" s="219"/>
      <c r="I191" s="221"/>
      <c r="K191" s="356">
        <v>2743801</v>
      </c>
      <c r="L191" s="357" t="s">
        <v>974</v>
      </c>
      <c r="M191" s="358">
        <v>5000112694659</v>
      </c>
      <c r="N191" s="359"/>
      <c r="O191" s="360">
        <v>5000112694680</v>
      </c>
      <c r="P191" s="361" t="s">
        <v>48</v>
      </c>
      <c r="Q191" s="200" t="s">
        <v>3431</v>
      </c>
      <c r="R191" s="200"/>
      <c r="S191" s="200"/>
      <c r="T191" s="435"/>
    </row>
    <row r="192" spans="1:21">
      <c r="A192" s="279" t="s">
        <v>28</v>
      </c>
      <c r="B192" s="252">
        <v>45975</v>
      </c>
      <c r="C192" s="200" t="s">
        <v>102</v>
      </c>
      <c r="D192" s="200"/>
      <c r="E192" s="200"/>
      <c r="F192" s="200"/>
      <c r="G192" s="218"/>
      <c r="H192" s="219"/>
      <c r="I192" s="221"/>
      <c r="K192" s="217">
        <v>2701106</v>
      </c>
      <c r="L192" s="297" t="s">
        <v>3600</v>
      </c>
      <c r="M192" s="171">
        <v>54035577</v>
      </c>
      <c r="N192" s="201"/>
      <c r="O192" s="351">
        <v>5000112694284</v>
      </c>
      <c r="P192" s="165" t="s">
        <v>3460</v>
      </c>
      <c r="Q192" s="165" t="s">
        <v>3491</v>
      </c>
      <c r="R192" s="339" t="s">
        <v>3432</v>
      </c>
      <c r="S192" s="252">
        <v>46049</v>
      </c>
      <c r="T192" s="434" t="s">
        <v>3601</v>
      </c>
    </row>
    <row r="193" spans="1:20">
      <c r="A193" s="279" t="s">
        <v>28</v>
      </c>
      <c r="B193" s="252">
        <v>45982</v>
      </c>
      <c r="C193" s="200" t="s">
        <v>102</v>
      </c>
      <c r="D193" s="200"/>
      <c r="E193" s="200"/>
      <c r="F193" s="200"/>
      <c r="G193" s="218"/>
      <c r="H193" s="219"/>
      <c r="I193" s="221"/>
      <c r="K193" s="217">
        <v>2687821</v>
      </c>
      <c r="L193" s="297" t="s">
        <v>982</v>
      </c>
      <c r="M193" s="171">
        <v>5056784911167</v>
      </c>
      <c r="N193" s="201"/>
      <c r="O193" s="351">
        <v>5056784911174</v>
      </c>
      <c r="P193" s="165" t="s">
        <v>3582</v>
      </c>
      <c r="Q193" s="165" t="s">
        <v>3491</v>
      </c>
      <c r="R193" s="339" t="s">
        <v>3432</v>
      </c>
      <c r="S193" s="252">
        <v>46049</v>
      </c>
      <c r="T193" s="434"/>
    </row>
    <row r="194" spans="1:20">
      <c r="A194" s="279" t="s">
        <v>28</v>
      </c>
      <c r="B194" s="252">
        <v>45982</v>
      </c>
      <c r="C194" s="200" t="s">
        <v>102</v>
      </c>
      <c r="D194" s="200"/>
      <c r="E194" s="200"/>
      <c r="F194" s="200"/>
      <c r="G194" s="218"/>
      <c r="H194" s="219"/>
      <c r="I194" s="221"/>
      <c r="K194" s="217">
        <v>2698905</v>
      </c>
      <c r="L194" s="297" t="s">
        <v>984</v>
      </c>
      <c r="M194" s="171">
        <v>5056784912867</v>
      </c>
      <c r="N194" s="201"/>
      <c r="O194" s="351">
        <v>5056784912874</v>
      </c>
      <c r="P194" s="165" t="s">
        <v>3582</v>
      </c>
      <c r="Q194" s="165" t="s">
        <v>3491</v>
      </c>
      <c r="R194" s="339" t="s">
        <v>3432</v>
      </c>
      <c r="S194" s="252">
        <v>46049</v>
      </c>
      <c r="T194" s="434"/>
    </row>
    <row r="195" spans="1:20">
      <c r="A195" s="279" t="s">
        <v>28</v>
      </c>
      <c r="B195" s="252">
        <v>45982</v>
      </c>
      <c r="C195" s="200" t="s">
        <v>102</v>
      </c>
      <c r="D195" s="200"/>
      <c r="E195" s="200"/>
      <c r="F195" s="200"/>
      <c r="G195" s="218"/>
      <c r="H195" s="219"/>
      <c r="I195" s="221"/>
      <c r="K195" s="217">
        <v>2626910</v>
      </c>
      <c r="L195" s="297" t="s">
        <v>986</v>
      </c>
      <c r="M195" s="171">
        <v>5056784912157</v>
      </c>
      <c r="N195" s="201"/>
      <c r="O195" s="351">
        <v>5056784912164</v>
      </c>
      <c r="P195" s="165" t="s">
        <v>3582</v>
      </c>
      <c r="Q195" s="165" t="s">
        <v>3491</v>
      </c>
      <c r="R195" s="339" t="s">
        <v>3432</v>
      </c>
      <c r="S195" s="252">
        <v>46108</v>
      </c>
      <c r="T195" s="434"/>
    </row>
    <row r="196" spans="1:20">
      <c r="A196" s="279" t="s">
        <v>28</v>
      </c>
      <c r="B196" s="252">
        <v>46008</v>
      </c>
      <c r="C196" s="200" t="s">
        <v>102</v>
      </c>
      <c r="D196" s="200"/>
      <c r="E196" s="200"/>
      <c r="F196" s="200"/>
      <c r="G196" s="218"/>
      <c r="H196" s="219"/>
      <c r="I196" s="221"/>
      <c r="K196" s="217">
        <v>2122608</v>
      </c>
      <c r="L196" s="297" t="s">
        <v>996</v>
      </c>
      <c r="M196" s="171">
        <v>5000112695977</v>
      </c>
      <c r="N196" s="201"/>
      <c r="O196" s="351">
        <v>5000112695892</v>
      </c>
      <c r="P196" s="165" t="s">
        <v>57</v>
      </c>
      <c r="Q196" s="200" t="s">
        <v>3431</v>
      </c>
      <c r="R196" s="401" t="s">
        <v>3432</v>
      </c>
      <c r="S196" s="252">
        <v>46049</v>
      </c>
      <c r="T196" s="445"/>
    </row>
    <row r="197" spans="1:20">
      <c r="A197" s="279" t="s">
        <v>28</v>
      </c>
      <c r="B197" s="252">
        <v>46008</v>
      </c>
      <c r="C197" s="200" t="s">
        <v>102</v>
      </c>
      <c r="D197" s="200"/>
      <c r="E197" s="200"/>
      <c r="F197" s="200"/>
      <c r="G197" s="218"/>
      <c r="H197" s="219"/>
      <c r="I197" s="221"/>
      <c r="K197" s="217">
        <v>2122620</v>
      </c>
      <c r="L197" s="297" t="s">
        <v>998</v>
      </c>
      <c r="M197" s="171">
        <v>5000112695977</v>
      </c>
      <c r="N197" s="201"/>
      <c r="O197" s="351">
        <v>5000112695885</v>
      </c>
      <c r="P197" s="165" t="s">
        <v>57</v>
      </c>
      <c r="Q197" s="200" t="s">
        <v>3431</v>
      </c>
      <c r="R197" s="401" t="s">
        <v>3432</v>
      </c>
      <c r="S197" s="252">
        <v>46049</v>
      </c>
      <c r="T197" s="445"/>
    </row>
    <row r="198" spans="1:20">
      <c r="A198" s="279" t="s">
        <v>28</v>
      </c>
      <c r="B198" s="252">
        <v>46031</v>
      </c>
      <c r="C198" s="200" t="s">
        <v>102</v>
      </c>
      <c r="D198" s="200"/>
      <c r="E198" s="200"/>
      <c r="F198" s="200"/>
      <c r="G198" s="218"/>
      <c r="H198" s="219"/>
      <c r="I198" s="221"/>
      <c r="K198" s="217">
        <v>2765001</v>
      </c>
      <c r="L198" s="297" t="s">
        <v>999</v>
      </c>
      <c r="M198" s="171">
        <v>54035614</v>
      </c>
      <c r="N198" s="201"/>
      <c r="O198" s="351">
        <v>5000112695878</v>
      </c>
      <c r="P198" s="165" t="s">
        <v>86</v>
      </c>
      <c r="Q198" s="165" t="s">
        <v>3491</v>
      </c>
      <c r="R198" s="421" t="s">
        <v>3432</v>
      </c>
      <c r="S198" s="420">
        <v>46139</v>
      </c>
      <c r="T198" s="446"/>
    </row>
    <row r="199" spans="1:20">
      <c r="A199" s="279" t="s">
        <v>28</v>
      </c>
      <c r="B199" s="252">
        <v>46031</v>
      </c>
      <c r="C199" s="200" t="s">
        <v>102</v>
      </c>
      <c r="D199" s="200"/>
      <c r="E199" s="200"/>
      <c r="F199" s="200"/>
      <c r="G199" s="218"/>
      <c r="H199" s="219"/>
      <c r="I199" s="221"/>
      <c r="K199" s="217">
        <v>2462649</v>
      </c>
      <c r="L199" s="297" t="s">
        <v>1002</v>
      </c>
      <c r="M199" s="171">
        <v>5000112695182</v>
      </c>
      <c r="N199" s="201"/>
      <c r="O199" s="351">
        <v>5000112695199</v>
      </c>
      <c r="P199" s="165" t="s">
        <v>3490</v>
      </c>
      <c r="Q199" s="165" t="s">
        <v>3491</v>
      </c>
      <c r="R199" s="339" t="s">
        <v>3432</v>
      </c>
      <c r="S199" s="252">
        <v>46049</v>
      </c>
      <c r="T199" s="434"/>
    </row>
    <row r="200" spans="1:20">
      <c r="A200" s="279" t="s">
        <v>28</v>
      </c>
      <c r="B200" s="252">
        <v>46031</v>
      </c>
      <c r="C200" s="200" t="s">
        <v>102</v>
      </c>
      <c r="D200" s="200"/>
      <c r="E200" s="200"/>
      <c r="F200" s="200"/>
      <c r="G200" s="218"/>
      <c r="H200" s="219"/>
      <c r="I200" s="221"/>
      <c r="K200" s="217">
        <v>2757401</v>
      </c>
      <c r="L200" s="297" t="s">
        <v>1003</v>
      </c>
      <c r="M200" s="171">
        <v>5000112673340</v>
      </c>
      <c r="O200" s="351">
        <v>5000112696134</v>
      </c>
      <c r="P200" s="164" t="s">
        <v>48</v>
      </c>
      <c r="Q200" s="165" t="s">
        <v>3491</v>
      </c>
      <c r="R200" s="200" t="s">
        <v>3432</v>
      </c>
      <c r="S200" s="200"/>
      <c r="T200" s="435"/>
    </row>
    <row r="201" spans="1:20">
      <c r="A201" s="279" t="s">
        <v>28</v>
      </c>
      <c r="B201" s="252">
        <v>46031</v>
      </c>
      <c r="C201" s="200" t="s">
        <v>102</v>
      </c>
      <c r="D201" s="200"/>
      <c r="E201" s="200"/>
      <c r="F201" s="200"/>
      <c r="G201" s="218"/>
      <c r="H201" s="219"/>
      <c r="I201" s="221"/>
      <c r="K201" s="217">
        <v>1630204</v>
      </c>
      <c r="L201" s="297" t="s">
        <v>1006</v>
      </c>
      <c r="M201" s="171">
        <v>5000112673463</v>
      </c>
      <c r="O201" s="351">
        <v>5000112696158</v>
      </c>
      <c r="P201" s="165" t="s">
        <v>57</v>
      </c>
      <c r="Q201" s="165" t="s">
        <v>3491</v>
      </c>
      <c r="R201" s="200" t="s">
        <v>3432</v>
      </c>
      <c r="S201" s="200"/>
      <c r="T201" s="435"/>
    </row>
    <row r="202" spans="1:20">
      <c r="A202" s="279" t="s">
        <v>28</v>
      </c>
      <c r="B202" s="252">
        <v>46031</v>
      </c>
      <c r="C202" s="200" t="s">
        <v>102</v>
      </c>
      <c r="D202" s="200"/>
      <c r="E202" s="200"/>
      <c r="F202" s="200"/>
      <c r="G202" s="218"/>
      <c r="H202" s="219"/>
      <c r="I202" s="221"/>
      <c r="K202" s="217">
        <v>1131803</v>
      </c>
      <c r="L202" s="297" t="s">
        <v>1008</v>
      </c>
      <c r="M202" s="171">
        <v>5000112673586</v>
      </c>
      <c r="O202" s="351">
        <v>5000112696141</v>
      </c>
      <c r="P202" s="165" t="s">
        <v>57</v>
      </c>
      <c r="Q202" s="165" t="s">
        <v>3491</v>
      </c>
      <c r="R202" s="200" t="s">
        <v>3432</v>
      </c>
      <c r="S202" s="200"/>
      <c r="T202" s="435"/>
    </row>
    <row r="203" spans="1:20">
      <c r="A203" s="279" t="s">
        <v>28</v>
      </c>
      <c r="B203" s="252">
        <v>46031</v>
      </c>
      <c r="C203" s="200" t="s">
        <v>102</v>
      </c>
      <c r="D203" s="200"/>
      <c r="E203" s="200"/>
      <c r="F203" s="200"/>
      <c r="G203" s="218"/>
      <c r="H203" s="219"/>
      <c r="I203" s="221"/>
      <c r="K203" s="217">
        <v>401092</v>
      </c>
      <c r="L203" s="297" t="s">
        <v>1010</v>
      </c>
      <c r="M203" s="171">
        <v>5000112673371</v>
      </c>
      <c r="N203" s="351">
        <v>5000112696189</v>
      </c>
      <c r="O203" s="351">
        <v>5000112696196</v>
      </c>
      <c r="P203" s="165" t="s">
        <v>57</v>
      </c>
      <c r="Q203" s="165" t="s">
        <v>3491</v>
      </c>
      <c r="R203" s="200" t="s">
        <v>3432</v>
      </c>
      <c r="S203" s="200"/>
      <c r="T203" s="435"/>
    </row>
    <row r="204" spans="1:20">
      <c r="A204" s="279" t="s">
        <v>28</v>
      </c>
      <c r="B204" s="252">
        <v>46031</v>
      </c>
      <c r="C204" s="200" t="s">
        <v>102</v>
      </c>
      <c r="D204" s="200"/>
      <c r="E204" s="200"/>
      <c r="F204" s="200"/>
      <c r="G204" s="218"/>
      <c r="H204" s="219"/>
      <c r="I204" s="221"/>
      <c r="K204" s="217">
        <v>826652</v>
      </c>
      <c r="L204" s="297" t="s">
        <v>1012</v>
      </c>
      <c r="M204" s="171">
        <v>5000112673418</v>
      </c>
      <c r="N204" s="351">
        <v>5000112696202</v>
      </c>
      <c r="O204" s="351">
        <v>5000112696219</v>
      </c>
      <c r="P204" s="165" t="s">
        <v>57</v>
      </c>
      <c r="Q204" s="165" t="s">
        <v>3491</v>
      </c>
      <c r="R204" s="200" t="s">
        <v>3432</v>
      </c>
      <c r="S204" s="200"/>
      <c r="T204" s="435"/>
    </row>
    <row r="205" spans="1:20">
      <c r="A205" s="279" t="s">
        <v>28</v>
      </c>
      <c r="B205" s="252">
        <v>46038</v>
      </c>
      <c r="C205" s="200" t="s">
        <v>102</v>
      </c>
      <c r="D205" s="200"/>
      <c r="E205" s="200"/>
      <c r="F205" s="200"/>
      <c r="G205" s="218"/>
      <c r="H205" s="219"/>
      <c r="I205" s="221"/>
      <c r="K205" s="217">
        <v>256557</v>
      </c>
      <c r="L205" s="297" t="s">
        <v>1015</v>
      </c>
      <c r="M205" s="171">
        <v>54026933</v>
      </c>
      <c r="N205" s="402"/>
      <c r="O205" s="351">
        <v>5000112675078</v>
      </c>
      <c r="P205" s="165" t="s">
        <v>57</v>
      </c>
      <c r="Q205" s="165" t="s">
        <v>3491</v>
      </c>
      <c r="R205" s="200" t="s">
        <v>3432</v>
      </c>
      <c r="S205" s="200"/>
      <c r="T205" s="435"/>
    </row>
    <row r="206" spans="1:20">
      <c r="A206" s="279" t="s">
        <v>28</v>
      </c>
      <c r="B206" s="252">
        <v>46038</v>
      </c>
      <c r="C206" s="200" t="s">
        <v>102</v>
      </c>
      <c r="D206" s="200"/>
      <c r="E206" s="200"/>
      <c r="F206" s="200"/>
      <c r="G206" s="218"/>
      <c r="H206" s="219"/>
      <c r="I206" s="221"/>
      <c r="K206" s="217">
        <v>225263</v>
      </c>
      <c r="L206" s="297" t="s">
        <v>1017</v>
      </c>
      <c r="M206" s="171">
        <v>54026971</v>
      </c>
      <c r="N206" s="402"/>
      <c r="O206" s="351">
        <v>5000112675054</v>
      </c>
      <c r="P206" s="165" t="s">
        <v>57</v>
      </c>
      <c r="Q206" s="165" t="s">
        <v>3491</v>
      </c>
      <c r="R206" s="200" t="s">
        <v>3432</v>
      </c>
      <c r="S206" s="200"/>
      <c r="T206" s="435"/>
    </row>
    <row r="207" spans="1:20">
      <c r="A207" s="279" t="s">
        <v>28</v>
      </c>
      <c r="B207" s="252">
        <v>46080</v>
      </c>
      <c r="C207" s="200" t="s">
        <v>102</v>
      </c>
      <c r="D207" s="200"/>
      <c r="E207" s="200"/>
      <c r="F207" s="200"/>
      <c r="G207" s="218"/>
      <c r="H207" s="219"/>
      <c r="I207" s="221"/>
      <c r="K207" s="217">
        <v>250145</v>
      </c>
      <c r="L207" s="297" t="s">
        <v>1022</v>
      </c>
      <c r="M207" s="171">
        <v>5000112674088</v>
      </c>
      <c r="N207" s="402"/>
      <c r="O207" s="351">
        <v>5000112675337</v>
      </c>
      <c r="P207" s="165" t="s">
        <v>297</v>
      </c>
      <c r="Q207" s="165" t="s">
        <v>3491</v>
      </c>
      <c r="R207" s="200" t="s">
        <v>3432</v>
      </c>
      <c r="S207" s="200"/>
      <c r="T207" s="434" t="s">
        <v>3602</v>
      </c>
    </row>
    <row r="208" spans="1:20">
      <c r="A208" s="279" t="s">
        <v>28</v>
      </c>
      <c r="B208" s="252">
        <v>46114</v>
      </c>
      <c r="C208" s="200" t="s">
        <v>102</v>
      </c>
      <c r="D208" s="200"/>
      <c r="E208" s="200"/>
      <c r="F208" s="200"/>
      <c r="G208" s="218"/>
      <c r="H208" s="219"/>
      <c r="I208" s="221"/>
      <c r="K208" s="217">
        <v>2661818</v>
      </c>
      <c r="L208" s="297" t="s">
        <v>3603</v>
      </c>
      <c r="M208" s="171">
        <v>5000112673586</v>
      </c>
      <c r="N208" s="402"/>
      <c r="O208" s="351">
        <v>5000112676099</v>
      </c>
      <c r="P208" s="165" t="s">
        <v>57</v>
      </c>
      <c r="Q208" s="200" t="s">
        <v>3431</v>
      </c>
      <c r="R208" s="200" t="s">
        <v>3432</v>
      </c>
      <c r="S208" s="200"/>
      <c r="T208" s="435" t="s">
        <v>3604</v>
      </c>
    </row>
    <row r="209" spans="1:20">
      <c r="A209" s="279" t="s">
        <v>28</v>
      </c>
      <c r="B209" s="252">
        <v>46114</v>
      </c>
      <c r="C209" s="200" t="s">
        <v>102</v>
      </c>
      <c r="D209" s="200"/>
      <c r="E209" s="200"/>
      <c r="F209" s="200"/>
      <c r="G209" s="218"/>
      <c r="H209" s="219"/>
      <c r="I209" s="221"/>
      <c r="K209" s="217">
        <v>2661819</v>
      </c>
      <c r="L209" s="297" t="s">
        <v>3605</v>
      </c>
      <c r="M209" s="171">
        <v>5000112673586</v>
      </c>
      <c r="N209" s="402"/>
      <c r="O209" s="351">
        <v>5000112676099</v>
      </c>
      <c r="P209" s="165" t="s">
        <v>57</v>
      </c>
      <c r="Q209" s="200" t="s">
        <v>3431</v>
      </c>
      <c r="R209" s="200" t="s">
        <v>3432</v>
      </c>
      <c r="S209" s="200"/>
      <c r="T209" s="435" t="s">
        <v>3604</v>
      </c>
    </row>
    <row r="210" spans="1:20">
      <c r="A210" s="279" t="s">
        <v>28</v>
      </c>
      <c r="B210" s="252">
        <v>46114</v>
      </c>
      <c r="C210" s="200" t="s">
        <v>102</v>
      </c>
      <c r="D210" s="200"/>
      <c r="E210" s="200"/>
      <c r="F210" s="200"/>
      <c r="G210" s="218"/>
      <c r="H210" s="219"/>
      <c r="I210" s="221"/>
      <c r="K210" s="217">
        <v>2661820</v>
      </c>
      <c r="L210" s="297" t="s">
        <v>3606</v>
      </c>
      <c r="M210" s="171">
        <v>5000112673586</v>
      </c>
      <c r="N210" s="402"/>
      <c r="O210" s="351">
        <v>5000112676099</v>
      </c>
      <c r="P210" s="165" t="s">
        <v>57</v>
      </c>
      <c r="Q210" s="200" t="s">
        <v>3431</v>
      </c>
      <c r="R210" s="200" t="s">
        <v>3432</v>
      </c>
      <c r="S210" s="200"/>
      <c r="T210" s="435" t="s">
        <v>3604</v>
      </c>
    </row>
    <row r="211" spans="1:20">
      <c r="A211" s="279" t="s">
        <v>28</v>
      </c>
      <c r="B211" s="252">
        <v>46114</v>
      </c>
      <c r="C211" s="200" t="s">
        <v>102</v>
      </c>
      <c r="D211" s="200"/>
      <c r="E211" s="200"/>
      <c r="F211" s="200"/>
      <c r="G211" s="218"/>
      <c r="H211" s="219"/>
      <c r="I211" s="221"/>
      <c r="K211" s="217">
        <v>2661821</v>
      </c>
      <c r="L211" s="297" t="s">
        <v>3607</v>
      </c>
      <c r="M211" s="171">
        <v>5000112673586</v>
      </c>
      <c r="N211" s="402"/>
      <c r="O211" s="351">
        <v>5000112676099</v>
      </c>
      <c r="P211" s="165" t="s">
        <v>57</v>
      </c>
      <c r="Q211" s="200" t="s">
        <v>3431</v>
      </c>
      <c r="R211" s="200" t="s">
        <v>3432</v>
      </c>
      <c r="S211" s="200"/>
      <c r="T211" s="435" t="s">
        <v>3604</v>
      </c>
    </row>
    <row r="212" spans="1:20">
      <c r="A212" s="279" t="s">
        <v>28</v>
      </c>
      <c r="B212" s="252">
        <v>46114</v>
      </c>
      <c r="C212" s="200" t="s">
        <v>102</v>
      </c>
      <c r="D212" s="200"/>
      <c r="E212" s="200"/>
      <c r="F212" s="200"/>
      <c r="G212" s="218"/>
      <c r="H212" s="219"/>
      <c r="I212" s="221"/>
      <c r="K212" s="217">
        <v>609298</v>
      </c>
      <c r="L212" s="297" t="s">
        <v>3608</v>
      </c>
      <c r="M212" s="171">
        <v>5000112673463</v>
      </c>
      <c r="N212" s="402"/>
      <c r="O212" s="351">
        <v>5000112676044</v>
      </c>
      <c r="P212" s="165" t="s">
        <v>57</v>
      </c>
      <c r="Q212" s="200" t="s">
        <v>3431</v>
      </c>
      <c r="R212" s="200" t="s">
        <v>3432</v>
      </c>
      <c r="S212" s="200"/>
      <c r="T212" s="435" t="s">
        <v>3604</v>
      </c>
    </row>
    <row r="213" spans="1:20">
      <c r="A213" s="279" t="s">
        <v>28</v>
      </c>
      <c r="B213" s="252">
        <v>46114</v>
      </c>
      <c r="C213" s="200" t="s">
        <v>102</v>
      </c>
      <c r="D213" s="200"/>
      <c r="E213" s="200"/>
      <c r="F213" s="200"/>
      <c r="G213" s="218"/>
      <c r="H213" s="219"/>
      <c r="I213" s="221"/>
      <c r="K213" s="217">
        <v>609299</v>
      </c>
      <c r="L213" s="297" t="s">
        <v>3609</v>
      </c>
      <c r="M213" s="171">
        <v>5000112673463</v>
      </c>
      <c r="N213" s="402"/>
      <c r="O213" s="351">
        <v>5000112676044</v>
      </c>
      <c r="P213" s="165" t="s">
        <v>57</v>
      </c>
      <c r="Q213" s="200" t="s">
        <v>3431</v>
      </c>
      <c r="R213" s="200" t="s">
        <v>3432</v>
      </c>
      <c r="S213" s="200"/>
      <c r="T213" s="435" t="s">
        <v>3604</v>
      </c>
    </row>
    <row r="214" spans="1:20">
      <c r="A214" s="279" t="s">
        <v>28</v>
      </c>
      <c r="B214" s="252">
        <v>46114</v>
      </c>
      <c r="C214" s="200" t="s">
        <v>102</v>
      </c>
      <c r="D214" s="200"/>
      <c r="E214" s="200"/>
      <c r="F214" s="200"/>
      <c r="G214" s="218"/>
      <c r="H214" s="219"/>
      <c r="I214" s="221"/>
      <c r="K214" s="217">
        <v>225057</v>
      </c>
      <c r="L214" s="297" t="s">
        <v>3610</v>
      </c>
      <c r="M214" s="171">
        <v>5000112673463</v>
      </c>
      <c r="N214" s="402"/>
      <c r="O214" s="351">
        <v>5000112676044</v>
      </c>
      <c r="P214" s="165" t="s">
        <v>57</v>
      </c>
      <c r="Q214" s="200" t="s">
        <v>3431</v>
      </c>
      <c r="R214" s="200" t="s">
        <v>3432</v>
      </c>
      <c r="S214" s="200"/>
      <c r="T214" s="435" t="s">
        <v>3604</v>
      </c>
    </row>
    <row r="215" spans="1:20">
      <c r="A215" s="279" t="s">
        <v>28</v>
      </c>
      <c r="B215" s="252">
        <v>46114</v>
      </c>
      <c r="C215" s="200" t="s">
        <v>102</v>
      </c>
      <c r="D215" s="200"/>
      <c r="E215" s="200"/>
      <c r="F215" s="200"/>
      <c r="G215" s="218"/>
      <c r="H215" s="219"/>
      <c r="I215" s="221"/>
      <c r="K215" s="217">
        <v>225058</v>
      </c>
      <c r="L215" s="297" t="s">
        <v>3611</v>
      </c>
      <c r="M215" s="171">
        <v>5000112673463</v>
      </c>
      <c r="N215" s="402"/>
      <c r="O215" s="351">
        <v>5000112676044</v>
      </c>
      <c r="P215" s="165" t="s">
        <v>57</v>
      </c>
      <c r="Q215" s="200" t="s">
        <v>3431</v>
      </c>
      <c r="R215" s="200" t="s">
        <v>3432</v>
      </c>
      <c r="S215" s="200"/>
      <c r="T215" s="435" t="s">
        <v>3604</v>
      </c>
    </row>
    <row r="216" spans="1:20">
      <c r="A216" s="279" t="s">
        <v>28</v>
      </c>
      <c r="B216" s="252">
        <v>46114</v>
      </c>
      <c r="C216" s="200" t="s">
        <v>102</v>
      </c>
      <c r="D216" s="200"/>
      <c r="E216" s="200"/>
      <c r="F216" s="200"/>
      <c r="G216" s="218"/>
      <c r="H216" s="219"/>
      <c r="I216" s="221"/>
      <c r="K216" s="217">
        <v>256560</v>
      </c>
      <c r="L216" s="297" t="s">
        <v>3612</v>
      </c>
      <c r="M216" s="171">
        <v>54026933</v>
      </c>
      <c r="N216" s="402"/>
      <c r="O216" s="351">
        <v>5000112675078</v>
      </c>
      <c r="P216" s="165" t="s">
        <v>57</v>
      </c>
      <c r="Q216" s="200" t="s">
        <v>3431</v>
      </c>
      <c r="R216" s="200" t="s">
        <v>3432</v>
      </c>
      <c r="S216" s="200"/>
      <c r="T216" s="435" t="s">
        <v>3604</v>
      </c>
    </row>
    <row r="217" spans="1:20">
      <c r="A217" s="279" t="s">
        <v>28</v>
      </c>
      <c r="B217" s="252">
        <v>46114</v>
      </c>
      <c r="C217" s="200" t="s">
        <v>102</v>
      </c>
      <c r="D217" s="200"/>
      <c r="E217" s="200"/>
      <c r="F217" s="200"/>
      <c r="G217" s="218"/>
      <c r="H217" s="219"/>
      <c r="I217" s="221"/>
      <c r="K217" s="217">
        <v>225266</v>
      </c>
      <c r="L217" s="297" t="s">
        <v>3613</v>
      </c>
      <c r="M217" s="171">
        <v>54026971</v>
      </c>
      <c r="N217" s="402"/>
      <c r="O217" s="351">
        <v>5000112675054</v>
      </c>
      <c r="P217" s="165" t="s">
        <v>57</v>
      </c>
      <c r="Q217" s="200" t="s">
        <v>3431</v>
      </c>
      <c r="R217" s="200" t="s">
        <v>3432</v>
      </c>
      <c r="S217" s="200"/>
      <c r="T217" s="435" t="s">
        <v>3604</v>
      </c>
    </row>
    <row r="218" spans="1:20">
      <c r="A218" s="279" t="s">
        <v>28</v>
      </c>
      <c r="B218" s="252">
        <v>46114</v>
      </c>
      <c r="C218" s="200" t="s">
        <v>102</v>
      </c>
      <c r="D218" s="200"/>
      <c r="E218" s="200"/>
      <c r="F218" s="200"/>
      <c r="G218" s="218"/>
      <c r="H218" s="219"/>
      <c r="I218" s="221"/>
      <c r="K218" s="217">
        <v>2798301</v>
      </c>
      <c r="L218" s="297" t="s">
        <v>3614</v>
      </c>
      <c r="M218" s="171">
        <v>5000112673371</v>
      </c>
      <c r="N218" s="402"/>
      <c r="O218" s="351">
        <v>5000112675894</v>
      </c>
      <c r="P218" s="165" t="s">
        <v>57</v>
      </c>
      <c r="Q218" s="200" t="s">
        <v>3431</v>
      </c>
      <c r="R218" s="200" t="s">
        <v>3432</v>
      </c>
      <c r="S218" s="200"/>
      <c r="T218" s="435" t="s">
        <v>3604</v>
      </c>
    </row>
    <row r="219" spans="1:20">
      <c r="A219" s="279" t="s">
        <v>28</v>
      </c>
      <c r="B219" s="252">
        <v>46114</v>
      </c>
      <c r="C219" s="200" t="s">
        <v>102</v>
      </c>
      <c r="D219" s="200"/>
      <c r="E219" s="200"/>
      <c r="F219" s="200"/>
      <c r="G219" s="218"/>
      <c r="H219" s="219"/>
      <c r="I219" s="221"/>
      <c r="K219" s="217">
        <v>298173</v>
      </c>
      <c r="L219" s="297" t="s">
        <v>3615</v>
      </c>
      <c r="M219" s="171">
        <v>5000112673418</v>
      </c>
      <c r="N219" s="402"/>
      <c r="O219" s="351">
        <v>5000112675603</v>
      </c>
      <c r="P219" s="165" t="s">
        <v>57</v>
      </c>
      <c r="Q219" s="200" t="s">
        <v>3431</v>
      </c>
      <c r="R219" s="200" t="s">
        <v>3432</v>
      </c>
      <c r="S219" s="200"/>
      <c r="T219" s="435" t="s">
        <v>3604</v>
      </c>
    </row>
    <row r="220" spans="1:20">
      <c r="A220" s="279" t="s">
        <v>28</v>
      </c>
      <c r="B220" s="252">
        <v>46114</v>
      </c>
      <c r="C220" s="200" t="s">
        <v>102</v>
      </c>
      <c r="D220" s="200"/>
      <c r="E220" s="200"/>
      <c r="F220" s="200"/>
      <c r="G220" s="218"/>
      <c r="H220" s="219"/>
      <c r="I220" s="221"/>
      <c r="K220" s="217">
        <v>2798302</v>
      </c>
      <c r="L220" s="297" t="s">
        <v>3616</v>
      </c>
      <c r="M220" s="171">
        <v>5000112673371</v>
      </c>
      <c r="N220" s="402"/>
      <c r="O220" s="351">
        <v>5000112675177</v>
      </c>
      <c r="P220" s="165" t="s">
        <v>57</v>
      </c>
      <c r="Q220" s="200" t="s">
        <v>3431</v>
      </c>
      <c r="R220" s="200" t="s">
        <v>3432</v>
      </c>
      <c r="S220" s="200"/>
      <c r="T220" s="435" t="s">
        <v>3604</v>
      </c>
    </row>
    <row r="221" spans="1:20">
      <c r="A221" s="279" t="s">
        <v>28</v>
      </c>
      <c r="B221" s="252">
        <v>46114</v>
      </c>
      <c r="C221" s="200" t="s">
        <v>102</v>
      </c>
      <c r="D221" s="200"/>
      <c r="E221" s="200"/>
      <c r="F221" s="200"/>
      <c r="G221" s="218"/>
      <c r="H221" s="219"/>
      <c r="I221" s="221"/>
      <c r="K221" s="217">
        <v>298174</v>
      </c>
      <c r="L221" s="297" t="s">
        <v>3617</v>
      </c>
      <c r="M221" s="171">
        <v>5000112673418</v>
      </c>
      <c r="N221" s="402"/>
      <c r="O221" s="351">
        <v>5000112675436</v>
      </c>
      <c r="P221" s="165" t="s">
        <v>57</v>
      </c>
      <c r="Q221" s="200" t="s">
        <v>3431</v>
      </c>
      <c r="R221" s="200" t="s">
        <v>3432</v>
      </c>
      <c r="S221" s="200"/>
      <c r="T221" s="435" t="s">
        <v>3604</v>
      </c>
    </row>
    <row r="222" spans="1:20">
      <c r="A222" s="430" t="s">
        <v>28</v>
      </c>
      <c r="B222" s="252">
        <v>46129</v>
      </c>
      <c r="C222" s="200" t="s">
        <v>102</v>
      </c>
      <c r="D222" s="200"/>
      <c r="E222" s="200"/>
      <c r="F222" s="200"/>
      <c r="G222" s="218"/>
      <c r="H222" s="219"/>
      <c r="I222" s="221"/>
      <c r="K222" s="217">
        <v>2757308</v>
      </c>
      <c r="L222" s="297" t="s">
        <v>1033</v>
      </c>
      <c r="M222" s="171">
        <v>5000112703436</v>
      </c>
      <c r="N222" s="402"/>
      <c r="O222" s="351">
        <v>5000112695229</v>
      </c>
      <c r="P222" s="165" t="s">
        <v>3490</v>
      </c>
      <c r="Q222" s="165" t="s">
        <v>3491</v>
      </c>
      <c r="R222" s="447" t="s">
        <v>3432</v>
      </c>
      <c r="S222" s="252">
        <v>46199</v>
      </c>
      <c r="T222" s="434" t="s">
        <v>3618</v>
      </c>
    </row>
    <row r="223" spans="1:20">
      <c r="A223" s="430" t="s">
        <v>28</v>
      </c>
      <c r="B223" s="252">
        <v>46129</v>
      </c>
      <c r="C223" s="200" t="s">
        <v>102</v>
      </c>
      <c r="D223" s="200"/>
      <c r="E223" s="200"/>
      <c r="F223" s="200"/>
      <c r="G223" s="218"/>
      <c r="H223" s="219"/>
      <c r="I223" s="221"/>
      <c r="K223" s="217">
        <v>2463141</v>
      </c>
      <c r="L223" s="297" t="s">
        <v>1035</v>
      </c>
      <c r="M223" s="171">
        <v>5000112703443</v>
      </c>
      <c r="N223" s="402"/>
      <c r="O223" s="351">
        <v>5000112695205</v>
      </c>
      <c r="P223" s="165" t="s">
        <v>3490</v>
      </c>
      <c r="Q223" s="165" t="s">
        <v>3491</v>
      </c>
      <c r="R223" s="447" t="s">
        <v>3432</v>
      </c>
      <c r="S223" s="252">
        <v>46199</v>
      </c>
      <c r="T223" s="434" t="s">
        <v>3618</v>
      </c>
    </row>
    <row r="224" spans="1:20">
      <c r="A224" s="279" t="s">
        <v>28</v>
      </c>
      <c r="B224" s="252">
        <v>46150</v>
      </c>
      <c r="C224" s="200" t="s">
        <v>102</v>
      </c>
      <c r="D224" s="200"/>
      <c r="E224" s="200"/>
      <c r="F224" s="200"/>
      <c r="G224" s="218"/>
      <c r="H224" s="219"/>
      <c r="I224" s="221"/>
      <c r="K224" s="317">
        <v>279046</v>
      </c>
      <c r="L224" s="297" t="s">
        <v>1039</v>
      </c>
      <c r="M224" s="171">
        <v>5000112674088</v>
      </c>
      <c r="N224" s="402"/>
      <c r="O224" s="351">
        <v>5000112675337</v>
      </c>
      <c r="P224" s="165" t="s">
        <v>297</v>
      </c>
      <c r="Q224" s="200" t="s">
        <v>3491</v>
      </c>
      <c r="R224" s="200" t="s">
        <v>3432</v>
      </c>
      <c r="S224" s="200"/>
      <c r="T224" s="445"/>
    </row>
  </sheetData>
  <autoFilter ref="A1:T224" xr:uid="{9BE8CC90-0DF4-441C-B2EE-3C84D0460FA9}"/>
  <mergeCells count="16">
    <mergeCell ref="G1:G3"/>
    <mergeCell ref="H1:H3"/>
    <mergeCell ref="I1:I3"/>
    <mergeCell ref="A1:A3"/>
    <mergeCell ref="C1:C3"/>
    <mergeCell ref="D1:D3"/>
    <mergeCell ref="E1:E3"/>
    <mergeCell ref="F1:F3"/>
    <mergeCell ref="B1:B3"/>
    <mergeCell ref="O1:O3"/>
    <mergeCell ref="P1:P3"/>
    <mergeCell ref="Q1:Q3"/>
    <mergeCell ref="K1:K3"/>
    <mergeCell ref="L1:L3"/>
    <mergeCell ref="M1:M3"/>
    <mergeCell ref="N1:N3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F1E6-3C36-433D-91E1-4D7A523B5063}">
  <sheetPr>
    <tabColor rgb="FF92D050"/>
  </sheetPr>
  <dimension ref="A1:R457"/>
  <sheetViews>
    <sheetView tabSelected="1" workbookViewId="0">
      <pane ySplit="1" topLeftCell="A420" activePane="bottomLeft" state="frozen"/>
      <selection pane="bottomLeft" activeCell="A457" sqref="A457"/>
    </sheetView>
  </sheetViews>
  <sheetFormatPr defaultColWidth="9.140625" defaultRowHeight="12"/>
  <cols>
    <col min="1" max="2" width="9.140625" style="181"/>
    <col min="3" max="3" width="1.5703125" style="181" customWidth="1"/>
    <col min="4" max="4" width="10.5703125" style="179" bestFit="1" customWidth="1"/>
    <col min="5" max="5" width="7.7109375" style="262" customWidth="1"/>
    <col min="6" max="6" width="39.42578125" style="179" customWidth="1"/>
    <col min="7" max="7" width="12.5703125" style="271" customWidth="1"/>
    <col min="8" max="8" width="1.140625" style="184" customWidth="1"/>
    <col min="9" max="9" width="18" style="261" bestFit="1" customWidth="1"/>
    <col min="10" max="10" width="55.7109375" style="179" bestFit="1" customWidth="1"/>
    <col min="11" max="11" width="17.7109375" style="181" bestFit="1" customWidth="1"/>
    <col min="12" max="12" width="11.7109375" style="179" bestFit="1" customWidth="1"/>
    <col min="13" max="13" width="1.140625" style="179" customWidth="1"/>
    <col min="14" max="14" width="15.7109375" style="181" bestFit="1" customWidth="1"/>
    <col min="15" max="15" width="13.7109375" style="181" bestFit="1" customWidth="1"/>
    <col min="16" max="16" width="14" style="181" bestFit="1" customWidth="1"/>
    <col min="17" max="17" width="24.7109375" style="329" customWidth="1"/>
    <col min="18" max="18" width="11.42578125" style="179" bestFit="1" customWidth="1"/>
    <col min="19" max="16384" width="9.140625" style="179"/>
  </cols>
  <sheetData>
    <row r="1" spans="1:17" ht="12.75" thickBot="1">
      <c r="A1" s="285" t="s">
        <v>3410</v>
      </c>
      <c r="B1" s="220" t="s">
        <v>3411</v>
      </c>
      <c r="C1" s="194"/>
      <c r="D1" s="196" t="e" cm="1">
        <f t="array" aca="1" ref="D1" ca="1">D1:F89Comment</f>
        <v>#NAME?</v>
      </c>
      <c r="E1" s="208" t="s">
        <v>3414</v>
      </c>
      <c r="F1" s="197" t="s">
        <v>3415</v>
      </c>
      <c r="G1" s="198" t="s">
        <v>3619</v>
      </c>
      <c r="H1" s="188"/>
      <c r="I1" s="273" t="s">
        <v>3419</v>
      </c>
      <c r="J1" s="274" t="s">
        <v>3420</v>
      </c>
      <c r="K1" s="189" t="s">
        <v>3620</v>
      </c>
      <c r="L1" s="185" t="s">
        <v>3621</v>
      </c>
      <c r="N1" s="321" t="s">
        <v>3622</v>
      </c>
      <c r="O1" s="275" t="s">
        <v>3623</v>
      </c>
      <c r="P1" s="275" t="s">
        <v>19</v>
      </c>
      <c r="Q1" s="327" t="s">
        <v>20</v>
      </c>
    </row>
    <row r="2" spans="1:17">
      <c r="A2" s="322" t="s">
        <v>28</v>
      </c>
      <c r="B2" s="323">
        <v>45499</v>
      </c>
      <c r="C2" s="193"/>
      <c r="D2" s="186" t="s">
        <v>3624</v>
      </c>
      <c r="E2" s="262">
        <v>1414504</v>
      </c>
      <c r="F2" s="179" t="s">
        <v>3625</v>
      </c>
      <c r="G2" s="190">
        <v>5449000729217</v>
      </c>
      <c r="H2" s="182"/>
      <c r="I2" s="309">
        <v>1414505</v>
      </c>
      <c r="J2" s="310" t="s">
        <v>3626</v>
      </c>
      <c r="K2" s="311">
        <v>5000112467550</v>
      </c>
      <c r="L2" s="312" t="s">
        <v>3627</v>
      </c>
      <c r="N2" s="286" t="s">
        <v>94</v>
      </c>
      <c r="O2" s="181" t="s">
        <v>94</v>
      </c>
      <c r="P2" s="181" t="s">
        <v>36</v>
      </c>
      <c r="Q2" s="326" t="s">
        <v>3628</v>
      </c>
    </row>
    <row r="3" spans="1:17">
      <c r="A3" s="324" t="s">
        <v>28</v>
      </c>
      <c r="B3" s="323">
        <v>45499</v>
      </c>
      <c r="C3" s="193"/>
      <c r="D3" s="186" t="s">
        <v>3629</v>
      </c>
      <c r="E3" s="262">
        <v>2590102</v>
      </c>
      <c r="F3" s="179" t="s">
        <v>1655</v>
      </c>
      <c r="G3" s="190">
        <v>5000112466935</v>
      </c>
      <c r="H3" s="182"/>
      <c r="I3" s="169">
        <v>2590103</v>
      </c>
      <c r="J3" s="297" t="s">
        <v>3630</v>
      </c>
      <c r="K3" s="171">
        <v>5000112468083</v>
      </c>
      <c r="L3" s="313" t="s">
        <v>103</v>
      </c>
      <c r="N3" s="286" t="s">
        <v>94</v>
      </c>
      <c r="O3" s="181" t="s">
        <v>94</v>
      </c>
      <c r="P3" s="181" t="s">
        <v>36</v>
      </c>
      <c r="Q3" s="326" t="s">
        <v>3631</v>
      </c>
    </row>
    <row r="4" spans="1:17">
      <c r="A4" s="324" t="s">
        <v>28</v>
      </c>
      <c r="B4" s="323">
        <v>45499</v>
      </c>
      <c r="C4" s="193"/>
      <c r="D4" s="186" t="s">
        <v>3632</v>
      </c>
      <c r="E4" s="262">
        <v>2590101</v>
      </c>
      <c r="F4" s="179" t="s">
        <v>1651</v>
      </c>
      <c r="G4" s="190">
        <v>5000112466959</v>
      </c>
      <c r="H4" s="182"/>
      <c r="I4" s="169">
        <v>2590104</v>
      </c>
      <c r="J4" s="297" t="s">
        <v>3633</v>
      </c>
      <c r="K4" s="171">
        <v>5000112469134</v>
      </c>
      <c r="L4" s="313" t="s">
        <v>103</v>
      </c>
      <c r="N4" s="286" t="s">
        <v>94</v>
      </c>
      <c r="O4" s="181" t="s">
        <v>94</v>
      </c>
      <c r="P4" s="181" t="s">
        <v>36</v>
      </c>
      <c r="Q4" s="326" t="s">
        <v>3634</v>
      </c>
    </row>
    <row r="5" spans="1:17">
      <c r="A5" s="324" t="s">
        <v>28</v>
      </c>
      <c r="B5" s="323">
        <v>45499</v>
      </c>
      <c r="C5" s="193"/>
      <c r="D5" s="186" t="s">
        <v>3624</v>
      </c>
      <c r="E5" s="262">
        <v>1595207</v>
      </c>
      <c r="F5" s="179" t="s">
        <v>3635</v>
      </c>
      <c r="G5" s="190">
        <v>5449000720191</v>
      </c>
      <c r="H5" s="182"/>
      <c r="I5" s="169">
        <v>1595211</v>
      </c>
      <c r="J5" s="297" t="s">
        <v>3636</v>
      </c>
      <c r="K5" s="171">
        <v>5000112467581</v>
      </c>
      <c r="L5" s="313" t="s">
        <v>3627</v>
      </c>
      <c r="N5" s="286" t="s">
        <v>94</v>
      </c>
      <c r="O5" s="181" t="s">
        <v>94</v>
      </c>
      <c r="P5" s="181" t="s">
        <v>36</v>
      </c>
      <c r="Q5" s="326" t="s">
        <v>3628</v>
      </c>
    </row>
    <row r="6" spans="1:17">
      <c r="A6" s="324" t="s">
        <v>28</v>
      </c>
      <c r="B6" s="323">
        <v>45499</v>
      </c>
      <c r="C6" s="193"/>
      <c r="D6" s="186" t="s">
        <v>3637</v>
      </c>
      <c r="E6" s="262">
        <v>1318206</v>
      </c>
      <c r="F6" s="179" t="s">
        <v>1578</v>
      </c>
      <c r="G6" s="190">
        <v>5449000327314</v>
      </c>
      <c r="H6" s="182"/>
      <c r="I6" s="169">
        <v>1318214</v>
      </c>
      <c r="J6" s="297" t="s">
        <v>3638</v>
      </c>
      <c r="K6" s="171">
        <v>5000112468854</v>
      </c>
      <c r="L6" s="313" t="s">
        <v>492</v>
      </c>
      <c r="N6" s="286" t="s">
        <v>94</v>
      </c>
      <c r="O6" s="181" t="s">
        <v>94</v>
      </c>
      <c r="P6" s="181" t="s">
        <v>36</v>
      </c>
      <c r="Q6" s="326" t="s">
        <v>3634</v>
      </c>
    </row>
    <row r="7" spans="1:17">
      <c r="A7" s="324" t="s">
        <v>28</v>
      </c>
      <c r="B7" s="323">
        <v>45499</v>
      </c>
      <c r="C7" s="193"/>
      <c r="D7" s="186" t="s">
        <v>3629</v>
      </c>
      <c r="E7" s="262">
        <v>1595210</v>
      </c>
      <c r="F7" s="179" t="s">
        <v>1553</v>
      </c>
      <c r="G7" s="190">
        <v>5449000727138</v>
      </c>
      <c r="H7" s="182"/>
      <c r="I7" s="169">
        <v>1595214</v>
      </c>
      <c r="J7" s="297" t="s">
        <v>3639</v>
      </c>
      <c r="K7" s="171">
        <v>5000112468090</v>
      </c>
      <c r="L7" s="313" t="s">
        <v>3627</v>
      </c>
      <c r="N7" s="286" t="s">
        <v>94</v>
      </c>
      <c r="O7" s="181" t="s">
        <v>94</v>
      </c>
      <c r="P7" s="181" t="s">
        <v>36</v>
      </c>
      <c r="Q7" s="326" t="s">
        <v>3631</v>
      </c>
    </row>
    <row r="8" spans="1:17">
      <c r="A8" s="324" t="s">
        <v>28</v>
      </c>
      <c r="B8" s="323">
        <v>45499</v>
      </c>
      <c r="C8" s="193"/>
      <c r="D8" s="186" t="s">
        <v>3629</v>
      </c>
      <c r="E8" s="262">
        <v>1595205</v>
      </c>
      <c r="F8" s="179" t="s">
        <v>1370</v>
      </c>
      <c r="G8" s="190">
        <v>5449000720221</v>
      </c>
      <c r="H8" s="182"/>
      <c r="I8" s="169">
        <v>1595212</v>
      </c>
      <c r="J8" s="297" t="s">
        <v>3640</v>
      </c>
      <c r="K8" s="171">
        <v>5000112468106</v>
      </c>
      <c r="L8" s="313" t="s">
        <v>3641</v>
      </c>
      <c r="N8" s="286" t="s">
        <v>94</v>
      </c>
      <c r="O8" s="181" t="s">
        <v>94</v>
      </c>
      <c r="P8" s="181" t="s">
        <v>36</v>
      </c>
      <c r="Q8" s="326" t="s">
        <v>3631</v>
      </c>
    </row>
    <row r="9" spans="1:17">
      <c r="A9" s="324" t="s">
        <v>28</v>
      </c>
      <c r="B9" s="323">
        <v>45499</v>
      </c>
      <c r="C9" s="193"/>
      <c r="D9" s="186" t="s">
        <v>3637</v>
      </c>
      <c r="E9" s="262">
        <v>135713</v>
      </c>
      <c r="F9" s="179" t="s">
        <v>3642</v>
      </c>
      <c r="G9" s="190">
        <v>5449000669377</v>
      </c>
      <c r="H9" s="182"/>
      <c r="I9" s="314">
        <v>135716</v>
      </c>
      <c r="J9" s="297" t="s">
        <v>3643</v>
      </c>
      <c r="K9" s="299">
        <v>5000112468779</v>
      </c>
      <c r="L9" s="313" t="s">
        <v>3641</v>
      </c>
      <c r="N9" s="286" t="s">
        <v>94</v>
      </c>
      <c r="O9" s="181" t="s">
        <v>94</v>
      </c>
      <c r="P9" s="181" t="s">
        <v>36</v>
      </c>
      <c r="Q9" s="326" t="s">
        <v>3634</v>
      </c>
    </row>
    <row r="10" spans="1:17">
      <c r="A10" s="324" t="s">
        <v>28</v>
      </c>
      <c r="B10" s="323">
        <v>45499</v>
      </c>
      <c r="C10" s="193"/>
      <c r="D10" s="186" t="s">
        <v>3644</v>
      </c>
      <c r="E10" s="262">
        <v>2114006</v>
      </c>
      <c r="F10" s="179" t="s">
        <v>1294</v>
      </c>
      <c r="G10" s="190">
        <v>5449000715685</v>
      </c>
      <c r="H10" s="182"/>
      <c r="I10" s="314">
        <v>2114014</v>
      </c>
      <c r="J10" s="297" t="s">
        <v>3645</v>
      </c>
      <c r="K10" s="299">
        <v>5000112468793</v>
      </c>
      <c r="L10" s="313" t="s">
        <v>69</v>
      </c>
      <c r="N10" s="286" t="s">
        <v>94</v>
      </c>
      <c r="O10" s="181" t="s">
        <v>94</v>
      </c>
      <c r="P10" s="181" t="s">
        <v>36</v>
      </c>
      <c r="Q10" s="326" t="s">
        <v>3634</v>
      </c>
    </row>
    <row r="11" spans="1:17">
      <c r="A11" s="324" t="s">
        <v>28</v>
      </c>
      <c r="B11" s="323">
        <v>45499</v>
      </c>
      <c r="C11" s="193"/>
      <c r="D11" s="186" t="s">
        <v>3637</v>
      </c>
      <c r="E11" s="262">
        <v>1839501</v>
      </c>
      <c r="F11" s="179" t="s">
        <v>3646</v>
      </c>
      <c r="G11" s="190">
        <v>5449000676207</v>
      </c>
      <c r="H11" s="182"/>
      <c r="I11" s="314">
        <v>1839511</v>
      </c>
      <c r="J11" s="297" t="s">
        <v>3647</v>
      </c>
      <c r="K11" s="299">
        <v>5000112469004</v>
      </c>
      <c r="L11" s="313" t="s">
        <v>3641</v>
      </c>
      <c r="N11" s="286" t="s">
        <v>94</v>
      </c>
      <c r="O11" s="181" t="s">
        <v>94</v>
      </c>
      <c r="P11" s="181" t="s">
        <v>36</v>
      </c>
      <c r="Q11" s="326" t="s">
        <v>3634</v>
      </c>
    </row>
    <row r="12" spans="1:17">
      <c r="A12" s="324" t="s">
        <v>28</v>
      </c>
      <c r="B12" s="323">
        <v>45499</v>
      </c>
      <c r="C12" s="193"/>
      <c r="D12" s="186" t="s">
        <v>3637</v>
      </c>
      <c r="E12" s="263">
        <v>2048402</v>
      </c>
      <c r="F12" s="223" t="s">
        <v>1100</v>
      </c>
      <c r="G12" s="205">
        <v>9031100005887</v>
      </c>
      <c r="H12" s="206"/>
      <c r="I12" s="315">
        <v>2048403</v>
      </c>
      <c r="J12" s="297" t="s">
        <v>3648</v>
      </c>
      <c r="K12" s="300" t="str">
        <f>"9031100008741"</f>
        <v>9031100008741</v>
      </c>
      <c r="L12" s="313" t="s">
        <v>41</v>
      </c>
      <c r="N12" s="286" t="s">
        <v>94</v>
      </c>
      <c r="O12" s="181" t="s">
        <v>94</v>
      </c>
      <c r="P12" s="181" t="s">
        <v>36</v>
      </c>
      <c r="Q12" s="326"/>
    </row>
    <row r="13" spans="1:17">
      <c r="A13" s="324" t="s">
        <v>28</v>
      </c>
      <c r="B13" s="323">
        <v>45499</v>
      </c>
      <c r="C13" s="193"/>
      <c r="D13" s="186" t="s">
        <v>3637</v>
      </c>
      <c r="E13" s="262">
        <v>2114005</v>
      </c>
      <c r="F13" s="179" t="s">
        <v>1291</v>
      </c>
      <c r="G13" s="190">
        <v>5449000715678</v>
      </c>
      <c r="H13" s="182"/>
      <c r="I13" s="314">
        <v>2114013</v>
      </c>
      <c r="J13" s="297" t="s">
        <v>3649</v>
      </c>
      <c r="K13" s="299">
        <v>5000112468786</v>
      </c>
      <c r="L13" s="313" t="s">
        <v>69</v>
      </c>
      <c r="N13" s="286" t="s">
        <v>94</v>
      </c>
      <c r="O13" s="181" t="s">
        <v>94</v>
      </c>
      <c r="P13" s="181" t="s">
        <v>36</v>
      </c>
      <c r="Q13" s="326" t="s">
        <v>3634</v>
      </c>
    </row>
    <row r="14" spans="1:17">
      <c r="A14" s="324" t="s">
        <v>28</v>
      </c>
      <c r="B14" s="323">
        <v>45499</v>
      </c>
      <c r="C14" s="193"/>
      <c r="D14" s="186" t="s">
        <v>3629</v>
      </c>
      <c r="E14" s="262">
        <v>1595206</v>
      </c>
      <c r="F14" s="179" t="s">
        <v>1371</v>
      </c>
      <c r="G14" s="190">
        <v>5000112459845</v>
      </c>
      <c r="H14" s="182"/>
      <c r="I14" s="169">
        <v>1595213</v>
      </c>
      <c r="J14" s="297" t="s">
        <v>3650</v>
      </c>
      <c r="K14" s="171">
        <v>5000112468229</v>
      </c>
      <c r="L14" s="313" t="s">
        <v>3641</v>
      </c>
      <c r="N14" s="286" t="s">
        <v>94</v>
      </c>
      <c r="O14" s="181" t="s">
        <v>94</v>
      </c>
      <c r="P14" s="181" t="s">
        <v>36</v>
      </c>
      <c r="Q14" s="326" t="s">
        <v>3631</v>
      </c>
    </row>
    <row r="15" spans="1:17">
      <c r="A15" s="324" t="s">
        <v>28</v>
      </c>
      <c r="B15" s="323">
        <v>45499</v>
      </c>
      <c r="C15" s="193"/>
      <c r="D15" s="186" t="s">
        <v>3629</v>
      </c>
      <c r="E15" s="262">
        <v>2490904</v>
      </c>
      <c r="F15" s="179" t="s">
        <v>1620</v>
      </c>
      <c r="G15" s="190">
        <v>5449000327994</v>
      </c>
      <c r="H15" s="182"/>
      <c r="I15" s="169">
        <v>2490905</v>
      </c>
      <c r="J15" s="297" t="s">
        <v>3651</v>
      </c>
      <c r="K15" s="171">
        <v>5000112468113</v>
      </c>
      <c r="L15" s="313" t="s">
        <v>103</v>
      </c>
      <c r="N15" s="286" t="s">
        <v>94</v>
      </c>
      <c r="O15" s="181" t="s">
        <v>94</v>
      </c>
      <c r="P15" s="181" t="s">
        <v>36</v>
      </c>
      <c r="Q15" s="326" t="s">
        <v>3631</v>
      </c>
    </row>
    <row r="16" spans="1:17">
      <c r="A16" s="324" t="s">
        <v>28</v>
      </c>
      <c r="B16" s="323">
        <v>45499</v>
      </c>
      <c r="C16" s="193"/>
      <c r="D16" s="186" t="s">
        <v>3632</v>
      </c>
      <c r="E16" s="262">
        <v>1647602</v>
      </c>
      <c r="F16" s="179" t="s">
        <v>1349</v>
      </c>
      <c r="G16" s="190">
        <v>5000112445701</v>
      </c>
      <c r="H16" s="182"/>
      <c r="I16" s="288">
        <v>1647603</v>
      </c>
      <c r="J16" s="297" t="s">
        <v>3652</v>
      </c>
      <c r="K16" s="301">
        <v>5000112469400</v>
      </c>
      <c r="L16" s="313" t="s">
        <v>3641</v>
      </c>
      <c r="N16" s="286" t="s">
        <v>94</v>
      </c>
      <c r="O16" s="181" t="s">
        <v>94</v>
      </c>
      <c r="P16" s="181" t="s">
        <v>36</v>
      </c>
      <c r="Q16" s="328" t="s">
        <v>3653</v>
      </c>
    </row>
    <row r="17" spans="1:17">
      <c r="A17" s="324" t="s">
        <v>1014</v>
      </c>
      <c r="B17" s="323">
        <v>45499</v>
      </c>
      <c r="C17" s="193"/>
      <c r="D17" s="186" t="s">
        <v>3644</v>
      </c>
      <c r="E17" s="262">
        <v>2219617</v>
      </c>
      <c r="F17" s="179" t="s">
        <v>1616</v>
      </c>
      <c r="G17" s="191"/>
      <c r="H17" s="180"/>
      <c r="I17" s="288"/>
      <c r="J17" s="293"/>
      <c r="K17" s="302" t="s">
        <v>64</v>
      </c>
      <c r="L17" s="313" t="s">
        <v>64</v>
      </c>
      <c r="N17" s="286"/>
      <c r="Q17" s="326" t="s">
        <v>3654</v>
      </c>
    </row>
    <row r="18" spans="1:17">
      <c r="A18" s="324" t="s">
        <v>28</v>
      </c>
      <c r="B18" s="323">
        <v>45499</v>
      </c>
      <c r="C18" s="193"/>
      <c r="D18" s="186" t="s">
        <v>3644</v>
      </c>
      <c r="E18" s="262">
        <v>2488501</v>
      </c>
      <c r="F18" s="179" t="s">
        <v>1501</v>
      </c>
      <c r="G18" s="190">
        <v>5449000974907</v>
      </c>
      <c r="H18" s="182"/>
      <c r="I18" s="314">
        <v>2488503</v>
      </c>
      <c r="J18" s="297" t="s">
        <v>3655</v>
      </c>
      <c r="K18" s="299">
        <v>5000112468885</v>
      </c>
      <c r="L18" s="313" t="s">
        <v>48</v>
      </c>
      <c r="N18" s="286" t="s">
        <v>94</v>
      </c>
      <c r="O18" s="181" t="s">
        <v>94</v>
      </c>
      <c r="P18" s="181" t="s">
        <v>36</v>
      </c>
      <c r="Q18" s="326" t="s">
        <v>3634</v>
      </c>
    </row>
    <row r="19" spans="1:17">
      <c r="A19" s="324" t="s">
        <v>28</v>
      </c>
      <c r="B19" s="323">
        <v>45499</v>
      </c>
      <c r="C19" s="193"/>
      <c r="D19" s="186" t="s">
        <v>3644</v>
      </c>
      <c r="E19" s="262">
        <v>1880004</v>
      </c>
      <c r="F19" s="179" t="s">
        <v>1499</v>
      </c>
      <c r="G19" s="190">
        <v>5000112461817</v>
      </c>
      <c r="H19" s="182"/>
      <c r="I19" s="314">
        <v>1880006</v>
      </c>
      <c r="J19" s="297" t="s">
        <v>3656</v>
      </c>
      <c r="K19" s="299">
        <v>5000112469172</v>
      </c>
      <c r="L19" s="313" t="s">
        <v>3641</v>
      </c>
      <c r="N19" s="286" t="s">
        <v>94</v>
      </c>
      <c r="O19" s="181" t="s">
        <v>94</v>
      </c>
      <c r="P19" s="181" t="s">
        <v>36</v>
      </c>
      <c r="Q19" s="326" t="s">
        <v>3634</v>
      </c>
    </row>
    <row r="20" spans="1:17">
      <c r="A20" s="324" t="s">
        <v>28</v>
      </c>
      <c r="B20" s="323">
        <v>45499</v>
      </c>
      <c r="C20" s="193"/>
      <c r="D20" s="186" t="s">
        <v>3624</v>
      </c>
      <c r="E20" s="262">
        <v>2522801</v>
      </c>
      <c r="F20" s="179" t="s">
        <v>1557</v>
      </c>
      <c r="G20" s="190">
        <v>5449000727510</v>
      </c>
      <c r="H20" s="182"/>
      <c r="I20" s="315">
        <v>2522802</v>
      </c>
      <c r="J20" s="297" t="s">
        <v>3657</v>
      </c>
      <c r="K20" s="299">
        <v>5000112467598</v>
      </c>
      <c r="L20" s="313" t="s">
        <v>3627</v>
      </c>
      <c r="N20" s="286" t="s">
        <v>94</v>
      </c>
      <c r="O20" s="181" t="s">
        <v>94</v>
      </c>
      <c r="P20" s="181" t="s">
        <v>36</v>
      </c>
      <c r="Q20" s="326" t="s">
        <v>3628</v>
      </c>
    </row>
    <row r="21" spans="1:17">
      <c r="A21" s="324" t="s">
        <v>28</v>
      </c>
      <c r="B21" s="323">
        <v>45499</v>
      </c>
      <c r="C21" s="193"/>
      <c r="D21" s="186" t="s">
        <v>3632</v>
      </c>
      <c r="E21" s="262">
        <v>2490902</v>
      </c>
      <c r="F21" s="179" t="s">
        <v>1503</v>
      </c>
      <c r="G21" s="190">
        <v>5449000974884</v>
      </c>
      <c r="H21" s="182"/>
      <c r="I21" s="314">
        <v>2490906</v>
      </c>
      <c r="J21" s="297" t="s">
        <v>3658</v>
      </c>
      <c r="K21" s="299">
        <v>5000112469110</v>
      </c>
      <c r="L21" s="313" t="s">
        <v>103</v>
      </c>
      <c r="N21" s="286" t="s">
        <v>94</v>
      </c>
      <c r="O21" s="181" t="s">
        <v>94</v>
      </c>
      <c r="P21" s="181" t="s">
        <v>36</v>
      </c>
      <c r="Q21" s="326" t="s">
        <v>3634</v>
      </c>
    </row>
    <row r="22" spans="1:17">
      <c r="A22" s="324" t="s">
        <v>28</v>
      </c>
      <c r="B22" s="323">
        <v>45499</v>
      </c>
      <c r="C22" s="193"/>
      <c r="D22" s="186" t="s">
        <v>3629</v>
      </c>
      <c r="E22" s="262">
        <v>2150502</v>
      </c>
      <c r="F22" s="179" t="s">
        <v>1568</v>
      </c>
      <c r="G22" s="190">
        <v>5449000326133</v>
      </c>
      <c r="H22" s="182"/>
      <c r="I22" s="169">
        <v>2150505</v>
      </c>
      <c r="J22" s="297" t="s">
        <v>3659</v>
      </c>
      <c r="K22" s="171">
        <v>5000112468120</v>
      </c>
      <c r="L22" s="313" t="s">
        <v>48</v>
      </c>
      <c r="N22" s="286" t="s">
        <v>94</v>
      </c>
      <c r="O22" s="181" t="s">
        <v>94</v>
      </c>
      <c r="P22" s="181" t="s">
        <v>36</v>
      </c>
      <c r="Q22" s="326" t="s">
        <v>3631</v>
      </c>
    </row>
    <row r="23" spans="1:17">
      <c r="A23" s="324" t="s">
        <v>28</v>
      </c>
      <c r="B23" s="323">
        <v>45499</v>
      </c>
      <c r="C23" s="193"/>
      <c r="D23" s="186" t="s">
        <v>3629</v>
      </c>
      <c r="E23" s="262">
        <v>1007906</v>
      </c>
      <c r="F23" s="179" t="s">
        <v>1429</v>
      </c>
      <c r="G23" s="190">
        <v>5449000723482</v>
      </c>
      <c r="H23" s="182"/>
      <c r="I23" s="316">
        <v>1007908</v>
      </c>
      <c r="J23" s="297" t="s">
        <v>3660</v>
      </c>
      <c r="K23" s="299">
        <v>5000112467604</v>
      </c>
      <c r="L23" s="313" t="s">
        <v>3641</v>
      </c>
      <c r="N23" s="286" t="s">
        <v>94</v>
      </c>
      <c r="O23" s="181" t="s">
        <v>94</v>
      </c>
      <c r="P23" s="181" t="s">
        <v>36</v>
      </c>
      <c r="Q23" s="326" t="s">
        <v>3628</v>
      </c>
    </row>
    <row r="24" spans="1:17">
      <c r="A24" s="324" t="s">
        <v>28</v>
      </c>
      <c r="B24" s="323">
        <v>45499</v>
      </c>
      <c r="C24" s="193"/>
      <c r="D24" s="186" t="s">
        <v>3629</v>
      </c>
      <c r="E24" s="262">
        <v>2522302</v>
      </c>
      <c r="F24" s="179" t="s">
        <v>1567</v>
      </c>
      <c r="G24" s="190">
        <v>5449000326041</v>
      </c>
      <c r="H24" s="182"/>
      <c r="I24" s="317">
        <v>1010103</v>
      </c>
      <c r="J24" s="297" t="s">
        <v>3661</v>
      </c>
      <c r="K24" s="171">
        <v>5000112468137</v>
      </c>
      <c r="L24" s="313" t="s">
        <v>3641</v>
      </c>
      <c r="N24" s="286" t="s">
        <v>94</v>
      </c>
      <c r="O24" s="181" t="s">
        <v>94</v>
      </c>
      <c r="P24" s="181" t="s">
        <v>36</v>
      </c>
      <c r="Q24" s="326" t="s">
        <v>3631</v>
      </c>
    </row>
    <row r="25" spans="1:17">
      <c r="A25" s="324" t="s">
        <v>28</v>
      </c>
      <c r="B25" s="323">
        <v>45499</v>
      </c>
      <c r="C25" s="193"/>
      <c r="D25" s="186" t="s">
        <v>3629</v>
      </c>
      <c r="E25" s="263">
        <v>910201</v>
      </c>
      <c r="F25" s="223" t="s">
        <v>3662</v>
      </c>
      <c r="G25" s="190">
        <v>9000311051150</v>
      </c>
      <c r="H25" s="182"/>
      <c r="I25" s="316">
        <v>910207</v>
      </c>
      <c r="J25" s="297" t="s">
        <v>3663</v>
      </c>
      <c r="K25" s="303" t="str">
        <f>"9031100008734"</f>
        <v>9031100008734</v>
      </c>
      <c r="L25" s="313" t="s">
        <v>41</v>
      </c>
      <c r="N25" s="286" t="s">
        <v>94</v>
      </c>
      <c r="O25" s="181" t="s">
        <v>94</v>
      </c>
      <c r="P25" s="181" t="s">
        <v>36</v>
      </c>
      <c r="Q25" s="326"/>
    </row>
    <row r="26" spans="1:17">
      <c r="A26" s="324" t="s">
        <v>1014</v>
      </c>
      <c r="B26" s="323">
        <v>45499</v>
      </c>
      <c r="C26" s="193"/>
      <c r="D26" s="186" t="s">
        <v>3637</v>
      </c>
      <c r="E26" s="262">
        <v>2219616</v>
      </c>
      <c r="F26" s="179" t="s">
        <v>1592</v>
      </c>
      <c r="G26" s="191"/>
      <c r="H26" s="180"/>
      <c r="I26" s="318"/>
      <c r="J26" s="293"/>
      <c r="K26" s="302" t="s">
        <v>64</v>
      </c>
      <c r="L26" s="313" t="s">
        <v>64</v>
      </c>
      <c r="N26" s="286"/>
      <c r="Q26" s="326" t="s">
        <v>3654</v>
      </c>
    </row>
    <row r="27" spans="1:17">
      <c r="A27" s="324" t="s">
        <v>28</v>
      </c>
      <c r="B27" s="323">
        <v>45499</v>
      </c>
      <c r="C27" s="193"/>
      <c r="D27" s="186" t="s">
        <v>3664</v>
      </c>
      <c r="E27" s="262">
        <v>2145201</v>
      </c>
      <c r="F27" s="179" t="s">
        <v>1219</v>
      </c>
      <c r="G27" s="190">
        <v>9031100006891</v>
      </c>
      <c r="H27" s="182"/>
      <c r="I27" s="318">
        <v>2145204</v>
      </c>
      <c r="J27" s="297" t="s">
        <v>3665</v>
      </c>
      <c r="K27" s="299" t="str">
        <f>"9031100008659"</f>
        <v>9031100008659</v>
      </c>
      <c r="L27" s="313" t="s">
        <v>41</v>
      </c>
      <c r="N27" s="286" t="s">
        <v>94</v>
      </c>
      <c r="O27" s="181" t="s">
        <v>94</v>
      </c>
      <c r="P27" s="181" t="s">
        <v>36</v>
      </c>
      <c r="Q27" s="326"/>
    </row>
    <row r="28" spans="1:17">
      <c r="A28" s="324" t="s">
        <v>28</v>
      </c>
      <c r="B28" s="323">
        <v>45499</v>
      </c>
      <c r="C28" s="193"/>
      <c r="D28" s="186" t="s">
        <v>3637</v>
      </c>
      <c r="E28" s="262">
        <v>2220001</v>
      </c>
      <c r="F28" s="179" t="s">
        <v>3666</v>
      </c>
      <c r="G28" s="190">
        <v>5000112455151</v>
      </c>
      <c r="H28" s="182"/>
      <c r="I28" s="314">
        <v>2220003</v>
      </c>
      <c r="J28" s="297" t="s">
        <v>3667</v>
      </c>
      <c r="K28" s="299">
        <v>5000112469202</v>
      </c>
      <c r="L28" s="313" t="s">
        <v>3627</v>
      </c>
      <c r="N28" s="286" t="s">
        <v>94</v>
      </c>
      <c r="O28" s="181" t="s">
        <v>94</v>
      </c>
      <c r="P28" s="181" t="s">
        <v>36</v>
      </c>
      <c r="Q28" s="326" t="s">
        <v>3634</v>
      </c>
    </row>
    <row r="29" spans="1:17">
      <c r="A29" s="324" t="s">
        <v>28</v>
      </c>
      <c r="B29" s="323">
        <v>45499</v>
      </c>
      <c r="C29" s="193"/>
      <c r="D29" s="186" t="s">
        <v>3644</v>
      </c>
      <c r="E29" s="262">
        <v>2220002</v>
      </c>
      <c r="F29" s="179" t="s">
        <v>1202</v>
      </c>
      <c r="G29" s="190">
        <v>5000112455144</v>
      </c>
      <c r="H29" s="182"/>
      <c r="I29" s="314">
        <v>2220004</v>
      </c>
      <c r="J29" s="297" t="s">
        <v>3668</v>
      </c>
      <c r="K29" s="299">
        <v>5000112468991</v>
      </c>
      <c r="L29" s="313" t="s">
        <v>3627</v>
      </c>
      <c r="N29" s="286" t="s">
        <v>94</v>
      </c>
      <c r="O29" s="181" t="s">
        <v>94</v>
      </c>
      <c r="P29" s="181" t="s">
        <v>36</v>
      </c>
      <c r="Q29" s="326" t="s">
        <v>3634</v>
      </c>
    </row>
    <row r="30" spans="1:17">
      <c r="A30" s="324" t="s">
        <v>28</v>
      </c>
      <c r="B30" s="323">
        <v>45499</v>
      </c>
      <c r="C30" s="193"/>
      <c r="D30" s="186" t="s">
        <v>3632</v>
      </c>
      <c r="E30" s="262">
        <v>1595209</v>
      </c>
      <c r="F30" s="179" t="s">
        <v>1372</v>
      </c>
      <c r="G30" s="190">
        <v>5449000720238</v>
      </c>
      <c r="H30" s="182"/>
      <c r="I30" s="314">
        <v>1595216</v>
      </c>
      <c r="J30" s="297" t="s">
        <v>3669</v>
      </c>
      <c r="K30" s="299">
        <v>5000112469127</v>
      </c>
      <c r="L30" s="313" t="s">
        <v>3641</v>
      </c>
      <c r="N30" s="286" t="s">
        <v>94</v>
      </c>
      <c r="O30" s="181" t="s">
        <v>94</v>
      </c>
      <c r="P30" s="181" t="s">
        <v>36</v>
      </c>
      <c r="Q30" s="326" t="s">
        <v>3634</v>
      </c>
    </row>
    <row r="31" spans="1:17">
      <c r="A31" s="324" t="s">
        <v>28</v>
      </c>
      <c r="B31" s="323">
        <v>45499</v>
      </c>
      <c r="C31" s="193"/>
      <c r="D31" s="186" t="s">
        <v>3629</v>
      </c>
      <c r="E31" s="263">
        <v>1486103</v>
      </c>
      <c r="F31" s="223" t="s">
        <v>3670</v>
      </c>
      <c r="G31" s="190">
        <v>9031100004057</v>
      </c>
      <c r="H31" s="182"/>
      <c r="I31" s="318">
        <v>1486109</v>
      </c>
      <c r="J31" s="297" t="s">
        <v>3671</v>
      </c>
      <c r="K31" s="303" t="str">
        <f>"9031100008727"</f>
        <v>9031100008727</v>
      </c>
      <c r="L31" s="313" t="s">
        <v>41</v>
      </c>
      <c r="N31" s="286" t="s">
        <v>94</v>
      </c>
      <c r="O31" s="181" t="s">
        <v>94</v>
      </c>
      <c r="P31" s="181" t="s">
        <v>36</v>
      </c>
      <c r="Q31" s="326"/>
    </row>
    <row r="32" spans="1:17">
      <c r="A32" s="324" t="s">
        <v>28</v>
      </c>
      <c r="B32" s="323">
        <v>45499</v>
      </c>
      <c r="C32" s="193"/>
      <c r="D32" s="186" t="s">
        <v>3672</v>
      </c>
      <c r="E32" s="263">
        <v>611811</v>
      </c>
      <c r="F32" s="223" t="s">
        <v>3673</v>
      </c>
      <c r="G32" s="190">
        <v>5000112624052</v>
      </c>
      <c r="H32" s="182"/>
      <c r="I32" s="288">
        <v>611830</v>
      </c>
      <c r="J32" s="297" t="s">
        <v>3674</v>
      </c>
      <c r="K32" s="299">
        <v>5000112677232</v>
      </c>
      <c r="L32" s="313" t="s">
        <v>3641</v>
      </c>
      <c r="N32" s="286" t="s">
        <v>94</v>
      </c>
      <c r="O32" s="181" t="s">
        <v>94</v>
      </c>
      <c r="P32" s="181" t="s">
        <v>36</v>
      </c>
      <c r="Q32" s="326"/>
    </row>
    <row r="33" spans="1:17">
      <c r="A33" s="324" t="s">
        <v>28</v>
      </c>
      <c r="B33" s="323">
        <v>45499</v>
      </c>
      <c r="C33" s="193"/>
      <c r="D33" s="186" t="s">
        <v>3644</v>
      </c>
      <c r="E33" s="262">
        <v>1008906</v>
      </c>
      <c r="F33" s="179" t="s">
        <v>1198</v>
      </c>
      <c r="G33" s="190">
        <v>5000112455175</v>
      </c>
      <c r="H33" s="182"/>
      <c r="I33" s="314">
        <v>1008914</v>
      </c>
      <c r="J33" s="297" t="s">
        <v>3675</v>
      </c>
      <c r="K33" s="299">
        <v>5000112468762</v>
      </c>
      <c r="L33" s="313" t="s">
        <v>3641</v>
      </c>
      <c r="N33" s="286" t="s">
        <v>94</v>
      </c>
      <c r="O33" s="181" t="s">
        <v>94</v>
      </c>
      <c r="P33" s="181" t="s">
        <v>36</v>
      </c>
      <c r="Q33" s="326" t="s">
        <v>3634</v>
      </c>
    </row>
    <row r="34" spans="1:17">
      <c r="A34" s="324" t="s">
        <v>28</v>
      </c>
      <c r="B34" s="323">
        <v>45499</v>
      </c>
      <c r="C34" s="193"/>
      <c r="D34" s="186" t="s">
        <v>3644</v>
      </c>
      <c r="E34" s="262">
        <v>1408005</v>
      </c>
      <c r="F34" s="179" t="s">
        <v>3676</v>
      </c>
      <c r="G34" s="190">
        <v>5449000705181</v>
      </c>
      <c r="H34" s="182"/>
      <c r="I34" s="314">
        <v>1408007</v>
      </c>
      <c r="J34" s="297" t="s">
        <v>3677</v>
      </c>
      <c r="K34" s="299">
        <v>5000112469196</v>
      </c>
      <c r="L34" s="313" t="s">
        <v>3627</v>
      </c>
      <c r="N34" s="286" t="s">
        <v>94</v>
      </c>
      <c r="O34" s="181" t="s">
        <v>94</v>
      </c>
      <c r="P34" s="181" t="s">
        <v>36</v>
      </c>
      <c r="Q34" s="326" t="s">
        <v>3634</v>
      </c>
    </row>
    <row r="35" spans="1:17">
      <c r="A35" s="324" t="s">
        <v>28</v>
      </c>
      <c r="B35" s="323">
        <v>45499</v>
      </c>
      <c r="C35" s="193"/>
      <c r="D35" s="186" t="s">
        <v>3624</v>
      </c>
      <c r="E35" s="262">
        <v>2145203</v>
      </c>
      <c r="F35" s="179" t="s">
        <v>1556</v>
      </c>
      <c r="G35" s="190">
        <v>9031100007751</v>
      </c>
      <c r="H35" s="182"/>
      <c r="I35" s="318">
        <v>1486108</v>
      </c>
      <c r="J35" s="297" t="s">
        <v>3678</v>
      </c>
      <c r="K35" s="299" t="str">
        <f>"9031100008673"</f>
        <v>9031100008673</v>
      </c>
      <c r="L35" s="313" t="s">
        <v>41</v>
      </c>
      <c r="N35" s="286" t="s">
        <v>94</v>
      </c>
      <c r="O35" s="181" t="s">
        <v>94</v>
      </c>
      <c r="P35" s="181" t="s">
        <v>36</v>
      </c>
      <c r="Q35" s="326"/>
    </row>
    <row r="36" spans="1:17">
      <c r="A36" s="324" t="s">
        <v>28</v>
      </c>
      <c r="B36" s="323">
        <v>45499</v>
      </c>
      <c r="C36" s="193"/>
      <c r="D36" s="186" t="s">
        <v>3629</v>
      </c>
      <c r="E36" s="262">
        <v>2411803</v>
      </c>
      <c r="F36" s="179" t="s">
        <v>1435</v>
      </c>
      <c r="G36" s="190">
        <v>5449000724144</v>
      </c>
      <c r="H36" s="182"/>
      <c r="I36" s="169">
        <v>2411806</v>
      </c>
      <c r="J36" s="297" t="s">
        <v>3679</v>
      </c>
      <c r="K36" s="171">
        <v>5000112468144</v>
      </c>
      <c r="L36" s="313" t="s">
        <v>3641</v>
      </c>
      <c r="N36" s="286" t="s">
        <v>94</v>
      </c>
      <c r="O36" s="181" t="s">
        <v>94</v>
      </c>
      <c r="P36" s="181" t="s">
        <v>36</v>
      </c>
      <c r="Q36" s="326" t="s">
        <v>3631</v>
      </c>
    </row>
    <row r="37" spans="1:17">
      <c r="A37" s="324" t="s">
        <v>28</v>
      </c>
      <c r="B37" s="323">
        <v>45499</v>
      </c>
      <c r="C37" s="193"/>
      <c r="D37" s="186" t="s">
        <v>3637</v>
      </c>
      <c r="E37" s="262">
        <v>1936504</v>
      </c>
      <c r="F37" s="179" t="s">
        <v>1386</v>
      </c>
      <c r="G37" s="190">
        <v>5000112459944</v>
      </c>
      <c r="H37" s="182"/>
      <c r="I37" s="314">
        <v>1936505</v>
      </c>
      <c r="J37" s="297" t="s">
        <v>3680</v>
      </c>
      <c r="K37" s="299">
        <v>5000112469189</v>
      </c>
      <c r="L37" s="313" t="s">
        <v>3641</v>
      </c>
      <c r="N37" s="286" t="s">
        <v>94</v>
      </c>
      <c r="O37" s="181" t="s">
        <v>94</v>
      </c>
      <c r="P37" s="181" t="s">
        <v>36</v>
      </c>
      <c r="Q37" s="326" t="s">
        <v>3634</v>
      </c>
    </row>
    <row r="38" spans="1:17">
      <c r="A38" s="324" t="s">
        <v>28</v>
      </c>
      <c r="B38" s="323">
        <v>45499</v>
      </c>
      <c r="C38" s="193"/>
      <c r="D38" s="186" t="s">
        <v>3664</v>
      </c>
      <c r="E38" s="262">
        <v>1993202</v>
      </c>
      <c r="F38" s="179" t="s">
        <v>3681</v>
      </c>
      <c r="G38" s="190">
        <v>9031100005665</v>
      </c>
      <c r="H38" s="182"/>
      <c r="I38" s="318">
        <v>2115003</v>
      </c>
      <c r="J38" s="297" t="s">
        <v>3682</v>
      </c>
      <c r="K38" s="299" t="str">
        <f>"9031100008680"</f>
        <v>9031100008680</v>
      </c>
      <c r="L38" s="313" t="s">
        <v>41</v>
      </c>
      <c r="N38" s="286" t="s">
        <v>94</v>
      </c>
      <c r="O38" s="181" t="s">
        <v>94</v>
      </c>
      <c r="P38" s="181" t="s">
        <v>36</v>
      </c>
      <c r="Q38" s="326"/>
    </row>
    <row r="39" spans="1:17">
      <c r="A39" s="324" t="s">
        <v>28</v>
      </c>
      <c r="B39" s="323">
        <v>45499</v>
      </c>
      <c r="C39" s="193"/>
      <c r="D39" s="186" t="s">
        <v>3624</v>
      </c>
      <c r="E39" s="262">
        <v>1704307</v>
      </c>
      <c r="F39" s="179" t="s">
        <v>1369</v>
      </c>
      <c r="G39" s="190">
        <v>5000112459838</v>
      </c>
      <c r="H39" s="182"/>
      <c r="I39" s="315">
        <v>1704309</v>
      </c>
      <c r="J39" s="297" t="s">
        <v>3683</v>
      </c>
      <c r="K39" s="299">
        <v>5000112467680</v>
      </c>
      <c r="L39" s="313" t="s">
        <v>3627</v>
      </c>
      <c r="N39" s="286" t="s">
        <v>94</v>
      </c>
      <c r="O39" s="181" t="s">
        <v>94</v>
      </c>
      <c r="P39" s="181" t="s">
        <v>36</v>
      </c>
      <c r="Q39" s="326" t="s">
        <v>3628</v>
      </c>
    </row>
    <row r="40" spans="1:17">
      <c r="A40" s="324" t="s">
        <v>28</v>
      </c>
      <c r="B40" s="323">
        <v>45499</v>
      </c>
      <c r="C40" s="193"/>
      <c r="D40" s="186" t="s">
        <v>3629</v>
      </c>
      <c r="E40" s="262">
        <v>1874002</v>
      </c>
      <c r="F40" s="179" t="s">
        <v>1562</v>
      </c>
      <c r="G40" s="190">
        <v>5449000727862</v>
      </c>
      <c r="H40" s="182"/>
      <c r="I40" s="169">
        <v>1874003</v>
      </c>
      <c r="J40" s="297" t="s">
        <v>3684</v>
      </c>
      <c r="K40" s="171">
        <v>5000112468199</v>
      </c>
      <c r="L40" s="313" t="s">
        <v>3627</v>
      </c>
      <c r="N40" s="286" t="s">
        <v>94</v>
      </c>
      <c r="O40" s="181" t="s">
        <v>94</v>
      </c>
      <c r="P40" s="181" t="s">
        <v>36</v>
      </c>
      <c r="Q40" s="326" t="s">
        <v>3631</v>
      </c>
    </row>
    <row r="41" spans="1:17">
      <c r="A41" s="324" t="s">
        <v>28</v>
      </c>
      <c r="B41" s="323">
        <v>45499</v>
      </c>
      <c r="C41" s="193"/>
      <c r="D41" s="186" t="s">
        <v>3637</v>
      </c>
      <c r="E41" s="262">
        <v>1839505</v>
      </c>
      <c r="F41" s="179" t="s">
        <v>1367</v>
      </c>
      <c r="G41" s="190">
        <v>5449000720214</v>
      </c>
      <c r="H41" s="182"/>
      <c r="I41" s="314">
        <v>1839513</v>
      </c>
      <c r="J41" s="297" t="s">
        <v>3685</v>
      </c>
      <c r="K41" s="299">
        <v>5000112468984</v>
      </c>
      <c r="L41" s="313" t="s">
        <v>3627</v>
      </c>
      <c r="N41" s="286" t="s">
        <v>94</v>
      </c>
      <c r="O41" s="181" t="s">
        <v>94</v>
      </c>
      <c r="P41" s="181" t="s">
        <v>36</v>
      </c>
      <c r="Q41" s="326" t="s">
        <v>3634</v>
      </c>
    </row>
    <row r="42" spans="1:17">
      <c r="A42" s="324" t="s">
        <v>28</v>
      </c>
      <c r="B42" s="323">
        <v>45499</v>
      </c>
      <c r="C42" s="193"/>
      <c r="D42" s="186" t="s">
        <v>3637</v>
      </c>
      <c r="E42" s="262">
        <v>2483103</v>
      </c>
      <c r="F42" s="179" t="s">
        <v>1492</v>
      </c>
      <c r="G42" s="190">
        <v>5449000942739</v>
      </c>
      <c r="H42" s="182"/>
      <c r="I42" s="314">
        <v>2483107</v>
      </c>
      <c r="J42" s="297" t="s">
        <v>3686</v>
      </c>
      <c r="K42" s="299">
        <v>5000112468977</v>
      </c>
      <c r="L42" s="313" t="s">
        <v>3641</v>
      </c>
      <c r="N42" s="286" t="s">
        <v>94</v>
      </c>
      <c r="O42" s="181" t="s">
        <v>94</v>
      </c>
      <c r="P42" s="181" t="s">
        <v>36</v>
      </c>
      <c r="Q42" s="326" t="s">
        <v>3634</v>
      </c>
    </row>
    <row r="43" spans="1:17">
      <c r="A43" s="324" t="s">
        <v>28</v>
      </c>
      <c r="B43" s="323">
        <v>45499</v>
      </c>
      <c r="C43" s="193"/>
      <c r="D43" s="186" t="s">
        <v>3644</v>
      </c>
      <c r="E43" s="262">
        <v>2483104</v>
      </c>
      <c r="F43" s="179" t="s">
        <v>1493</v>
      </c>
      <c r="G43" s="190">
        <v>5449000942685</v>
      </c>
      <c r="H43" s="182"/>
      <c r="I43" s="314">
        <v>2483108</v>
      </c>
      <c r="J43" s="297" t="s">
        <v>3687</v>
      </c>
      <c r="K43" s="299">
        <v>5000112468960</v>
      </c>
      <c r="L43" s="313" t="s">
        <v>3641</v>
      </c>
      <c r="N43" s="286" t="s">
        <v>94</v>
      </c>
      <c r="O43" s="181" t="s">
        <v>94</v>
      </c>
      <c r="P43" s="181" t="s">
        <v>36</v>
      </c>
      <c r="Q43" s="326" t="s">
        <v>3634</v>
      </c>
    </row>
    <row r="44" spans="1:17">
      <c r="A44" s="324" t="s">
        <v>28</v>
      </c>
      <c r="B44" s="323">
        <v>45499</v>
      </c>
      <c r="C44" s="193"/>
      <c r="D44" s="186" t="s">
        <v>3664</v>
      </c>
      <c r="E44" s="262">
        <v>1704308</v>
      </c>
      <c r="F44" s="179" t="s">
        <v>1377</v>
      </c>
      <c r="G44" s="190">
        <v>5449000720290</v>
      </c>
      <c r="H44" s="182"/>
      <c r="I44" s="315">
        <v>1704310</v>
      </c>
      <c r="J44" s="297" t="s">
        <v>3688</v>
      </c>
      <c r="K44" s="299">
        <v>5000112467666</v>
      </c>
      <c r="L44" s="313" t="s">
        <v>3627</v>
      </c>
      <c r="N44" s="286" t="s">
        <v>94</v>
      </c>
      <c r="O44" s="181" t="s">
        <v>94</v>
      </c>
      <c r="P44" s="181" t="s">
        <v>36</v>
      </c>
      <c r="Q44" s="326" t="s">
        <v>3628</v>
      </c>
    </row>
    <row r="45" spans="1:17">
      <c r="A45" s="324" t="s">
        <v>28</v>
      </c>
      <c r="B45" s="323">
        <v>45499</v>
      </c>
      <c r="C45" s="193"/>
      <c r="D45" s="186" t="s">
        <v>3637</v>
      </c>
      <c r="E45" s="262">
        <v>2508803</v>
      </c>
      <c r="F45" s="179" t="s">
        <v>1526</v>
      </c>
      <c r="G45" s="190">
        <v>5449000726018</v>
      </c>
      <c r="H45" s="182"/>
      <c r="I45" s="314">
        <v>2508807</v>
      </c>
      <c r="J45" s="297" t="s">
        <v>3689</v>
      </c>
      <c r="K45" s="299">
        <v>5000112469066</v>
      </c>
      <c r="L45" s="313" t="s">
        <v>3641</v>
      </c>
      <c r="N45" s="286" t="s">
        <v>94</v>
      </c>
      <c r="O45" s="181" t="s">
        <v>94</v>
      </c>
      <c r="P45" s="181" t="s">
        <v>36</v>
      </c>
      <c r="Q45" s="326" t="s">
        <v>3634</v>
      </c>
    </row>
    <row r="46" spans="1:17">
      <c r="A46" s="324" t="s">
        <v>28</v>
      </c>
      <c r="B46" s="323">
        <v>45499</v>
      </c>
      <c r="C46" s="193"/>
      <c r="D46" s="186" t="s">
        <v>3644</v>
      </c>
      <c r="E46" s="262">
        <v>2508804</v>
      </c>
      <c r="F46" s="179" t="s">
        <v>1527</v>
      </c>
      <c r="G46" s="190">
        <v>5449000726025</v>
      </c>
      <c r="H46" s="182"/>
      <c r="I46" s="314">
        <v>2508808</v>
      </c>
      <c r="J46" s="297" t="s">
        <v>3690</v>
      </c>
      <c r="K46" s="299">
        <v>5000112469059</v>
      </c>
      <c r="L46" s="313" t="s">
        <v>3641</v>
      </c>
      <c r="N46" s="286" t="s">
        <v>94</v>
      </c>
      <c r="O46" s="181" t="s">
        <v>94</v>
      </c>
      <c r="P46" s="181" t="s">
        <v>36</v>
      </c>
      <c r="Q46" s="326" t="s">
        <v>3634</v>
      </c>
    </row>
    <row r="47" spans="1:17">
      <c r="A47" s="324" t="s">
        <v>28</v>
      </c>
      <c r="B47" s="323">
        <v>45499</v>
      </c>
      <c r="C47" s="193"/>
      <c r="D47" s="186" t="s">
        <v>3637</v>
      </c>
      <c r="E47" s="262">
        <v>2508802</v>
      </c>
      <c r="F47" s="179" t="s">
        <v>1528</v>
      </c>
      <c r="G47" s="190">
        <v>5449000726001</v>
      </c>
      <c r="H47" s="182"/>
      <c r="I47" s="314">
        <v>2508806</v>
      </c>
      <c r="J47" s="297" t="s">
        <v>3691</v>
      </c>
      <c r="K47" s="299">
        <v>5000112469042</v>
      </c>
      <c r="L47" s="313" t="s">
        <v>3641</v>
      </c>
      <c r="N47" s="286" t="s">
        <v>94</v>
      </c>
      <c r="O47" s="181" t="s">
        <v>94</v>
      </c>
      <c r="P47" s="181" t="s">
        <v>36</v>
      </c>
      <c r="Q47" s="326" t="s">
        <v>3634</v>
      </c>
    </row>
    <row r="48" spans="1:17">
      <c r="A48" s="324" t="s">
        <v>28</v>
      </c>
      <c r="B48" s="323">
        <v>45499</v>
      </c>
      <c r="C48" s="193"/>
      <c r="D48" s="186" t="s">
        <v>3644</v>
      </c>
      <c r="E48" s="262">
        <v>2508801</v>
      </c>
      <c r="F48" s="179" t="s">
        <v>3692</v>
      </c>
      <c r="G48" s="190">
        <v>5449000725998</v>
      </c>
      <c r="H48" s="182"/>
      <c r="I48" s="314">
        <v>2508805</v>
      </c>
      <c r="J48" s="297" t="s">
        <v>3693</v>
      </c>
      <c r="K48" s="299">
        <v>5000112469035</v>
      </c>
      <c r="L48" s="313" t="s">
        <v>3641</v>
      </c>
      <c r="N48" s="286" t="s">
        <v>94</v>
      </c>
      <c r="O48" s="181" t="s">
        <v>94</v>
      </c>
      <c r="P48" s="181" t="s">
        <v>36</v>
      </c>
      <c r="Q48" s="326" t="s">
        <v>3634</v>
      </c>
    </row>
    <row r="49" spans="1:17">
      <c r="A49" s="324" t="s">
        <v>28</v>
      </c>
      <c r="B49" s="323">
        <v>45499</v>
      </c>
      <c r="C49" s="193"/>
      <c r="D49" s="186" t="s">
        <v>3644</v>
      </c>
      <c r="E49" s="262">
        <v>2154803</v>
      </c>
      <c r="F49" s="179" t="s">
        <v>1532</v>
      </c>
      <c r="G49" s="190">
        <v>5000112462401</v>
      </c>
      <c r="H49" s="182"/>
      <c r="I49" s="314">
        <v>2154805</v>
      </c>
      <c r="J49" s="297" t="s">
        <v>3694</v>
      </c>
      <c r="K49" s="299">
        <v>5000112469332</v>
      </c>
      <c r="L49" s="313" t="s">
        <v>48</v>
      </c>
      <c r="N49" s="286" t="s">
        <v>94</v>
      </c>
      <c r="O49" s="181" t="s">
        <v>94</v>
      </c>
      <c r="P49" s="181" t="s">
        <v>36</v>
      </c>
      <c r="Q49" s="326" t="s">
        <v>3634</v>
      </c>
    </row>
    <row r="50" spans="1:17">
      <c r="A50" s="324" t="s">
        <v>1014</v>
      </c>
      <c r="B50" s="323">
        <v>45499</v>
      </c>
      <c r="C50" s="193"/>
      <c r="D50" s="186" t="s">
        <v>3644</v>
      </c>
      <c r="E50" s="262">
        <v>2571601</v>
      </c>
      <c r="F50" s="179" t="s">
        <v>1613</v>
      </c>
      <c r="G50" s="190"/>
      <c r="H50" s="182"/>
      <c r="I50" s="288"/>
      <c r="J50" s="293"/>
      <c r="K50" s="302" t="s">
        <v>64</v>
      </c>
      <c r="L50" s="313" t="s">
        <v>64</v>
      </c>
      <c r="N50" s="286"/>
      <c r="Q50" s="326" t="s">
        <v>3654</v>
      </c>
    </row>
    <row r="51" spans="1:17">
      <c r="A51" s="324" t="s">
        <v>1014</v>
      </c>
      <c r="B51" s="323">
        <v>45499</v>
      </c>
      <c r="C51" s="193"/>
      <c r="D51" s="186" t="s">
        <v>3644</v>
      </c>
      <c r="E51" s="262">
        <v>2570701</v>
      </c>
      <c r="F51" s="179" t="s">
        <v>1615</v>
      </c>
      <c r="G51" s="190"/>
      <c r="H51" s="182"/>
      <c r="I51" s="288"/>
      <c r="J51" s="293"/>
      <c r="K51" s="302" t="s">
        <v>64</v>
      </c>
      <c r="L51" s="313" t="s">
        <v>64</v>
      </c>
      <c r="N51" s="286"/>
      <c r="Q51" s="326" t="s">
        <v>3654</v>
      </c>
    </row>
    <row r="52" spans="1:17">
      <c r="A52" s="324" t="s">
        <v>1014</v>
      </c>
      <c r="B52" s="323">
        <v>45499</v>
      </c>
      <c r="C52" s="193"/>
      <c r="D52" s="186" t="s">
        <v>3637</v>
      </c>
      <c r="E52" s="262">
        <v>2564101</v>
      </c>
      <c r="F52" s="179" t="s">
        <v>1590</v>
      </c>
      <c r="G52" s="190"/>
      <c r="H52" s="182"/>
      <c r="I52" s="288"/>
      <c r="J52" s="293"/>
      <c r="K52" s="302" t="s">
        <v>64</v>
      </c>
      <c r="L52" s="313" t="s">
        <v>64</v>
      </c>
      <c r="N52" s="286"/>
      <c r="Q52" s="326" t="s">
        <v>3654</v>
      </c>
    </row>
    <row r="53" spans="1:17">
      <c r="A53" s="324" t="s">
        <v>1014</v>
      </c>
      <c r="B53" s="323">
        <v>45499</v>
      </c>
      <c r="C53" s="193"/>
      <c r="D53" s="187" t="s">
        <v>3664</v>
      </c>
      <c r="E53" s="264">
        <v>2570601</v>
      </c>
      <c r="F53" s="265" t="s">
        <v>1611</v>
      </c>
      <c r="G53" s="192"/>
      <c r="H53" s="183"/>
      <c r="I53" s="288"/>
      <c r="J53" s="293"/>
      <c r="K53" s="302" t="s">
        <v>64</v>
      </c>
      <c r="L53" s="313" t="s">
        <v>64</v>
      </c>
      <c r="N53" s="286"/>
      <c r="Q53" s="326" t="s">
        <v>3654</v>
      </c>
    </row>
    <row r="54" spans="1:17">
      <c r="A54" s="324" t="s">
        <v>28</v>
      </c>
      <c r="B54" s="323">
        <v>45499</v>
      </c>
      <c r="C54" s="193"/>
      <c r="D54" s="186" t="s">
        <v>3624</v>
      </c>
      <c r="E54" s="262">
        <v>369301</v>
      </c>
      <c r="F54" s="179" t="s">
        <v>3695</v>
      </c>
      <c r="G54" s="190">
        <v>5449000949158</v>
      </c>
      <c r="H54" s="182"/>
      <c r="I54" s="316">
        <v>369304</v>
      </c>
      <c r="J54" s="297" t="s">
        <v>3696</v>
      </c>
      <c r="K54" s="299">
        <v>5000112467611</v>
      </c>
      <c r="L54" s="313" t="s">
        <v>3641</v>
      </c>
      <c r="N54" s="286" t="s">
        <v>94</v>
      </c>
      <c r="O54" s="181" t="s">
        <v>94</v>
      </c>
      <c r="P54" s="181" t="s">
        <v>36</v>
      </c>
      <c r="Q54" s="326" t="s">
        <v>3628</v>
      </c>
    </row>
    <row r="55" spans="1:17">
      <c r="A55" s="324" t="s">
        <v>28</v>
      </c>
      <c r="B55" s="323">
        <v>45499</v>
      </c>
      <c r="C55" s="193"/>
      <c r="D55" s="186" t="s">
        <v>3629</v>
      </c>
      <c r="E55" s="262">
        <v>614801</v>
      </c>
      <c r="F55" s="179" t="s">
        <v>3697</v>
      </c>
      <c r="G55" s="190">
        <v>5449000951328</v>
      </c>
      <c r="H55" s="182"/>
      <c r="I55" s="317">
        <v>614803</v>
      </c>
      <c r="J55" s="297" t="s">
        <v>3698</v>
      </c>
      <c r="K55" s="171">
        <v>5000112468205</v>
      </c>
      <c r="L55" s="313" t="s">
        <v>3641</v>
      </c>
      <c r="N55" s="286" t="s">
        <v>94</v>
      </c>
      <c r="O55" s="181" t="s">
        <v>94</v>
      </c>
      <c r="P55" s="181" t="s">
        <v>36</v>
      </c>
      <c r="Q55" s="326" t="s">
        <v>3631</v>
      </c>
    </row>
    <row r="56" spans="1:17">
      <c r="A56" s="324" t="s">
        <v>28</v>
      </c>
      <c r="B56" s="323">
        <v>45499</v>
      </c>
      <c r="C56" s="193"/>
      <c r="D56" s="186" t="s">
        <v>3664</v>
      </c>
      <c r="E56" s="262">
        <v>369303</v>
      </c>
      <c r="F56" s="179" t="s">
        <v>1222</v>
      </c>
      <c r="G56" s="190">
        <v>5449000711052</v>
      </c>
      <c r="H56" s="182"/>
      <c r="I56" s="316">
        <v>369305</v>
      </c>
      <c r="J56" s="297" t="s">
        <v>3699</v>
      </c>
      <c r="K56" s="299">
        <v>5000112467659</v>
      </c>
      <c r="L56" s="313" t="s">
        <v>3641</v>
      </c>
      <c r="N56" s="286" t="s">
        <v>94</v>
      </c>
      <c r="O56" s="181" t="s">
        <v>94</v>
      </c>
      <c r="P56" s="181" t="s">
        <v>36</v>
      </c>
      <c r="Q56" s="326" t="s">
        <v>3628</v>
      </c>
    </row>
    <row r="57" spans="1:17">
      <c r="A57" s="324" t="s">
        <v>28</v>
      </c>
      <c r="B57" s="323">
        <v>45499</v>
      </c>
      <c r="C57" s="193"/>
      <c r="D57" s="186" t="s">
        <v>3644</v>
      </c>
      <c r="E57" s="262">
        <v>2314404</v>
      </c>
      <c r="F57" s="179" t="s">
        <v>1624</v>
      </c>
      <c r="G57" s="190">
        <v>5449000328120</v>
      </c>
      <c r="H57" s="182"/>
      <c r="I57" s="314">
        <v>2314406</v>
      </c>
      <c r="J57" s="297" t="s">
        <v>3700</v>
      </c>
      <c r="K57" s="299">
        <v>5000112469028</v>
      </c>
      <c r="L57" s="313" t="s">
        <v>103</v>
      </c>
      <c r="N57" s="286" t="s">
        <v>94</v>
      </c>
      <c r="O57" s="181" t="s">
        <v>94</v>
      </c>
      <c r="P57" s="181" t="s">
        <v>36</v>
      </c>
      <c r="Q57" s="326" t="s">
        <v>3634</v>
      </c>
    </row>
    <row r="58" spans="1:17">
      <c r="A58" s="324" t="s">
        <v>28</v>
      </c>
      <c r="B58" s="323">
        <v>45499</v>
      </c>
      <c r="C58" s="193"/>
      <c r="D58" s="186" t="s">
        <v>3629</v>
      </c>
      <c r="E58" s="262">
        <v>1522208</v>
      </c>
      <c r="F58" s="179" t="s">
        <v>3701</v>
      </c>
      <c r="G58" s="190">
        <v>5449000705204</v>
      </c>
      <c r="H58" s="182"/>
      <c r="I58" s="169">
        <v>1522218</v>
      </c>
      <c r="J58" s="297" t="s">
        <v>3702</v>
      </c>
      <c r="K58" s="171">
        <v>5000112468212</v>
      </c>
      <c r="L58" s="313" t="s">
        <v>3627</v>
      </c>
      <c r="N58" s="286" t="s">
        <v>94</v>
      </c>
      <c r="O58" s="181" t="s">
        <v>94</v>
      </c>
      <c r="P58" s="181" t="s">
        <v>36</v>
      </c>
      <c r="Q58" s="326" t="s">
        <v>3631</v>
      </c>
    </row>
    <row r="59" spans="1:17">
      <c r="A59" s="324" t="s">
        <v>28</v>
      </c>
      <c r="B59" s="323">
        <v>45499</v>
      </c>
      <c r="C59" s="193"/>
      <c r="D59" s="186" t="s">
        <v>3637</v>
      </c>
      <c r="E59" s="262">
        <v>2274404</v>
      </c>
      <c r="F59" s="179" t="s">
        <v>1486</v>
      </c>
      <c r="G59" s="190">
        <v>5000112461435</v>
      </c>
      <c r="H59" s="182"/>
      <c r="I59" s="314">
        <v>2274407</v>
      </c>
      <c r="J59" s="297" t="s">
        <v>3703</v>
      </c>
      <c r="K59" s="299">
        <v>5000112468687</v>
      </c>
      <c r="L59" s="313" t="s">
        <v>103</v>
      </c>
      <c r="N59" s="286" t="s">
        <v>94</v>
      </c>
      <c r="O59" s="181" t="s">
        <v>94</v>
      </c>
      <c r="P59" s="181" t="s">
        <v>36</v>
      </c>
      <c r="Q59" s="326" t="s">
        <v>3634</v>
      </c>
    </row>
    <row r="60" spans="1:17">
      <c r="A60" s="324" t="s">
        <v>28</v>
      </c>
      <c r="B60" s="323">
        <v>45499</v>
      </c>
      <c r="C60" s="193"/>
      <c r="D60" s="186" t="s">
        <v>3637</v>
      </c>
      <c r="E60" s="262">
        <v>2483302</v>
      </c>
      <c r="F60" s="179" t="s">
        <v>1484</v>
      </c>
      <c r="G60" s="190">
        <v>5449000910844</v>
      </c>
      <c r="H60" s="182"/>
      <c r="I60" s="314">
        <v>2483304</v>
      </c>
      <c r="J60" s="297" t="s">
        <v>3704</v>
      </c>
      <c r="K60" s="299">
        <v>5000112468953</v>
      </c>
      <c r="L60" s="313" t="s">
        <v>3641</v>
      </c>
      <c r="N60" s="286" t="s">
        <v>94</v>
      </c>
      <c r="O60" s="181" t="s">
        <v>94</v>
      </c>
      <c r="P60" s="181" t="s">
        <v>36</v>
      </c>
      <c r="Q60" s="326" t="s">
        <v>3634</v>
      </c>
    </row>
    <row r="61" spans="1:17">
      <c r="A61" s="324" t="s">
        <v>28</v>
      </c>
      <c r="B61" s="323">
        <v>45499</v>
      </c>
      <c r="C61" s="193"/>
      <c r="D61" s="186" t="s">
        <v>3629</v>
      </c>
      <c r="E61" s="262">
        <v>1522213</v>
      </c>
      <c r="F61" s="179" t="s">
        <v>1540</v>
      </c>
      <c r="G61" s="190">
        <v>5449000726322</v>
      </c>
      <c r="H61" s="182"/>
      <c r="I61" s="169">
        <v>1522219</v>
      </c>
      <c r="J61" s="297" t="s">
        <v>3705</v>
      </c>
      <c r="K61" s="171">
        <v>5000112468151</v>
      </c>
      <c r="L61" s="313" t="s">
        <v>3627</v>
      </c>
      <c r="N61" s="286" t="s">
        <v>94</v>
      </c>
      <c r="O61" s="181" t="s">
        <v>94</v>
      </c>
      <c r="P61" s="181" t="s">
        <v>36</v>
      </c>
      <c r="Q61" s="326" t="s">
        <v>3631</v>
      </c>
    </row>
    <row r="62" spans="1:17">
      <c r="A62" s="324" t="s">
        <v>28</v>
      </c>
      <c r="B62" s="323">
        <v>45499</v>
      </c>
      <c r="C62" s="193"/>
      <c r="D62" s="186" t="s">
        <v>3632</v>
      </c>
      <c r="E62" s="262">
        <v>2150503</v>
      </c>
      <c r="F62" s="179" t="s">
        <v>3706</v>
      </c>
      <c r="G62" s="190">
        <v>5449000326126</v>
      </c>
      <c r="H62" s="182"/>
      <c r="I62" s="314">
        <v>2150506</v>
      </c>
      <c r="J62" s="297" t="s">
        <v>3707</v>
      </c>
      <c r="K62" s="299">
        <v>5000112469103</v>
      </c>
      <c r="L62" s="313" t="s">
        <v>48</v>
      </c>
      <c r="N62" s="286" t="s">
        <v>94</v>
      </c>
      <c r="O62" s="181" t="s">
        <v>94</v>
      </c>
      <c r="P62" s="181" t="s">
        <v>36</v>
      </c>
      <c r="Q62" s="326" t="s">
        <v>3634</v>
      </c>
    </row>
    <row r="63" spans="1:17">
      <c r="A63" s="324" t="s">
        <v>28</v>
      </c>
      <c r="B63" s="323">
        <v>45499</v>
      </c>
      <c r="C63" s="193"/>
      <c r="D63" s="186" t="s">
        <v>3664</v>
      </c>
      <c r="E63" s="262">
        <v>2483001</v>
      </c>
      <c r="F63" s="179" t="s">
        <v>3708</v>
      </c>
      <c r="G63" s="190">
        <v>5449000930682</v>
      </c>
      <c r="H63" s="182"/>
      <c r="I63" s="315">
        <v>2483002</v>
      </c>
      <c r="J63" s="297" t="s">
        <v>3709</v>
      </c>
      <c r="K63" s="304">
        <v>5000112467673</v>
      </c>
      <c r="L63" s="313" t="s">
        <v>3627</v>
      </c>
      <c r="N63" s="286" t="s">
        <v>94</v>
      </c>
      <c r="O63" s="181" t="s">
        <v>94</v>
      </c>
      <c r="P63" s="181" t="s">
        <v>36</v>
      </c>
      <c r="Q63" s="326" t="s">
        <v>3628</v>
      </c>
    </row>
    <row r="64" spans="1:17">
      <c r="A64" s="324" t="s">
        <v>28</v>
      </c>
      <c r="B64" s="323">
        <v>45499</v>
      </c>
      <c r="C64" s="193"/>
      <c r="D64" s="186" t="s">
        <v>3624</v>
      </c>
      <c r="E64" s="262">
        <v>1522209</v>
      </c>
      <c r="F64" s="179" t="s">
        <v>3710</v>
      </c>
      <c r="G64" s="190">
        <v>5449000705198</v>
      </c>
      <c r="H64" s="182"/>
      <c r="I64" s="315">
        <v>1522217</v>
      </c>
      <c r="J64" s="297" t="s">
        <v>3711</v>
      </c>
      <c r="K64" s="299">
        <v>5000112467628</v>
      </c>
      <c r="L64" s="313" t="s">
        <v>3627</v>
      </c>
      <c r="N64" s="286" t="s">
        <v>94</v>
      </c>
      <c r="O64" s="181" t="s">
        <v>94</v>
      </c>
      <c r="P64" s="181" t="s">
        <v>36</v>
      </c>
      <c r="Q64" s="326" t="s">
        <v>3628</v>
      </c>
    </row>
    <row r="65" spans="1:17">
      <c r="A65" s="324" t="s">
        <v>28</v>
      </c>
      <c r="B65" s="323">
        <v>45499</v>
      </c>
      <c r="C65" s="193"/>
      <c r="D65" s="186" t="s">
        <v>3644</v>
      </c>
      <c r="E65" s="262">
        <v>1582402</v>
      </c>
      <c r="F65" s="179" t="s">
        <v>3712</v>
      </c>
      <c r="G65" s="190">
        <v>5000112445404</v>
      </c>
      <c r="H65" s="182"/>
      <c r="I65" s="314">
        <v>1582416</v>
      </c>
      <c r="J65" s="297" t="s">
        <v>3713</v>
      </c>
      <c r="K65" s="301">
        <v>5000112469226</v>
      </c>
      <c r="L65" s="313" t="s">
        <v>3641</v>
      </c>
      <c r="N65" s="286" t="s">
        <v>94</v>
      </c>
      <c r="O65" s="181" t="s">
        <v>94</v>
      </c>
      <c r="P65" s="181" t="s">
        <v>36</v>
      </c>
      <c r="Q65" s="326" t="s">
        <v>3634</v>
      </c>
    </row>
    <row r="66" spans="1:17">
      <c r="A66" s="324" t="s">
        <v>28</v>
      </c>
      <c r="B66" s="323">
        <v>45499</v>
      </c>
      <c r="C66" s="193"/>
      <c r="D66" s="186" t="s">
        <v>3672</v>
      </c>
      <c r="E66" s="263">
        <v>230318</v>
      </c>
      <c r="F66" s="223" t="s">
        <v>3714</v>
      </c>
      <c r="G66" s="190">
        <v>5000112552072</v>
      </c>
      <c r="H66" s="182"/>
      <c r="I66" s="288">
        <v>230363</v>
      </c>
      <c r="J66" s="297" t="s">
        <v>3715</v>
      </c>
      <c r="K66" s="299">
        <v>5000112677225</v>
      </c>
      <c r="L66" s="313" t="s">
        <v>3641</v>
      </c>
      <c r="N66" s="286" t="s">
        <v>94</v>
      </c>
      <c r="O66" s="181" t="s">
        <v>94</v>
      </c>
      <c r="P66" s="181" t="s">
        <v>36</v>
      </c>
      <c r="Q66" s="326"/>
    </row>
    <row r="67" spans="1:17">
      <c r="A67" s="324" t="s">
        <v>28</v>
      </c>
      <c r="B67" s="323">
        <v>45499</v>
      </c>
      <c r="C67" s="193"/>
      <c r="D67" s="186" t="s">
        <v>3629</v>
      </c>
      <c r="E67" s="262">
        <v>2137701</v>
      </c>
      <c r="F67" s="179" t="s">
        <v>1162</v>
      </c>
      <c r="G67" s="190">
        <v>5449000704597</v>
      </c>
      <c r="H67" s="182"/>
      <c r="I67" s="169">
        <v>2137705</v>
      </c>
      <c r="J67" s="297" t="s">
        <v>3716</v>
      </c>
      <c r="K67" s="171">
        <v>5000112468168</v>
      </c>
      <c r="L67" s="313" t="s">
        <v>3627</v>
      </c>
      <c r="N67" s="286" t="s">
        <v>94</v>
      </c>
      <c r="O67" s="181" t="s">
        <v>94</v>
      </c>
      <c r="P67" s="181" t="s">
        <v>36</v>
      </c>
      <c r="Q67" s="326" t="s">
        <v>3631</v>
      </c>
    </row>
    <row r="68" spans="1:17">
      <c r="A68" s="324" t="s">
        <v>28</v>
      </c>
      <c r="B68" s="323">
        <v>45499</v>
      </c>
      <c r="C68" s="193"/>
      <c r="D68" s="186" t="s">
        <v>3644</v>
      </c>
      <c r="E68" s="262">
        <v>1582410</v>
      </c>
      <c r="F68" s="179" t="s">
        <v>1348</v>
      </c>
      <c r="G68" s="190">
        <v>5449000719881</v>
      </c>
      <c r="H68" s="182"/>
      <c r="I68" s="314">
        <v>1582417</v>
      </c>
      <c r="J68" s="297" t="s">
        <v>3717</v>
      </c>
      <c r="K68" s="299">
        <v>5000112468755</v>
      </c>
      <c r="L68" s="313" t="s">
        <v>3627</v>
      </c>
      <c r="N68" s="286" t="s">
        <v>94</v>
      </c>
      <c r="O68" s="181" t="s">
        <v>94</v>
      </c>
      <c r="P68" s="181" t="s">
        <v>36</v>
      </c>
      <c r="Q68" s="326" t="s">
        <v>3634</v>
      </c>
    </row>
    <row r="69" spans="1:17">
      <c r="A69" s="324" t="s">
        <v>28</v>
      </c>
      <c r="B69" s="323">
        <v>45499</v>
      </c>
      <c r="C69" s="193"/>
      <c r="D69" s="186" t="s">
        <v>3637</v>
      </c>
      <c r="E69" s="262">
        <v>1582411</v>
      </c>
      <c r="F69" s="179" t="s">
        <v>1347</v>
      </c>
      <c r="G69" s="190">
        <v>5449000719874</v>
      </c>
      <c r="H69" s="182"/>
      <c r="I69" s="314">
        <v>1582418</v>
      </c>
      <c r="J69" s="297" t="s">
        <v>3718</v>
      </c>
      <c r="K69" s="299">
        <v>5000112468748</v>
      </c>
      <c r="L69" s="313" t="s">
        <v>3627</v>
      </c>
      <c r="N69" s="286" t="s">
        <v>94</v>
      </c>
      <c r="O69" s="181" t="s">
        <v>94</v>
      </c>
      <c r="P69" s="181" t="s">
        <v>36</v>
      </c>
      <c r="Q69" s="326" t="s">
        <v>3634</v>
      </c>
    </row>
    <row r="70" spans="1:17">
      <c r="A70" s="324" t="s">
        <v>28</v>
      </c>
      <c r="B70" s="323">
        <v>45499</v>
      </c>
      <c r="C70" s="193"/>
      <c r="D70" s="186" t="s">
        <v>3664</v>
      </c>
      <c r="E70" s="262">
        <v>5103</v>
      </c>
      <c r="F70" s="179" t="s">
        <v>1483</v>
      </c>
      <c r="G70" s="190">
        <v>5449000930699</v>
      </c>
      <c r="H70" s="182"/>
      <c r="I70" s="319">
        <v>5104</v>
      </c>
      <c r="J70" s="297" t="s">
        <v>3719</v>
      </c>
      <c r="K70" s="299">
        <v>5000112467925</v>
      </c>
      <c r="L70" s="313" t="s">
        <v>3641</v>
      </c>
      <c r="N70" s="286" t="s">
        <v>94</v>
      </c>
      <c r="O70" s="181" t="s">
        <v>94</v>
      </c>
      <c r="P70" s="181" t="s">
        <v>36</v>
      </c>
      <c r="Q70" s="326" t="s">
        <v>3628</v>
      </c>
    </row>
    <row r="71" spans="1:17">
      <c r="A71" s="324" t="s">
        <v>28</v>
      </c>
      <c r="B71" s="323">
        <v>45499</v>
      </c>
      <c r="C71" s="193"/>
      <c r="D71" s="186" t="s">
        <v>3629</v>
      </c>
      <c r="E71" s="262">
        <v>2494701</v>
      </c>
      <c r="F71" s="179" t="s">
        <v>1514</v>
      </c>
      <c r="G71" s="190">
        <v>5449000997753</v>
      </c>
      <c r="H71" s="182"/>
      <c r="I71" s="169">
        <v>2494704</v>
      </c>
      <c r="J71" s="294" t="s">
        <v>3720</v>
      </c>
      <c r="K71" s="171">
        <v>5000112468175</v>
      </c>
      <c r="L71" s="313" t="s">
        <v>3627</v>
      </c>
      <c r="N71" s="286" t="s">
        <v>94</v>
      </c>
      <c r="O71" s="181" t="s">
        <v>94</v>
      </c>
      <c r="P71" s="181" t="s">
        <v>36</v>
      </c>
      <c r="Q71" s="326" t="s">
        <v>3631</v>
      </c>
    </row>
    <row r="72" spans="1:17">
      <c r="A72" s="324" t="s">
        <v>28</v>
      </c>
      <c r="B72" s="323">
        <v>45499</v>
      </c>
      <c r="C72" s="193"/>
      <c r="D72" s="186" t="s">
        <v>3637</v>
      </c>
      <c r="E72" s="262">
        <v>1637405</v>
      </c>
      <c r="F72" s="179" t="s">
        <v>3721</v>
      </c>
      <c r="G72" s="190">
        <v>5449000727961</v>
      </c>
      <c r="H72" s="182"/>
      <c r="I72" s="314">
        <v>1637407</v>
      </c>
      <c r="J72" s="297" t="s">
        <v>3722</v>
      </c>
      <c r="K72" s="299">
        <v>5000112468816</v>
      </c>
      <c r="L72" s="313" t="s">
        <v>3641</v>
      </c>
      <c r="N72" s="286" t="s">
        <v>94</v>
      </c>
      <c r="O72" s="181" t="s">
        <v>94</v>
      </c>
      <c r="P72" s="181" t="s">
        <v>36</v>
      </c>
      <c r="Q72" s="326" t="s">
        <v>3634</v>
      </c>
    </row>
    <row r="73" spans="1:17">
      <c r="A73" s="324" t="s">
        <v>28</v>
      </c>
      <c r="B73" s="323">
        <v>45499</v>
      </c>
      <c r="C73" s="193"/>
      <c r="D73" s="186" t="s">
        <v>3644</v>
      </c>
      <c r="E73" s="262">
        <v>1637406</v>
      </c>
      <c r="F73" s="179" t="s">
        <v>3723</v>
      </c>
      <c r="G73" s="190">
        <v>5449000727954</v>
      </c>
      <c r="H73" s="182"/>
      <c r="I73" s="314">
        <v>1637408</v>
      </c>
      <c r="J73" s="297" t="s">
        <v>3724</v>
      </c>
      <c r="K73" s="299">
        <v>5000112468809</v>
      </c>
      <c r="L73" s="313" t="s">
        <v>3641</v>
      </c>
      <c r="N73" s="286" t="s">
        <v>94</v>
      </c>
      <c r="O73" s="181" t="s">
        <v>94</v>
      </c>
      <c r="P73" s="181" t="s">
        <v>36</v>
      </c>
      <c r="Q73" s="326" t="s">
        <v>3634</v>
      </c>
    </row>
    <row r="74" spans="1:17">
      <c r="A74" s="324" t="s">
        <v>28</v>
      </c>
      <c r="B74" s="323">
        <v>45499</v>
      </c>
      <c r="C74" s="193"/>
      <c r="D74" s="186" t="s">
        <v>3624</v>
      </c>
      <c r="E74" s="262">
        <v>2354701</v>
      </c>
      <c r="F74" s="179" t="s">
        <v>1354</v>
      </c>
      <c r="G74" s="190">
        <v>5449000719928</v>
      </c>
      <c r="H74" s="182"/>
      <c r="I74" s="315">
        <v>2354703</v>
      </c>
      <c r="J74" s="297" t="s">
        <v>3725</v>
      </c>
      <c r="K74" s="299">
        <v>5000112467635</v>
      </c>
      <c r="L74" s="313" t="s">
        <v>3627</v>
      </c>
      <c r="N74" s="286" t="s">
        <v>94</v>
      </c>
      <c r="O74" s="181" t="s">
        <v>94</v>
      </c>
      <c r="P74" s="181" t="s">
        <v>36</v>
      </c>
      <c r="Q74" s="326" t="s">
        <v>3628</v>
      </c>
    </row>
    <row r="75" spans="1:17">
      <c r="A75" s="324" t="s">
        <v>28</v>
      </c>
      <c r="B75" s="323">
        <v>45499</v>
      </c>
      <c r="C75" s="193"/>
      <c r="D75" s="186" t="s">
        <v>3664</v>
      </c>
      <c r="E75" s="262">
        <v>2354702</v>
      </c>
      <c r="F75" s="179" t="s">
        <v>3726</v>
      </c>
      <c r="G75" s="190">
        <v>5000112461930</v>
      </c>
      <c r="H75" s="182"/>
      <c r="I75" s="319">
        <v>2354704</v>
      </c>
      <c r="J75" s="297" t="s">
        <v>3727</v>
      </c>
      <c r="K75" s="299">
        <v>5000112467932</v>
      </c>
      <c r="L75" s="313" t="s">
        <v>3627</v>
      </c>
      <c r="N75" s="286" t="s">
        <v>94</v>
      </c>
      <c r="O75" s="181" t="s">
        <v>94</v>
      </c>
      <c r="P75" s="181" t="s">
        <v>36</v>
      </c>
      <c r="Q75" s="326" t="s">
        <v>3628</v>
      </c>
    </row>
    <row r="76" spans="1:17">
      <c r="A76" s="324" t="s">
        <v>28</v>
      </c>
      <c r="B76" s="323">
        <v>45499</v>
      </c>
      <c r="C76" s="193"/>
      <c r="D76" s="186" t="s">
        <v>3664</v>
      </c>
      <c r="E76" s="262">
        <v>2515701</v>
      </c>
      <c r="F76" s="179" t="s">
        <v>1544</v>
      </c>
      <c r="G76" s="190">
        <v>5449000726414</v>
      </c>
      <c r="H76" s="182"/>
      <c r="I76" s="319">
        <v>2515702</v>
      </c>
      <c r="J76" s="297" t="s">
        <v>3728</v>
      </c>
      <c r="K76" s="299">
        <v>5000112467710</v>
      </c>
      <c r="L76" s="313" t="s">
        <v>3641</v>
      </c>
      <c r="N76" s="286" t="s">
        <v>94</v>
      </c>
      <c r="O76" s="181" t="s">
        <v>94</v>
      </c>
      <c r="P76" s="181" t="s">
        <v>36</v>
      </c>
      <c r="Q76" s="326" t="s">
        <v>3628</v>
      </c>
    </row>
    <row r="77" spans="1:17">
      <c r="A77" s="324" t="s">
        <v>28</v>
      </c>
      <c r="B77" s="323">
        <v>45499</v>
      </c>
      <c r="C77" s="193"/>
      <c r="D77" s="186" t="s">
        <v>3644</v>
      </c>
      <c r="E77" s="262">
        <v>1839502</v>
      </c>
      <c r="F77" s="179" t="s">
        <v>3729</v>
      </c>
      <c r="G77" s="190">
        <v>5449000676191</v>
      </c>
      <c r="H77" s="182"/>
      <c r="I77" s="314">
        <v>1839512</v>
      </c>
      <c r="J77" s="297" t="s">
        <v>3730</v>
      </c>
      <c r="K77" s="299">
        <v>5000112468939</v>
      </c>
      <c r="L77" s="313" t="s">
        <v>3641</v>
      </c>
      <c r="N77" s="286" t="s">
        <v>94</v>
      </c>
      <c r="O77" s="181" t="s">
        <v>94</v>
      </c>
      <c r="P77" s="181" t="s">
        <v>36</v>
      </c>
      <c r="Q77" s="326" t="s">
        <v>3634</v>
      </c>
    </row>
    <row r="78" spans="1:17">
      <c r="A78" s="324" t="s">
        <v>28</v>
      </c>
      <c r="B78" s="323">
        <v>45499</v>
      </c>
      <c r="C78" s="193"/>
      <c r="D78" s="186" t="s">
        <v>3664</v>
      </c>
      <c r="E78" s="262">
        <v>2515901</v>
      </c>
      <c r="F78" s="179" t="s">
        <v>1546</v>
      </c>
      <c r="G78" s="190">
        <v>5449000726421</v>
      </c>
      <c r="H78" s="182"/>
      <c r="I78" s="319">
        <v>2515902</v>
      </c>
      <c r="J78" s="297" t="s">
        <v>3731</v>
      </c>
      <c r="K78" s="299">
        <v>5000112467703</v>
      </c>
      <c r="L78" s="313" t="s">
        <v>3641</v>
      </c>
      <c r="N78" s="286" t="s">
        <v>94</v>
      </c>
      <c r="O78" s="181" t="s">
        <v>94</v>
      </c>
      <c r="P78" s="181" t="s">
        <v>36</v>
      </c>
      <c r="Q78" s="326" t="s">
        <v>3628</v>
      </c>
    </row>
    <row r="79" spans="1:17">
      <c r="A79" s="324" t="s">
        <v>28</v>
      </c>
      <c r="B79" s="323">
        <v>45499</v>
      </c>
      <c r="C79" s="193"/>
      <c r="D79" s="186" t="s">
        <v>3664</v>
      </c>
      <c r="E79" s="262">
        <v>2515801</v>
      </c>
      <c r="F79" s="179" t="s">
        <v>1545</v>
      </c>
      <c r="G79" s="190">
        <v>5449000726438</v>
      </c>
      <c r="H79" s="182"/>
      <c r="I79" s="319">
        <v>2515802</v>
      </c>
      <c r="J79" s="297" t="s">
        <v>3732</v>
      </c>
      <c r="K79" s="299">
        <v>5000112467727</v>
      </c>
      <c r="L79" s="313" t="s">
        <v>48</v>
      </c>
      <c r="N79" s="286" t="s">
        <v>94</v>
      </c>
      <c r="O79" s="181" t="s">
        <v>94</v>
      </c>
      <c r="P79" s="181" t="s">
        <v>36</v>
      </c>
      <c r="Q79" s="326" t="s">
        <v>3628</v>
      </c>
    </row>
    <row r="80" spans="1:17">
      <c r="A80" s="324" t="s">
        <v>28</v>
      </c>
      <c r="B80" s="323">
        <v>45499</v>
      </c>
      <c r="C80" s="193"/>
      <c r="D80" s="186" t="s">
        <v>3637</v>
      </c>
      <c r="E80" s="262">
        <v>135715</v>
      </c>
      <c r="F80" s="179" t="s">
        <v>1376</v>
      </c>
      <c r="G80" s="190">
        <v>5449000314239</v>
      </c>
      <c r="H80" s="182"/>
      <c r="I80" s="314">
        <v>135717</v>
      </c>
      <c r="J80" s="297" t="s">
        <v>3733</v>
      </c>
      <c r="K80" s="299">
        <v>5000112468731</v>
      </c>
      <c r="L80" s="313" t="s">
        <v>3627</v>
      </c>
      <c r="N80" s="286" t="s">
        <v>94</v>
      </c>
      <c r="O80" s="181" t="s">
        <v>94</v>
      </c>
      <c r="P80" s="181" t="s">
        <v>36</v>
      </c>
      <c r="Q80" s="326" t="s">
        <v>3634</v>
      </c>
    </row>
    <row r="81" spans="1:17">
      <c r="A81" s="324" t="s">
        <v>28</v>
      </c>
      <c r="B81" s="323">
        <v>45499</v>
      </c>
      <c r="C81" s="193"/>
      <c r="D81" s="186" t="s">
        <v>3664</v>
      </c>
      <c r="E81" s="262">
        <v>151902</v>
      </c>
      <c r="F81" s="179" t="s">
        <v>1631</v>
      </c>
      <c r="G81" s="190">
        <v>5449000328403</v>
      </c>
      <c r="H81" s="182"/>
      <c r="I81" s="319">
        <v>151903</v>
      </c>
      <c r="J81" s="297" t="s">
        <v>3734</v>
      </c>
      <c r="K81" s="299">
        <v>5000112467949</v>
      </c>
      <c r="L81" s="313" t="s">
        <v>3641</v>
      </c>
      <c r="N81" s="286" t="s">
        <v>94</v>
      </c>
      <c r="O81" s="181" t="s">
        <v>94</v>
      </c>
      <c r="P81" s="181" t="s">
        <v>36</v>
      </c>
      <c r="Q81" s="326" t="s">
        <v>3628</v>
      </c>
    </row>
    <row r="82" spans="1:17">
      <c r="A82" s="324" t="s">
        <v>28</v>
      </c>
      <c r="B82" s="323">
        <v>45499</v>
      </c>
      <c r="C82" s="193"/>
      <c r="D82" s="186" t="s">
        <v>3637</v>
      </c>
      <c r="E82" s="262">
        <v>2524805</v>
      </c>
      <c r="F82" s="179" t="s">
        <v>1570</v>
      </c>
      <c r="G82" s="190">
        <v>5449000326157</v>
      </c>
      <c r="H82" s="182"/>
      <c r="I82" s="314">
        <v>2524807</v>
      </c>
      <c r="J82" s="297" t="s">
        <v>3735</v>
      </c>
      <c r="K82" s="299">
        <v>5000112468724</v>
      </c>
      <c r="L82" s="313" t="s">
        <v>3627</v>
      </c>
      <c r="N82" s="286" t="s">
        <v>94</v>
      </c>
      <c r="O82" s="181" t="s">
        <v>94</v>
      </c>
      <c r="P82" s="181" t="s">
        <v>36</v>
      </c>
      <c r="Q82" s="326" t="s">
        <v>3634</v>
      </c>
    </row>
    <row r="83" spans="1:17">
      <c r="A83" s="324" t="s">
        <v>28</v>
      </c>
      <c r="B83" s="323">
        <v>45499</v>
      </c>
      <c r="C83" s="193"/>
      <c r="D83" s="186" t="s">
        <v>3644</v>
      </c>
      <c r="E83" s="262">
        <v>1839510</v>
      </c>
      <c r="F83" s="179" t="s">
        <v>1573</v>
      </c>
      <c r="G83" s="190">
        <v>5449000326782</v>
      </c>
      <c r="H83" s="182"/>
      <c r="I83" s="314">
        <v>1839515</v>
      </c>
      <c r="J83" s="297" t="s">
        <v>3736</v>
      </c>
      <c r="K83" s="299">
        <v>5000112468922</v>
      </c>
      <c r="L83" s="313" t="s">
        <v>3627</v>
      </c>
      <c r="N83" s="286" t="s">
        <v>94</v>
      </c>
      <c r="O83" s="181" t="s">
        <v>94</v>
      </c>
      <c r="P83" s="181" t="s">
        <v>36</v>
      </c>
      <c r="Q83" s="326" t="s">
        <v>3634</v>
      </c>
    </row>
    <row r="84" spans="1:17">
      <c r="A84" s="324" t="s">
        <v>1014</v>
      </c>
      <c r="B84" s="323">
        <v>45499</v>
      </c>
      <c r="C84" s="193"/>
      <c r="D84" s="186" t="s">
        <v>3629</v>
      </c>
      <c r="E84" s="262">
        <v>2306604</v>
      </c>
      <c r="F84" s="179" t="s">
        <v>1636</v>
      </c>
      <c r="G84" s="190"/>
      <c r="H84" s="182"/>
      <c r="I84" s="288"/>
      <c r="J84" s="293"/>
      <c r="K84" s="305" t="s">
        <v>64</v>
      </c>
      <c r="L84" s="313" t="s">
        <v>64</v>
      </c>
      <c r="N84" s="286"/>
      <c r="Q84" s="326" t="s">
        <v>3654</v>
      </c>
    </row>
    <row r="85" spans="1:17">
      <c r="A85" s="324" t="s">
        <v>28</v>
      </c>
      <c r="B85" s="323">
        <v>45499</v>
      </c>
      <c r="C85" s="193"/>
      <c r="D85" s="186" t="s">
        <v>3637</v>
      </c>
      <c r="E85" s="262">
        <v>1839509</v>
      </c>
      <c r="F85" s="179" t="s">
        <v>1572</v>
      </c>
      <c r="G85" s="190">
        <v>5449000326799</v>
      </c>
      <c r="H85" s="182"/>
      <c r="I85" s="314">
        <v>1839514</v>
      </c>
      <c r="J85" s="297" t="s">
        <v>3737</v>
      </c>
      <c r="K85" s="299">
        <v>5000112468915</v>
      </c>
      <c r="L85" s="313" t="s">
        <v>3627</v>
      </c>
      <c r="N85" s="286" t="s">
        <v>94</v>
      </c>
      <c r="O85" s="181" t="s">
        <v>94</v>
      </c>
      <c r="P85" s="181" t="s">
        <v>36</v>
      </c>
      <c r="Q85" s="326" t="s">
        <v>3634</v>
      </c>
    </row>
    <row r="86" spans="1:17">
      <c r="A86" s="324" t="s">
        <v>28</v>
      </c>
      <c r="B86" s="323">
        <v>45499</v>
      </c>
      <c r="C86" s="193"/>
      <c r="D86" s="186" t="s">
        <v>3637</v>
      </c>
      <c r="E86" s="262">
        <v>1932003</v>
      </c>
      <c r="F86" s="179" t="s">
        <v>1646</v>
      </c>
      <c r="G86" s="190">
        <v>5000112466881</v>
      </c>
      <c r="H86" s="182"/>
      <c r="I86" s="314">
        <v>1932005</v>
      </c>
      <c r="J86" s="297" t="s">
        <v>3738</v>
      </c>
      <c r="K86" s="299">
        <v>5000112469356</v>
      </c>
      <c r="L86" s="313" t="s">
        <v>3627</v>
      </c>
      <c r="N86" s="286" t="s">
        <v>94</v>
      </c>
      <c r="O86" s="181" t="s">
        <v>94</v>
      </c>
      <c r="P86" s="181" t="s">
        <v>36</v>
      </c>
      <c r="Q86" s="326" t="s">
        <v>3634</v>
      </c>
    </row>
    <row r="87" spans="1:17">
      <c r="A87" s="324" t="s">
        <v>28</v>
      </c>
      <c r="B87" s="323">
        <v>45499</v>
      </c>
      <c r="C87" s="193"/>
      <c r="D87" s="186" t="s">
        <v>3644</v>
      </c>
      <c r="E87" s="262">
        <v>1932004</v>
      </c>
      <c r="F87" s="179" t="s">
        <v>1647</v>
      </c>
      <c r="G87" s="190">
        <v>5000112466898</v>
      </c>
      <c r="H87" s="182"/>
      <c r="I87" s="314">
        <v>1932006</v>
      </c>
      <c r="J87" s="297" t="s">
        <v>3739</v>
      </c>
      <c r="K87" s="299">
        <v>5000112469363</v>
      </c>
      <c r="L87" s="313" t="s">
        <v>3627</v>
      </c>
      <c r="N87" s="286" t="s">
        <v>94</v>
      </c>
      <c r="O87" s="181" t="s">
        <v>94</v>
      </c>
      <c r="P87" s="181" t="s">
        <v>36</v>
      </c>
      <c r="Q87" s="326" t="s">
        <v>3634</v>
      </c>
    </row>
    <row r="88" spans="1:17">
      <c r="A88" s="324" t="s">
        <v>28</v>
      </c>
      <c r="B88" s="323">
        <v>45499</v>
      </c>
      <c r="C88" s="193"/>
      <c r="D88" s="186" t="s">
        <v>3632</v>
      </c>
      <c r="E88" s="262">
        <v>2490903</v>
      </c>
      <c r="F88" s="179" t="s">
        <v>1619</v>
      </c>
      <c r="G88" s="190">
        <v>5449000328007</v>
      </c>
      <c r="H88" s="182"/>
      <c r="I88" s="314">
        <v>2490907</v>
      </c>
      <c r="J88" s="297" t="s">
        <v>3740</v>
      </c>
      <c r="K88" s="299">
        <v>5000112469097</v>
      </c>
      <c r="L88" s="313" t="s">
        <v>103</v>
      </c>
      <c r="N88" s="286" t="s">
        <v>94</v>
      </c>
      <c r="O88" s="181" t="s">
        <v>94</v>
      </c>
      <c r="P88" s="181" t="s">
        <v>36</v>
      </c>
      <c r="Q88" s="326" t="s">
        <v>3634</v>
      </c>
    </row>
    <row r="89" spans="1:17">
      <c r="A89" s="324" t="s">
        <v>28</v>
      </c>
      <c r="B89" s="323">
        <v>45499</v>
      </c>
      <c r="C89" s="193"/>
      <c r="D89" s="186" t="s">
        <v>3637</v>
      </c>
      <c r="E89" s="263">
        <v>2563001</v>
      </c>
      <c r="F89" s="223" t="s">
        <v>1588</v>
      </c>
      <c r="G89" s="190">
        <v>9031100007829</v>
      </c>
      <c r="H89" s="182"/>
      <c r="I89" s="288">
        <v>2609301</v>
      </c>
      <c r="J89" s="297" t="s">
        <v>3741</v>
      </c>
      <c r="K89" s="300" t="str">
        <f>"9031100008765"</f>
        <v>9031100008765</v>
      </c>
      <c r="L89" s="313" t="s">
        <v>41</v>
      </c>
      <c r="N89" s="286" t="s">
        <v>94</v>
      </c>
      <c r="O89" s="181" t="s">
        <v>94</v>
      </c>
      <c r="P89" s="181" t="s">
        <v>36</v>
      </c>
      <c r="Q89" s="326"/>
    </row>
    <row r="90" spans="1:17">
      <c r="A90" s="324" t="s">
        <v>28</v>
      </c>
      <c r="B90" s="323">
        <v>45499</v>
      </c>
      <c r="C90" s="193"/>
      <c r="D90" s="186" t="s">
        <v>3637</v>
      </c>
      <c r="E90" s="262">
        <v>1318208</v>
      </c>
      <c r="F90" s="179" t="s">
        <v>1580</v>
      </c>
      <c r="G90" s="190">
        <v>5449000327284</v>
      </c>
      <c r="H90" s="182"/>
      <c r="I90" s="314">
        <v>1318215</v>
      </c>
      <c r="J90" s="297" t="s">
        <v>3742</v>
      </c>
      <c r="K90" s="299">
        <v>5000112468847</v>
      </c>
      <c r="L90" s="313" t="s">
        <v>673</v>
      </c>
      <c r="N90" s="286" t="s">
        <v>94</v>
      </c>
      <c r="O90" s="181" t="s">
        <v>94</v>
      </c>
      <c r="P90" s="181" t="s">
        <v>36</v>
      </c>
      <c r="Q90" s="326" t="s">
        <v>3634</v>
      </c>
    </row>
    <row r="91" spans="1:17">
      <c r="A91" s="324" t="s">
        <v>1014</v>
      </c>
      <c r="B91" s="323">
        <v>45499</v>
      </c>
      <c r="C91" s="193"/>
      <c r="D91" s="186" t="s">
        <v>3644</v>
      </c>
      <c r="E91" s="262">
        <v>2563702</v>
      </c>
      <c r="F91" s="179" t="s">
        <v>1617</v>
      </c>
      <c r="G91" s="190"/>
      <c r="H91" s="182"/>
      <c r="I91" s="288"/>
      <c r="J91" s="293"/>
      <c r="K91" s="302" t="s">
        <v>64</v>
      </c>
      <c r="L91" s="313" t="s">
        <v>64</v>
      </c>
      <c r="N91" s="286"/>
      <c r="Q91" s="326" t="s">
        <v>3654</v>
      </c>
    </row>
    <row r="92" spans="1:17">
      <c r="A92" s="324" t="s">
        <v>28</v>
      </c>
      <c r="B92" s="323">
        <v>45499</v>
      </c>
      <c r="C92" s="193"/>
      <c r="D92" s="186" t="s">
        <v>3664</v>
      </c>
      <c r="E92" s="262">
        <v>1318207</v>
      </c>
      <c r="F92" s="179" t="s">
        <v>1579</v>
      </c>
      <c r="G92" s="190">
        <v>5449000327307</v>
      </c>
      <c r="H92" s="182"/>
      <c r="I92" s="319">
        <v>1318211</v>
      </c>
      <c r="J92" s="297" t="s">
        <v>3743</v>
      </c>
      <c r="K92" s="299">
        <v>5000112467956</v>
      </c>
      <c r="L92" s="313" t="s">
        <v>492</v>
      </c>
      <c r="N92" s="286" t="s">
        <v>94</v>
      </c>
      <c r="O92" s="181" t="s">
        <v>94</v>
      </c>
      <c r="P92" s="181" t="s">
        <v>36</v>
      </c>
      <c r="Q92" s="326" t="s">
        <v>3628</v>
      </c>
    </row>
    <row r="93" spans="1:17">
      <c r="A93" s="324" t="s">
        <v>28</v>
      </c>
      <c r="B93" s="323">
        <v>45499</v>
      </c>
      <c r="C93" s="193"/>
      <c r="D93" s="186" t="s">
        <v>3624</v>
      </c>
      <c r="E93" s="262">
        <v>1318209</v>
      </c>
      <c r="F93" s="179" t="s">
        <v>3744</v>
      </c>
      <c r="G93" s="190">
        <v>5449000327291</v>
      </c>
      <c r="H93" s="182"/>
      <c r="I93" s="288">
        <v>1318210</v>
      </c>
      <c r="J93" s="297" t="s">
        <v>3745</v>
      </c>
      <c r="K93" s="299">
        <v>5000112467642</v>
      </c>
      <c r="L93" s="313" t="s">
        <v>492</v>
      </c>
      <c r="N93" s="286" t="s">
        <v>94</v>
      </c>
      <c r="O93" s="181" t="s">
        <v>94</v>
      </c>
      <c r="P93" s="181" t="s">
        <v>36</v>
      </c>
      <c r="Q93" s="326" t="s">
        <v>3628</v>
      </c>
    </row>
    <row r="94" spans="1:17">
      <c r="A94" s="324" t="s">
        <v>28</v>
      </c>
      <c r="B94" s="323">
        <v>45499</v>
      </c>
      <c r="C94" s="193"/>
      <c r="D94" s="186" t="s">
        <v>3637</v>
      </c>
      <c r="E94" s="262">
        <v>1582503</v>
      </c>
      <c r="F94" s="179" t="s">
        <v>1574</v>
      </c>
      <c r="G94" s="190">
        <v>5449000327246</v>
      </c>
      <c r="H94" s="182"/>
      <c r="I94" s="314">
        <v>1582505</v>
      </c>
      <c r="J94" s="297" t="s">
        <v>3746</v>
      </c>
      <c r="K94" s="299">
        <v>5000112468717</v>
      </c>
      <c r="L94" s="313" t="s">
        <v>3641</v>
      </c>
      <c r="N94" s="286" t="s">
        <v>94</v>
      </c>
      <c r="O94" s="181" t="s">
        <v>94</v>
      </c>
      <c r="P94" s="181" t="s">
        <v>36</v>
      </c>
      <c r="Q94" s="326" t="s">
        <v>3634</v>
      </c>
    </row>
    <row r="95" spans="1:17">
      <c r="A95" s="324" t="s">
        <v>28</v>
      </c>
      <c r="B95" s="323">
        <v>45499</v>
      </c>
      <c r="C95" s="193"/>
      <c r="D95" s="186" t="s">
        <v>3644</v>
      </c>
      <c r="E95" s="262">
        <v>1582414</v>
      </c>
      <c r="F95" s="179" t="s">
        <v>1575</v>
      </c>
      <c r="G95" s="190">
        <v>5449000327253</v>
      </c>
      <c r="H95" s="182"/>
      <c r="I95" s="314">
        <v>1582419</v>
      </c>
      <c r="J95" s="297" t="s">
        <v>3747</v>
      </c>
      <c r="K95" s="299">
        <v>5000112468700</v>
      </c>
      <c r="L95" s="313" t="s">
        <v>3641</v>
      </c>
      <c r="N95" s="286" t="s">
        <v>94</v>
      </c>
      <c r="O95" s="181" t="s">
        <v>94</v>
      </c>
      <c r="P95" s="181" t="s">
        <v>36</v>
      </c>
      <c r="Q95" s="326" t="s">
        <v>3634</v>
      </c>
    </row>
    <row r="96" spans="1:17">
      <c r="A96" s="324" t="s">
        <v>28</v>
      </c>
      <c r="B96" s="323">
        <v>45499</v>
      </c>
      <c r="C96" s="193"/>
      <c r="D96" s="186" t="s">
        <v>3664</v>
      </c>
      <c r="E96" s="262">
        <v>2575101</v>
      </c>
      <c r="F96" s="179" t="s">
        <v>1632</v>
      </c>
      <c r="G96" s="190">
        <v>5449000328410</v>
      </c>
      <c r="H96" s="182"/>
      <c r="I96" s="319">
        <v>2575102</v>
      </c>
      <c r="J96" s="297" t="s">
        <v>3748</v>
      </c>
      <c r="K96" s="299">
        <v>5000112467963</v>
      </c>
      <c r="L96" s="313" t="s">
        <v>48</v>
      </c>
      <c r="N96" s="286" t="s">
        <v>94</v>
      </c>
      <c r="O96" s="181" t="s">
        <v>94</v>
      </c>
      <c r="P96" s="181" t="s">
        <v>36</v>
      </c>
      <c r="Q96" s="326" t="s">
        <v>3628</v>
      </c>
    </row>
    <row r="97" spans="1:17">
      <c r="A97" s="324" t="s">
        <v>1014</v>
      </c>
      <c r="B97" s="323">
        <v>45499</v>
      </c>
      <c r="C97" s="193"/>
      <c r="D97" s="186" t="s">
        <v>3637</v>
      </c>
      <c r="E97" s="262">
        <v>2109313</v>
      </c>
      <c r="F97" s="179" t="s">
        <v>1594</v>
      </c>
      <c r="G97" s="190"/>
      <c r="H97" s="182"/>
      <c r="I97" s="288"/>
      <c r="J97" s="293"/>
      <c r="K97" s="302" t="s">
        <v>64</v>
      </c>
      <c r="L97" s="313" t="s">
        <v>64</v>
      </c>
      <c r="N97" s="286"/>
      <c r="Q97" s="326" t="s">
        <v>3654</v>
      </c>
    </row>
    <row r="98" spans="1:17">
      <c r="A98" s="324" t="s">
        <v>1014</v>
      </c>
      <c r="B98" s="323">
        <v>45499</v>
      </c>
      <c r="C98" s="193"/>
      <c r="D98" s="186" t="s">
        <v>3644</v>
      </c>
      <c r="E98" s="262">
        <v>2563701</v>
      </c>
      <c r="F98" s="179" t="s">
        <v>1598</v>
      </c>
      <c r="G98" s="190"/>
      <c r="H98" s="182"/>
      <c r="I98" s="288"/>
      <c r="J98" s="293"/>
      <c r="K98" s="302" t="s">
        <v>64</v>
      </c>
      <c r="L98" s="313" t="s">
        <v>64</v>
      </c>
      <c r="N98" s="286"/>
      <c r="Q98" s="326" t="s">
        <v>3654</v>
      </c>
    </row>
    <row r="99" spans="1:17">
      <c r="A99" s="324" t="s">
        <v>1014</v>
      </c>
      <c r="B99" s="323">
        <v>45499</v>
      </c>
      <c r="C99" s="193"/>
      <c r="D99" s="186" t="s">
        <v>3637</v>
      </c>
      <c r="E99" s="262">
        <v>2563802</v>
      </c>
      <c r="F99" s="179" t="s">
        <v>1600</v>
      </c>
      <c r="G99" s="190"/>
      <c r="H99" s="182"/>
      <c r="I99" s="288"/>
      <c r="J99" s="293"/>
      <c r="K99" s="302" t="s">
        <v>64</v>
      </c>
      <c r="L99" s="313" t="s">
        <v>64</v>
      </c>
      <c r="N99" s="286"/>
      <c r="Q99" s="326" t="s">
        <v>3654</v>
      </c>
    </row>
    <row r="100" spans="1:17">
      <c r="A100" s="324" t="s">
        <v>28</v>
      </c>
      <c r="B100" s="323">
        <v>45499</v>
      </c>
      <c r="C100" s="193"/>
      <c r="D100" s="186" t="s">
        <v>3632</v>
      </c>
      <c r="E100" s="262">
        <v>2494702</v>
      </c>
      <c r="F100" s="179" t="s">
        <v>1513</v>
      </c>
      <c r="G100" s="190">
        <v>5449000997760</v>
      </c>
      <c r="H100" s="182"/>
      <c r="I100" s="314">
        <v>2494705</v>
      </c>
      <c r="J100" s="297" t="s">
        <v>3749</v>
      </c>
      <c r="K100" s="299">
        <v>5000112469073</v>
      </c>
      <c r="L100" s="313" t="s">
        <v>3627</v>
      </c>
      <c r="N100" s="286" t="s">
        <v>94</v>
      </c>
      <c r="O100" s="181" t="s">
        <v>94</v>
      </c>
      <c r="P100" s="181" t="s">
        <v>36</v>
      </c>
      <c r="Q100" s="326" t="s">
        <v>3634</v>
      </c>
    </row>
    <row r="101" spans="1:17">
      <c r="A101" s="324" t="s">
        <v>28</v>
      </c>
      <c r="B101" s="323">
        <v>45499</v>
      </c>
      <c r="C101" s="193"/>
      <c r="D101" s="186" t="s">
        <v>3632</v>
      </c>
      <c r="E101" s="262">
        <v>2571802</v>
      </c>
      <c r="F101" s="179" t="s">
        <v>1627</v>
      </c>
      <c r="G101" s="190">
        <v>5449000328106</v>
      </c>
      <c r="H101" s="182"/>
      <c r="I101" s="288">
        <v>2571803</v>
      </c>
      <c r="J101" s="297" t="s">
        <v>3750</v>
      </c>
      <c r="K101" s="301">
        <v>5000112469394</v>
      </c>
      <c r="L101" s="313" t="s">
        <v>3627</v>
      </c>
      <c r="N101" s="286" t="s">
        <v>94</v>
      </c>
      <c r="O101" s="181" t="s">
        <v>94</v>
      </c>
      <c r="P101" s="181" t="s">
        <v>36</v>
      </c>
      <c r="Q101" s="326" t="s">
        <v>3751</v>
      </c>
    </row>
    <row r="102" spans="1:17">
      <c r="A102" s="324" t="s">
        <v>28</v>
      </c>
      <c r="B102" s="323">
        <v>45499</v>
      </c>
      <c r="C102" s="193"/>
      <c r="D102" s="186" t="s">
        <v>3632</v>
      </c>
      <c r="E102" s="262">
        <v>2411804</v>
      </c>
      <c r="F102" s="179" t="s">
        <v>1505</v>
      </c>
      <c r="G102" s="190">
        <v>5000112461923</v>
      </c>
      <c r="H102" s="182"/>
      <c r="I102" s="314">
        <v>2411807</v>
      </c>
      <c r="J102" s="297" t="s">
        <v>3752</v>
      </c>
      <c r="K102" s="299">
        <v>5000112469165</v>
      </c>
      <c r="L102" s="313" t="s">
        <v>3641</v>
      </c>
      <c r="N102" s="286" t="s">
        <v>94</v>
      </c>
      <c r="O102" s="181" t="s">
        <v>94</v>
      </c>
      <c r="P102" s="181" t="s">
        <v>36</v>
      </c>
      <c r="Q102" s="326" t="s">
        <v>3634</v>
      </c>
    </row>
    <row r="103" spans="1:17">
      <c r="A103" s="324" t="s">
        <v>28</v>
      </c>
      <c r="B103" s="323">
        <v>45499</v>
      </c>
      <c r="C103" s="193"/>
      <c r="D103" s="186" t="s">
        <v>3637</v>
      </c>
      <c r="E103" s="262">
        <v>1408004</v>
      </c>
      <c r="F103" s="179" t="s">
        <v>3753</v>
      </c>
      <c r="G103" s="190">
        <v>5449000705174</v>
      </c>
      <c r="H103" s="182"/>
      <c r="I103" s="314">
        <v>1408006</v>
      </c>
      <c r="J103" s="297" t="s">
        <v>3754</v>
      </c>
      <c r="K103" s="299">
        <v>5000112468908</v>
      </c>
      <c r="L103" s="313" t="s">
        <v>3641</v>
      </c>
      <c r="N103" s="286" t="s">
        <v>94</v>
      </c>
      <c r="O103" s="181" t="s">
        <v>94</v>
      </c>
      <c r="P103" s="181" t="s">
        <v>36</v>
      </c>
      <c r="Q103" s="326" t="s">
        <v>3634</v>
      </c>
    </row>
    <row r="104" spans="1:17">
      <c r="A104" s="324" t="s">
        <v>28</v>
      </c>
      <c r="B104" s="323">
        <v>45499</v>
      </c>
      <c r="C104" s="193"/>
      <c r="D104" s="186" t="s">
        <v>3637</v>
      </c>
      <c r="E104" s="262">
        <v>1008905</v>
      </c>
      <c r="F104" s="179" t="s">
        <v>1197</v>
      </c>
      <c r="G104" s="190">
        <v>5000112455168</v>
      </c>
      <c r="H104" s="182"/>
      <c r="I104" s="314">
        <v>1008913</v>
      </c>
      <c r="J104" s="297" t="s">
        <v>3755</v>
      </c>
      <c r="K104" s="299">
        <v>5000112469219</v>
      </c>
      <c r="L104" s="313" t="s">
        <v>3641</v>
      </c>
      <c r="N104" s="286" t="s">
        <v>94</v>
      </c>
      <c r="O104" s="181" t="s">
        <v>94</v>
      </c>
      <c r="P104" s="181" t="s">
        <v>36</v>
      </c>
      <c r="Q104" s="326" t="s">
        <v>3634</v>
      </c>
    </row>
    <row r="105" spans="1:17">
      <c r="A105" s="324" t="s">
        <v>28</v>
      </c>
      <c r="B105" s="323">
        <v>45499</v>
      </c>
      <c r="C105" s="193"/>
      <c r="D105" s="186" t="s">
        <v>3624</v>
      </c>
      <c r="E105" s="262">
        <v>1414503</v>
      </c>
      <c r="F105" s="179" t="s">
        <v>3756</v>
      </c>
      <c r="G105" s="190">
        <v>5449000655110</v>
      </c>
      <c r="H105" s="182"/>
      <c r="I105" s="315">
        <v>1414506</v>
      </c>
      <c r="J105" s="297" t="s">
        <v>3757</v>
      </c>
      <c r="K105" s="299">
        <v>5000112467734</v>
      </c>
      <c r="L105" s="313" t="s">
        <v>3627</v>
      </c>
      <c r="N105" s="286" t="s">
        <v>94</v>
      </c>
      <c r="O105" s="181" t="s">
        <v>94</v>
      </c>
      <c r="P105" s="181" t="s">
        <v>36</v>
      </c>
      <c r="Q105" s="326" t="s">
        <v>3628</v>
      </c>
    </row>
    <row r="106" spans="1:17">
      <c r="A106" s="324" t="s">
        <v>28</v>
      </c>
      <c r="B106" s="323">
        <v>45499</v>
      </c>
      <c r="C106" s="193"/>
      <c r="D106" s="186" t="s">
        <v>3672</v>
      </c>
      <c r="E106" s="263">
        <v>230338</v>
      </c>
      <c r="F106" s="223" t="s">
        <v>3758</v>
      </c>
      <c r="G106" s="190">
        <v>5000112605501</v>
      </c>
      <c r="H106" s="182"/>
      <c r="I106" s="318">
        <v>230362</v>
      </c>
      <c r="J106" s="297" t="s">
        <v>3759</v>
      </c>
      <c r="K106" s="299">
        <v>5000112677201</v>
      </c>
      <c r="L106" s="313" t="s">
        <v>3641</v>
      </c>
      <c r="N106" s="286" t="s">
        <v>94</v>
      </c>
      <c r="O106" s="181" t="s">
        <v>94</v>
      </c>
      <c r="P106" s="181" t="s">
        <v>36</v>
      </c>
      <c r="Q106" s="326"/>
    </row>
    <row r="107" spans="1:17">
      <c r="A107" s="324" t="s">
        <v>28</v>
      </c>
      <c r="B107" s="323">
        <v>45499</v>
      </c>
      <c r="C107" s="193"/>
      <c r="D107" s="186" t="s">
        <v>3629</v>
      </c>
      <c r="E107" s="263">
        <v>1931501</v>
      </c>
      <c r="F107" s="223" t="s">
        <v>3760</v>
      </c>
      <c r="G107" s="190">
        <v>9031100005238</v>
      </c>
      <c r="H107" s="182"/>
      <c r="I107" s="315">
        <v>1931505</v>
      </c>
      <c r="J107" s="297" t="s">
        <v>3761</v>
      </c>
      <c r="K107" s="300" t="str">
        <f>"9031100008772"</f>
        <v>9031100008772</v>
      </c>
      <c r="L107" s="313" t="s">
        <v>41</v>
      </c>
      <c r="N107" s="286" t="s">
        <v>94</v>
      </c>
      <c r="O107" s="181" t="s">
        <v>94</v>
      </c>
      <c r="P107" s="181" t="s">
        <v>36</v>
      </c>
      <c r="Q107" s="326"/>
    </row>
    <row r="108" spans="1:17">
      <c r="A108" s="324" t="s">
        <v>1014</v>
      </c>
      <c r="B108" s="323">
        <v>45499</v>
      </c>
      <c r="C108" s="193"/>
      <c r="D108" s="186" t="s">
        <v>3644</v>
      </c>
      <c r="E108" s="262">
        <v>2570602</v>
      </c>
      <c r="F108" s="179" t="s">
        <v>1618</v>
      </c>
      <c r="G108" s="190"/>
      <c r="H108" s="182"/>
      <c r="I108" s="288"/>
      <c r="J108" s="293"/>
      <c r="K108" s="302" t="s">
        <v>64</v>
      </c>
      <c r="L108" s="313" t="s">
        <v>64</v>
      </c>
      <c r="N108" s="286"/>
      <c r="Q108" s="326" t="s">
        <v>3654</v>
      </c>
    </row>
    <row r="109" spans="1:17">
      <c r="A109" s="324" t="s">
        <v>1014</v>
      </c>
      <c r="B109" s="323">
        <v>45499</v>
      </c>
      <c r="C109" s="193"/>
      <c r="D109" s="186" t="s">
        <v>3637</v>
      </c>
      <c r="E109" s="262">
        <v>2563801</v>
      </c>
      <c r="F109" s="179" t="s">
        <v>1596</v>
      </c>
      <c r="G109" s="190"/>
      <c r="H109" s="182"/>
      <c r="I109" s="288"/>
      <c r="J109" s="293"/>
      <c r="K109" s="302" t="s">
        <v>64</v>
      </c>
      <c r="L109" s="313" t="s">
        <v>64</v>
      </c>
      <c r="N109" s="286"/>
      <c r="Q109" s="326" t="s">
        <v>3654</v>
      </c>
    </row>
    <row r="110" spans="1:17">
      <c r="A110" s="324" t="s">
        <v>28</v>
      </c>
      <c r="B110" s="323">
        <v>45499</v>
      </c>
      <c r="C110" s="193"/>
      <c r="D110" s="186" t="s">
        <v>3762</v>
      </c>
      <c r="E110" s="263">
        <v>2416602</v>
      </c>
      <c r="F110" s="223" t="s">
        <v>1665</v>
      </c>
      <c r="G110" s="190">
        <v>9031100008642</v>
      </c>
      <c r="H110" s="182"/>
      <c r="I110" s="288">
        <v>1931506</v>
      </c>
      <c r="J110" s="297" t="s">
        <v>3763</v>
      </c>
      <c r="K110" s="300" t="str">
        <f>"9031100008758"</f>
        <v>9031100008758</v>
      </c>
      <c r="L110" s="313" t="s">
        <v>41</v>
      </c>
      <c r="N110" s="286" t="s">
        <v>94</v>
      </c>
      <c r="O110" s="181" t="s">
        <v>94</v>
      </c>
      <c r="P110" s="181" t="s">
        <v>36</v>
      </c>
      <c r="Q110" s="326"/>
    </row>
    <row r="111" spans="1:17">
      <c r="A111" s="324" t="s">
        <v>28</v>
      </c>
      <c r="B111" s="323">
        <v>45499</v>
      </c>
      <c r="C111" s="193"/>
      <c r="D111" s="186" t="s">
        <v>3637</v>
      </c>
      <c r="E111" s="262">
        <v>2314403</v>
      </c>
      <c r="F111" s="179" t="s">
        <v>1623</v>
      </c>
      <c r="G111" s="190">
        <v>5449000328137</v>
      </c>
      <c r="H111" s="182"/>
      <c r="I111" s="314">
        <v>2314405</v>
      </c>
      <c r="J111" s="297" t="s">
        <v>3764</v>
      </c>
      <c r="K111" s="299">
        <v>5000112469011</v>
      </c>
      <c r="L111" s="313" t="s">
        <v>103</v>
      </c>
      <c r="N111" s="286" t="s">
        <v>94</v>
      </c>
      <c r="O111" s="181" t="s">
        <v>94</v>
      </c>
      <c r="P111" s="181" t="s">
        <v>36</v>
      </c>
      <c r="Q111" s="326" t="s">
        <v>3634</v>
      </c>
    </row>
    <row r="112" spans="1:17">
      <c r="A112" s="324" t="s">
        <v>28</v>
      </c>
      <c r="B112" s="323">
        <v>45499</v>
      </c>
      <c r="C112" s="193"/>
      <c r="D112" s="186" t="s">
        <v>3637</v>
      </c>
      <c r="E112" s="262">
        <v>2274406</v>
      </c>
      <c r="F112" s="179" t="s">
        <v>1625</v>
      </c>
      <c r="G112" s="190">
        <v>5449000328168</v>
      </c>
      <c r="H112" s="182"/>
      <c r="I112" s="314">
        <v>2274409</v>
      </c>
      <c r="J112" s="297" t="s">
        <v>3765</v>
      </c>
      <c r="K112" s="299">
        <v>5000112468670</v>
      </c>
      <c r="L112" s="313" t="s">
        <v>103</v>
      </c>
      <c r="N112" s="286" t="s">
        <v>94</v>
      </c>
      <c r="O112" s="181" t="s">
        <v>94</v>
      </c>
      <c r="P112" s="181" t="s">
        <v>36</v>
      </c>
      <c r="Q112" s="326" t="s">
        <v>3634</v>
      </c>
    </row>
    <row r="113" spans="1:17">
      <c r="A113" s="324" t="s">
        <v>28</v>
      </c>
      <c r="B113" s="323">
        <v>45499</v>
      </c>
      <c r="C113" s="193"/>
      <c r="D113" s="186" t="s">
        <v>3644</v>
      </c>
      <c r="E113" s="262">
        <v>2274405</v>
      </c>
      <c r="F113" s="179" t="s">
        <v>1626</v>
      </c>
      <c r="G113" s="190">
        <v>5449000328151</v>
      </c>
      <c r="H113" s="182"/>
      <c r="I113" s="314">
        <v>2274408</v>
      </c>
      <c r="J113" s="297" t="s">
        <v>3766</v>
      </c>
      <c r="K113" s="299">
        <v>5000112468663</v>
      </c>
      <c r="L113" s="313" t="s">
        <v>103</v>
      </c>
      <c r="N113" s="286" t="s">
        <v>94</v>
      </c>
      <c r="O113" s="181" t="s">
        <v>94</v>
      </c>
      <c r="P113" s="181" t="s">
        <v>36</v>
      </c>
      <c r="Q113" s="326" t="s">
        <v>3634</v>
      </c>
    </row>
    <row r="114" spans="1:17">
      <c r="A114" s="324" t="s">
        <v>28</v>
      </c>
      <c r="B114" s="323">
        <v>45499</v>
      </c>
      <c r="C114" s="193"/>
      <c r="D114" s="186" t="s">
        <v>3644</v>
      </c>
      <c r="E114" s="262">
        <v>2483106</v>
      </c>
      <c r="F114" s="179" t="s">
        <v>1630</v>
      </c>
      <c r="G114" s="190">
        <v>5449000327659</v>
      </c>
      <c r="H114" s="182"/>
      <c r="I114" s="314">
        <v>2483110</v>
      </c>
      <c r="J114" s="297" t="s">
        <v>3767</v>
      </c>
      <c r="K114" s="299">
        <v>5000112468892</v>
      </c>
      <c r="L114" s="313" t="s">
        <v>3641</v>
      </c>
      <c r="N114" s="286" t="s">
        <v>94</v>
      </c>
      <c r="O114" s="181" t="s">
        <v>94</v>
      </c>
      <c r="P114" s="181" t="s">
        <v>36</v>
      </c>
      <c r="Q114" s="326" t="s">
        <v>3634</v>
      </c>
    </row>
    <row r="115" spans="1:17">
      <c r="A115" s="324" t="s">
        <v>28</v>
      </c>
      <c r="B115" s="323">
        <v>45499</v>
      </c>
      <c r="C115" s="193"/>
      <c r="D115" s="186" t="s">
        <v>3637</v>
      </c>
      <c r="E115" s="262">
        <v>2483105</v>
      </c>
      <c r="F115" s="179" t="s">
        <v>1629</v>
      </c>
      <c r="G115" s="190">
        <v>5449000327642</v>
      </c>
      <c r="H115" s="182"/>
      <c r="I115" s="314">
        <v>2483109</v>
      </c>
      <c r="J115" s="297" t="s">
        <v>3768</v>
      </c>
      <c r="K115" s="299">
        <v>5000112468878</v>
      </c>
      <c r="L115" s="313" t="s">
        <v>3641</v>
      </c>
      <c r="N115" s="286" t="s">
        <v>94</v>
      </c>
      <c r="O115" s="181" t="s">
        <v>94</v>
      </c>
      <c r="P115" s="181" t="s">
        <v>36</v>
      </c>
      <c r="Q115" s="326" t="s">
        <v>3634</v>
      </c>
    </row>
    <row r="116" spans="1:17">
      <c r="A116" s="324" t="s">
        <v>28</v>
      </c>
      <c r="B116" s="323">
        <v>45499</v>
      </c>
      <c r="C116" s="193"/>
      <c r="D116" s="186" t="s">
        <v>3644</v>
      </c>
      <c r="E116" s="262">
        <v>2524806</v>
      </c>
      <c r="F116" s="179" t="s">
        <v>1571</v>
      </c>
      <c r="G116" s="190">
        <v>5449000326140</v>
      </c>
      <c r="H116" s="182"/>
      <c r="I116" s="314">
        <v>2524808</v>
      </c>
      <c r="J116" s="297" t="s">
        <v>3769</v>
      </c>
      <c r="K116" s="299">
        <v>5000112468694</v>
      </c>
      <c r="L116" s="313" t="s">
        <v>3627</v>
      </c>
      <c r="N116" s="286" t="s">
        <v>94</v>
      </c>
      <c r="O116" s="181" t="s">
        <v>94</v>
      </c>
      <c r="P116" s="181" t="s">
        <v>36</v>
      </c>
      <c r="Q116" s="326" t="s">
        <v>3634</v>
      </c>
    </row>
    <row r="117" spans="1:17">
      <c r="A117" s="324" t="s">
        <v>1014</v>
      </c>
      <c r="B117" s="323">
        <v>45499</v>
      </c>
      <c r="C117" s="193"/>
      <c r="D117" s="186" t="s">
        <v>3637</v>
      </c>
      <c r="E117" s="262">
        <v>2564301</v>
      </c>
      <c r="F117" s="179" t="s">
        <v>3770</v>
      </c>
      <c r="G117" s="190"/>
      <c r="H117" s="182"/>
      <c r="I117" s="288"/>
      <c r="J117" s="293"/>
      <c r="K117" s="302" t="s">
        <v>64</v>
      </c>
      <c r="L117" s="313" t="s">
        <v>64</v>
      </c>
      <c r="N117" s="286"/>
      <c r="Q117" s="326" t="s">
        <v>3654</v>
      </c>
    </row>
    <row r="118" spans="1:17">
      <c r="A118" s="324" t="s">
        <v>28</v>
      </c>
      <c r="B118" s="323">
        <v>45499</v>
      </c>
      <c r="C118" s="193"/>
      <c r="D118" s="186" t="s">
        <v>3644</v>
      </c>
      <c r="E118" s="262">
        <v>2483301</v>
      </c>
      <c r="F118" s="179" t="s">
        <v>1485</v>
      </c>
      <c r="G118" s="190">
        <v>5449000910851</v>
      </c>
      <c r="H118" s="182"/>
      <c r="I118" s="314">
        <v>2483303</v>
      </c>
      <c r="J118" s="297" t="s">
        <v>3771</v>
      </c>
      <c r="K118" s="299">
        <v>5000112468861</v>
      </c>
      <c r="L118" s="313" t="s">
        <v>3641</v>
      </c>
      <c r="N118" s="286" t="s">
        <v>94</v>
      </c>
      <c r="O118" s="181" t="s">
        <v>94</v>
      </c>
      <c r="P118" s="181" t="s">
        <v>36</v>
      </c>
      <c r="Q118" s="326" t="s">
        <v>3634</v>
      </c>
    </row>
    <row r="119" spans="1:17">
      <c r="A119" s="324" t="s">
        <v>1014</v>
      </c>
      <c r="B119" s="323">
        <v>45499</v>
      </c>
      <c r="C119" s="193"/>
      <c r="D119" s="187" t="s">
        <v>3664</v>
      </c>
      <c r="E119" s="264">
        <v>2013617</v>
      </c>
      <c r="F119" s="265" t="s">
        <v>1609</v>
      </c>
      <c r="G119" s="192"/>
      <c r="H119" s="183"/>
      <c r="I119" s="288"/>
      <c r="J119" s="293"/>
      <c r="K119" s="302" t="s">
        <v>64</v>
      </c>
      <c r="L119" s="313" t="s">
        <v>64</v>
      </c>
      <c r="N119" s="286"/>
      <c r="Q119" s="326" t="s">
        <v>3654</v>
      </c>
    </row>
    <row r="120" spans="1:17">
      <c r="A120" s="324" t="s">
        <v>28</v>
      </c>
      <c r="B120" s="323">
        <v>45499</v>
      </c>
      <c r="C120" s="193"/>
      <c r="D120" s="186" t="s">
        <v>3772</v>
      </c>
      <c r="E120" s="263">
        <v>2236603</v>
      </c>
      <c r="F120" s="223" t="s">
        <v>1508</v>
      </c>
      <c r="G120" s="190">
        <v>9031100007690</v>
      </c>
      <c r="H120" s="182"/>
      <c r="I120" s="315">
        <v>2236604</v>
      </c>
      <c r="J120" s="297" t="s">
        <v>3773</v>
      </c>
      <c r="K120" s="303" t="str">
        <f>"9031100008789"</f>
        <v>9031100008789</v>
      </c>
      <c r="L120" s="313" t="s">
        <v>41</v>
      </c>
      <c r="N120" s="286" t="s">
        <v>94</v>
      </c>
      <c r="O120" s="181" t="s">
        <v>94</v>
      </c>
      <c r="P120" s="181" t="s">
        <v>36</v>
      </c>
      <c r="Q120" s="326"/>
    </row>
    <row r="121" spans="1:17">
      <c r="A121" s="324" t="s">
        <v>28</v>
      </c>
      <c r="B121" s="323">
        <v>45499</v>
      </c>
      <c r="C121" s="193"/>
      <c r="D121" s="186" t="s">
        <v>3632</v>
      </c>
      <c r="E121" s="263">
        <v>2197902</v>
      </c>
      <c r="F121" s="223" t="s">
        <v>1237</v>
      </c>
      <c r="G121" s="190">
        <v>9031100006945</v>
      </c>
      <c r="H121" s="182"/>
      <c r="I121" s="288">
        <v>2197911</v>
      </c>
      <c r="J121" s="297" t="s">
        <v>3774</v>
      </c>
      <c r="K121" s="300" t="str">
        <f>"9031100008796"</f>
        <v>9031100008796</v>
      </c>
      <c r="L121" s="313" t="s">
        <v>41</v>
      </c>
      <c r="N121" s="286" t="s">
        <v>94</v>
      </c>
      <c r="O121" s="181" t="s">
        <v>94</v>
      </c>
      <c r="P121" s="181" t="s">
        <v>36</v>
      </c>
      <c r="Q121" s="326"/>
    </row>
    <row r="122" spans="1:17">
      <c r="A122" s="324" t="s">
        <v>28</v>
      </c>
      <c r="B122" s="323">
        <v>45499</v>
      </c>
      <c r="C122" s="193"/>
      <c r="D122" s="186" t="s">
        <v>3637</v>
      </c>
      <c r="E122" s="262">
        <v>2154804</v>
      </c>
      <c r="F122" s="179" t="s">
        <v>1530</v>
      </c>
      <c r="G122" s="190">
        <v>5000112462418</v>
      </c>
      <c r="H122" s="182"/>
      <c r="I122" s="314">
        <v>2154806</v>
      </c>
      <c r="J122" s="297" t="s">
        <v>3775</v>
      </c>
      <c r="K122" s="299">
        <v>5000112469349</v>
      </c>
      <c r="L122" s="313" t="s">
        <v>48</v>
      </c>
      <c r="N122" s="286" t="s">
        <v>94</v>
      </c>
      <c r="O122" s="181" t="s">
        <v>94</v>
      </c>
      <c r="P122" s="181" t="s">
        <v>36</v>
      </c>
      <c r="Q122" s="326" t="s">
        <v>3634</v>
      </c>
    </row>
    <row r="123" spans="1:17">
      <c r="A123" s="324" t="s">
        <v>28</v>
      </c>
      <c r="B123" s="323">
        <v>45499</v>
      </c>
      <c r="C123" s="193"/>
      <c r="D123" s="186" t="s">
        <v>3624</v>
      </c>
      <c r="E123" s="262">
        <v>2197904</v>
      </c>
      <c r="F123" s="179" t="s">
        <v>1233</v>
      </c>
      <c r="G123" s="190">
        <v>9031100006938</v>
      </c>
      <c r="H123" s="182"/>
      <c r="I123" s="318">
        <v>2197909</v>
      </c>
      <c r="J123" s="297" t="s">
        <v>3776</v>
      </c>
      <c r="K123" s="299" t="str">
        <f>"9031100008697"</f>
        <v>9031100008697</v>
      </c>
      <c r="L123" s="313" t="s">
        <v>41</v>
      </c>
      <c r="N123" s="286" t="s">
        <v>94</v>
      </c>
      <c r="O123" s="181" t="s">
        <v>94</v>
      </c>
      <c r="P123" s="181" t="s">
        <v>36</v>
      </c>
      <c r="Q123" s="326"/>
    </row>
    <row r="124" spans="1:17">
      <c r="A124" s="324" t="s">
        <v>28</v>
      </c>
      <c r="B124" s="323">
        <v>45499</v>
      </c>
      <c r="C124" s="193"/>
      <c r="D124" s="186" t="s">
        <v>3637</v>
      </c>
      <c r="E124" s="262">
        <v>1880003</v>
      </c>
      <c r="F124" s="179" t="s">
        <v>1498</v>
      </c>
      <c r="G124" s="190">
        <v>5000112461824</v>
      </c>
      <c r="H124" s="182"/>
      <c r="I124" s="314">
        <v>1880005</v>
      </c>
      <c r="J124" s="297" t="s">
        <v>3777</v>
      </c>
      <c r="K124" s="299">
        <v>5000112469318</v>
      </c>
      <c r="L124" s="313" t="s">
        <v>3641</v>
      </c>
      <c r="N124" s="286" t="s">
        <v>94</v>
      </c>
      <c r="O124" s="181" t="s">
        <v>94</v>
      </c>
      <c r="P124" s="181" t="s">
        <v>36</v>
      </c>
      <c r="Q124" s="326" t="s">
        <v>3634</v>
      </c>
    </row>
    <row r="125" spans="1:17">
      <c r="A125" s="324" t="s">
        <v>28</v>
      </c>
      <c r="B125" s="323">
        <v>45499</v>
      </c>
      <c r="C125" s="193"/>
      <c r="D125" s="186" t="s">
        <v>3632</v>
      </c>
      <c r="E125" s="262">
        <v>1595208</v>
      </c>
      <c r="F125" s="179" t="s">
        <v>1373</v>
      </c>
      <c r="G125" s="190">
        <v>5000112459852</v>
      </c>
      <c r="H125" s="182"/>
      <c r="I125" s="314">
        <v>1595215</v>
      </c>
      <c r="J125" s="297" t="s">
        <v>3778</v>
      </c>
      <c r="K125" s="299">
        <v>5000112469080</v>
      </c>
      <c r="L125" s="313" t="s">
        <v>3641</v>
      </c>
      <c r="N125" s="286" t="s">
        <v>94</v>
      </c>
      <c r="O125" s="181" t="s">
        <v>94</v>
      </c>
      <c r="P125" s="181" t="s">
        <v>36</v>
      </c>
      <c r="Q125" s="326" t="s">
        <v>3634</v>
      </c>
    </row>
    <row r="126" spans="1:17">
      <c r="A126" s="324" t="s">
        <v>28</v>
      </c>
      <c r="B126" s="323">
        <v>45499</v>
      </c>
      <c r="C126" s="193"/>
      <c r="D126" s="186" t="s">
        <v>3664</v>
      </c>
      <c r="E126" s="262">
        <v>2235001</v>
      </c>
      <c r="F126" s="179" t="s">
        <v>1220</v>
      </c>
      <c r="G126" s="190">
        <v>9031100006907</v>
      </c>
      <c r="H126" s="182"/>
      <c r="I126" s="318">
        <v>2197908</v>
      </c>
      <c r="J126" s="297" t="s">
        <v>3779</v>
      </c>
      <c r="K126" s="299" t="str">
        <f>"9031100008703"</f>
        <v>9031100008703</v>
      </c>
      <c r="L126" s="313" t="s">
        <v>41</v>
      </c>
      <c r="N126" s="286" t="s">
        <v>94</v>
      </c>
      <c r="O126" s="181" t="s">
        <v>94</v>
      </c>
      <c r="P126" s="181" t="s">
        <v>36</v>
      </c>
      <c r="Q126" s="326"/>
    </row>
    <row r="127" spans="1:17">
      <c r="A127" s="324" t="s">
        <v>28</v>
      </c>
      <c r="B127" s="323">
        <v>45499</v>
      </c>
      <c r="C127" s="193"/>
      <c r="D127" s="186" t="s">
        <v>3629</v>
      </c>
      <c r="E127" s="263">
        <v>2197906</v>
      </c>
      <c r="F127" s="223" t="s">
        <v>3780</v>
      </c>
      <c r="G127" s="190">
        <v>9031100007713</v>
      </c>
      <c r="H127" s="182"/>
      <c r="I127" s="315">
        <v>2197910</v>
      </c>
      <c r="J127" s="297" t="s">
        <v>3781</v>
      </c>
      <c r="K127" s="300" t="str">
        <f>"9031100008802"</f>
        <v>9031100008802</v>
      </c>
      <c r="L127" s="313" t="s">
        <v>41</v>
      </c>
      <c r="N127" s="286" t="s">
        <v>94</v>
      </c>
      <c r="O127" s="181" t="s">
        <v>94</v>
      </c>
      <c r="P127" s="181" t="s">
        <v>36</v>
      </c>
      <c r="Q127" s="326"/>
    </row>
    <row r="128" spans="1:17">
      <c r="A128" s="324" t="s">
        <v>28</v>
      </c>
      <c r="B128" s="323">
        <v>45499</v>
      </c>
      <c r="C128" s="193"/>
      <c r="D128" s="186" t="s">
        <v>3629</v>
      </c>
      <c r="E128" s="263">
        <v>2197907</v>
      </c>
      <c r="F128" s="223" t="s">
        <v>3782</v>
      </c>
      <c r="G128" s="190">
        <v>9031100007706</v>
      </c>
      <c r="H128" s="182"/>
      <c r="I128" s="288">
        <v>2197912</v>
      </c>
      <c r="J128" s="297" t="s">
        <v>3783</v>
      </c>
      <c r="K128" s="300" t="str">
        <f>"9031100008819"</f>
        <v>9031100008819</v>
      </c>
      <c r="L128" s="313" t="s">
        <v>41</v>
      </c>
      <c r="N128" s="286" t="s">
        <v>94</v>
      </c>
      <c r="O128" s="181" t="s">
        <v>94</v>
      </c>
      <c r="P128" s="181" t="s">
        <v>36</v>
      </c>
      <c r="Q128" s="326"/>
    </row>
    <row r="129" spans="1:18">
      <c r="A129" s="324" t="s">
        <v>28</v>
      </c>
      <c r="B129" s="323">
        <v>45499</v>
      </c>
      <c r="C129" s="193"/>
      <c r="D129" s="186" t="s">
        <v>3644</v>
      </c>
      <c r="E129" s="262">
        <v>1318203</v>
      </c>
      <c r="F129" s="179" t="s">
        <v>1456</v>
      </c>
      <c r="G129" s="190">
        <v>5449000910325</v>
      </c>
      <c r="H129" s="182"/>
      <c r="I129" s="314">
        <v>1318213</v>
      </c>
      <c r="J129" s="297" t="s">
        <v>3784</v>
      </c>
      <c r="K129" s="299">
        <v>5000112468830</v>
      </c>
      <c r="L129" s="313" t="s">
        <v>492</v>
      </c>
      <c r="N129" s="286" t="s">
        <v>94</v>
      </c>
      <c r="O129" s="181" t="s">
        <v>94</v>
      </c>
      <c r="P129" s="181" t="s">
        <v>36</v>
      </c>
      <c r="Q129" s="326" t="s">
        <v>3634</v>
      </c>
    </row>
    <row r="130" spans="1:18">
      <c r="A130" s="324" t="s">
        <v>28</v>
      </c>
      <c r="B130" s="323">
        <v>45499</v>
      </c>
      <c r="C130" s="193"/>
      <c r="D130" s="186" t="s">
        <v>3637</v>
      </c>
      <c r="E130" s="262">
        <v>1318202</v>
      </c>
      <c r="F130" s="179" t="s">
        <v>1457</v>
      </c>
      <c r="G130" s="190">
        <v>5449000910332</v>
      </c>
      <c r="H130" s="182"/>
      <c r="I130" s="314">
        <v>1318212</v>
      </c>
      <c r="J130" s="297" t="s">
        <v>3785</v>
      </c>
      <c r="K130" s="299">
        <v>5000112468823</v>
      </c>
      <c r="L130" s="313" t="s">
        <v>492</v>
      </c>
      <c r="N130" s="286" t="s">
        <v>94</v>
      </c>
      <c r="O130" s="181" t="s">
        <v>94</v>
      </c>
      <c r="P130" s="181" t="s">
        <v>36</v>
      </c>
      <c r="Q130" s="326" t="s">
        <v>3634</v>
      </c>
    </row>
    <row r="131" spans="1:18">
      <c r="A131" s="324" t="s">
        <v>28</v>
      </c>
      <c r="B131" s="323">
        <v>45499</v>
      </c>
      <c r="C131" s="193"/>
      <c r="D131" s="186" t="s">
        <v>3672</v>
      </c>
      <c r="E131" s="263">
        <v>611810</v>
      </c>
      <c r="F131" s="223" t="s">
        <v>3786</v>
      </c>
      <c r="G131" s="190">
        <v>5000112622355</v>
      </c>
      <c r="H131" s="182"/>
      <c r="I131" s="318">
        <v>611829</v>
      </c>
      <c r="J131" s="297" t="s">
        <v>3787</v>
      </c>
      <c r="K131" s="299">
        <v>5000112677218</v>
      </c>
      <c r="L131" s="313" t="s">
        <v>3641</v>
      </c>
      <c r="N131" s="286" t="s">
        <v>94</v>
      </c>
      <c r="O131" s="181" t="s">
        <v>94</v>
      </c>
      <c r="P131" s="181" t="s">
        <v>36</v>
      </c>
      <c r="Q131" s="326"/>
    </row>
    <row r="132" spans="1:18">
      <c r="A132" s="324" t="s">
        <v>28</v>
      </c>
      <c r="B132" s="323">
        <v>45499</v>
      </c>
      <c r="C132" s="193"/>
      <c r="D132" s="186" t="s">
        <v>3772</v>
      </c>
      <c r="E132" s="262">
        <v>2590901</v>
      </c>
      <c r="F132" s="179" t="s">
        <v>1653</v>
      </c>
      <c r="G132" s="190">
        <v>5000112466942</v>
      </c>
      <c r="H132" s="182"/>
      <c r="I132" s="169">
        <v>2590902</v>
      </c>
      <c r="J132" s="294" t="s">
        <v>3788</v>
      </c>
      <c r="K132" s="171">
        <v>5000112468182</v>
      </c>
      <c r="L132" s="313" t="s">
        <v>103</v>
      </c>
      <c r="N132" s="286" t="s">
        <v>94</v>
      </c>
      <c r="O132" s="181" t="s">
        <v>94</v>
      </c>
      <c r="P132" s="181" t="s">
        <v>36</v>
      </c>
      <c r="Q132" s="326" t="s">
        <v>3631</v>
      </c>
    </row>
    <row r="133" spans="1:18">
      <c r="A133" s="324" t="s">
        <v>28</v>
      </c>
      <c r="B133" s="323">
        <v>45499</v>
      </c>
      <c r="C133" s="193"/>
      <c r="D133" s="186" t="s">
        <v>3644</v>
      </c>
      <c r="E133" s="263">
        <v>2563101</v>
      </c>
      <c r="F133" s="223" t="s">
        <v>1589</v>
      </c>
      <c r="G133" s="190">
        <v>9031100007836</v>
      </c>
      <c r="H133" s="182"/>
      <c r="I133" s="288">
        <v>2609302</v>
      </c>
      <c r="J133" s="297" t="s">
        <v>3789</v>
      </c>
      <c r="K133" s="300" t="str">
        <f>"9031100008833"</f>
        <v>9031100008833</v>
      </c>
      <c r="L133" s="313" t="s">
        <v>41</v>
      </c>
      <c r="N133" s="286" t="s">
        <v>94</v>
      </c>
      <c r="O133" s="181" t="s">
        <v>94</v>
      </c>
      <c r="P133" s="181" t="s">
        <v>36</v>
      </c>
      <c r="Q133" s="326"/>
    </row>
    <row r="134" spans="1:18">
      <c r="A134" s="324" t="s">
        <v>28</v>
      </c>
      <c r="B134" s="323">
        <v>45499</v>
      </c>
      <c r="C134" s="193"/>
      <c r="D134" s="186" t="s">
        <v>3629</v>
      </c>
      <c r="E134" s="263">
        <v>1007903</v>
      </c>
      <c r="F134" s="223" t="s">
        <v>3790</v>
      </c>
      <c r="G134" s="190">
        <v>5449000932730</v>
      </c>
      <c r="H134" s="182"/>
      <c r="I134" s="318">
        <v>1007907</v>
      </c>
      <c r="J134" s="297" t="s">
        <v>3791</v>
      </c>
      <c r="K134" s="299">
        <v>5000112467697</v>
      </c>
      <c r="L134" s="313" t="s">
        <v>3641</v>
      </c>
      <c r="N134" s="286" t="s">
        <v>94</v>
      </c>
      <c r="O134" s="181" t="s">
        <v>94</v>
      </c>
      <c r="P134" s="181" t="s">
        <v>36</v>
      </c>
      <c r="Q134" s="326"/>
    </row>
    <row r="135" spans="1:18">
      <c r="A135" s="324" t="s">
        <v>28</v>
      </c>
      <c r="B135" s="323">
        <v>45513</v>
      </c>
      <c r="D135" s="186" t="s">
        <v>3629</v>
      </c>
      <c r="E135" s="266">
        <v>2522303</v>
      </c>
      <c r="F135" s="267" t="s">
        <v>1684</v>
      </c>
      <c r="G135" s="199">
        <v>5449000729934</v>
      </c>
      <c r="I135" s="288">
        <v>2522304</v>
      </c>
      <c r="J135" s="297" t="s">
        <v>1685</v>
      </c>
      <c r="K135" s="299">
        <v>5000112469301</v>
      </c>
      <c r="L135" s="313" t="s">
        <v>3627</v>
      </c>
      <c r="N135" s="286" t="s">
        <v>94</v>
      </c>
      <c r="O135" s="181" t="s">
        <v>94</v>
      </c>
      <c r="P135" s="181" t="s">
        <v>36</v>
      </c>
      <c r="Q135" s="326"/>
      <c r="R135" s="195" t="s">
        <v>3792</v>
      </c>
    </row>
    <row r="136" spans="1:18">
      <c r="A136" s="324" t="s">
        <v>28</v>
      </c>
      <c r="B136" s="323">
        <v>45513</v>
      </c>
      <c r="D136" s="186" t="s">
        <v>3629</v>
      </c>
      <c r="E136" s="266">
        <v>2608001</v>
      </c>
      <c r="F136" s="267" t="s">
        <v>1683</v>
      </c>
      <c r="G136" s="204" t="str">
        <f>"9031100008710"</f>
        <v>9031100008710</v>
      </c>
      <c r="I136" s="318">
        <v>2608002</v>
      </c>
      <c r="J136" s="297" t="s">
        <v>1687</v>
      </c>
      <c r="K136" s="299">
        <v>9031100008840</v>
      </c>
      <c r="L136" s="313" t="s">
        <v>41</v>
      </c>
      <c r="N136" s="286" t="s">
        <v>94</v>
      </c>
      <c r="O136" s="181" t="s">
        <v>94</v>
      </c>
      <c r="P136" s="181" t="s">
        <v>36</v>
      </c>
      <c r="Q136" s="326"/>
      <c r="R136" s="195" t="s">
        <v>3792</v>
      </c>
    </row>
    <row r="137" spans="1:18">
      <c r="A137" s="322" t="s">
        <v>28</v>
      </c>
      <c r="B137" s="323">
        <v>45548</v>
      </c>
      <c r="D137" s="186" t="s">
        <v>3629</v>
      </c>
      <c r="E137" s="268">
        <v>2130601</v>
      </c>
      <c r="F137" s="269" t="s">
        <v>1160</v>
      </c>
      <c r="G137" s="199">
        <v>9031100006228</v>
      </c>
      <c r="I137" s="318">
        <v>2130603</v>
      </c>
      <c r="J137" s="294" t="s">
        <v>1689</v>
      </c>
      <c r="K137" s="299">
        <v>9031100008857</v>
      </c>
      <c r="L137" s="313" t="s">
        <v>41</v>
      </c>
      <c r="N137" s="286" t="s">
        <v>94</v>
      </c>
      <c r="O137" s="181" t="s">
        <v>94</v>
      </c>
      <c r="P137" s="181" t="s">
        <v>36</v>
      </c>
      <c r="Q137" s="326"/>
      <c r="R137" s="195"/>
    </row>
    <row r="138" spans="1:18">
      <c r="A138" s="324" t="s">
        <v>28</v>
      </c>
      <c r="B138" s="323">
        <v>45548</v>
      </c>
      <c r="D138" s="186" t="s">
        <v>3624</v>
      </c>
      <c r="E138" s="270" t="s">
        <v>1691</v>
      </c>
      <c r="F138" s="267" t="s">
        <v>1692</v>
      </c>
      <c r="G138" s="212">
        <v>5449000727336</v>
      </c>
      <c r="I138" s="288">
        <v>2522305</v>
      </c>
      <c r="J138" s="294" t="s">
        <v>3793</v>
      </c>
      <c r="K138" s="299">
        <v>5000112469714</v>
      </c>
      <c r="L138" s="313" t="s">
        <v>3627</v>
      </c>
      <c r="N138" s="286" t="s">
        <v>94</v>
      </c>
      <c r="O138" s="181" t="s">
        <v>94</v>
      </c>
      <c r="P138" s="181" t="s">
        <v>36</v>
      </c>
      <c r="Q138" s="326" t="s">
        <v>3794</v>
      </c>
    </row>
    <row r="139" spans="1:18">
      <c r="A139" s="324" t="s">
        <v>28</v>
      </c>
      <c r="B139" s="323">
        <v>45548</v>
      </c>
      <c r="D139" s="186" t="s">
        <v>3624</v>
      </c>
      <c r="E139" s="270">
        <v>2600601</v>
      </c>
      <c r="F139" s="267" t="s">
        <v>1670</v>
      </c>
      <c r="G139" s="212">
        <v>5449000728760</v>
      </c>
      <c r="I139" s="288">
        <v>2600602</v>
      </c>
      <c r="J139" s="294" t="s">
        <v>3795</v>
      </c>
      <c r="K139" s="299">
        <v>5000112469721</v>
      </c>
      <c r="L139" s="313" t="s">
        <v>3627</v>
      </c>
      <c r="N139" s="286" t="s">
        <v>94</v>
      </c>
      <c r="O139" s="181" t="s">
        <v>94</v>
      </c>
      <c r="P139" s="181" t="s">
        <v>36</v>
      </c>
      <c r="Q139" s="326" t="s">
        <v>3794</v>
      </c>
    </row>
    <row r="140" spans="1:18">
      <c r="A140" s="324" t="s">
        <v>28</v>
      </c>
      <c r="B140" s="323">
        <v>45548</v>
      </c>
      <c r="D140" s="186" t="s">
        <v>3664</v>
      </c>
      <c r="E140" s="270">
        <v>1522212</v>
      </c>
      <c r="F140" s="267" t="s">
        <v>1695</v>
      </c>
      <c r="G140" s="212">
        <v>5449000711076</v>
      </c>
      <c r="I140" s="288">
        <v>2522002</v>
      </c>
      <c r="J140" s="294" t="s">
        <v>3796</v>
      </c>
      <c r="K140" s="299">
        <v>5000112469745</v>
      </c>
      <c r="L140" s="313" t="s">
        <v>3627</v>
      </c>
      <c r="N140" s="286" t="s">
        <v>94</v>
      </c>
      <c r="O140" s="181" t="s">
        <v>94</v>
      </c>
      <c r="P140" s="181" t="s">
        <v>36</v>
      </c>
      <c r="Q140" s="326" t="s">
        <v>3794</v>
      </c>
    </row>
    <row r="141" spans="1:18">
      <c r="A141" s="324" t="s">
        <v>28</v>
      </c>
      <c r="B141" s="323">
        <v>45548</v>
      </c>
      <c r="D141" s="186" t="s">
        <v>3637</v>
      </c>
      <c r="E141" s="270">
        <v>2625602</v>
      </c>
      <c r="F141" s="269" t="s">
        <v>1697</v>
      </c>
      <c r="G141" s="212">
        <v>5449000730145</v>
      </c>
      <c r="I141" s="288">
        <v>2625603</v>
      </c>
      <c r="J141" s="294" t="s">
        <v>1699</v>
      </c>
      <c r="K141" s="299">
        <v>5000112469691</v>
      </c>
      <c r="L141" s="313" t="s">
        <v>3641</v>
      </c>
      <c r="N141" s="286" t="s">
        <v>94</v>
      </c>
      <c r="O141" s="181" t="s">
        <v>94</v>
      </c>
      <c r="P141" s="181" t="s">
        <v>36</v>
      </c>
      <c r="Q141" s="326" t="s">
        <v>3797</v>
      </c>
      <c r="R141" s="195" t="s">
        <v>3792</v>
      </c>
    </row>
    <row r="142" spans="1:18">
      <c r="A142" s="324" t="s">
        <v>28</v>
      </c>
      <c r="B142" s="323">
        <v>45548</v>
      </c>
      <c r="D142" s="186" t="s">
        <v>3644</v>
      </c>
      <c r="E142" s="270">
        <v>2625601</v>
      </c>
      <c r="F142" s="269" t="s">
        <v>1698</v>
      </c>
      <c r="G142" s="212">
        <v>5449000730152</v>
      </c>
      <c r="I142" s="288">
        <v>2625604</v>
      </c>
      <c r="J142" s="294" t="s">
        <v>1700</v>
      </c>
      <c r="K142" s="299">
        <v>5000112469707</v>
      </c>
      <c r="L142" s="313" t="s">
        <v>3641</v>
      </c>
      <c r="N142" s="286" t="s">
        <v>94</v>
      </c>
      <c r="O142" s="181" t="s">
        <v>94</v>
      </c>
      <c r="P142" s="181" t="s">
        <v>36</v>
      </c>
      <c r="Q142" s="326" t="s">
        <v>3797</v>
      </c>
      <c r="R142" s="195" t="s">
        <v>3792</v>
      </c>
    </row>
    <row r="143" spans="1:18">
      <c r="A143" s="324" t="s">
        <v>28</v>
      </c>
      <c r="B143" s="323">
        <v>45548</v>
      </c>
      <c r="D143" s="186" t="s">
        <v>3664</v>
      </c>
      <c r="E143" s="271">
        <v>1595217</v>
      </c>
      <c r="F143" s="269" t="s">
        <v>1701</v>
      </c>
      <c r="G143" s="212">
        <v>5449000730183</v>
      </c>
      <c r="I143" s="288">
        <v>1595218</v>
      </c>
      <c r="J143" s="294" t="s">
        <v>3798</v>
      </c>
      <c r="K143" s="299">
        <v>5000112469783</v>
      </c>
      <c r="L143" s="313" t="s">
        <v>3627</v>
      </c>
      <c r="N143" s="286" t="s">
        <v>94</v>
      </c>
      <c r="O143" s="181" t="s">
        <v>94</v>
      </c>
      <c r="P143" s="181" t="s">
        <v>36</v>
      </c>
      <c r="Q143" s="326" t="s">
        <v>3797</v>
      </c>
      <c r="R143" s="195" t="s">
        <v>3792</v>
      </c>
    </row>
    <row r="144" spans="1:18">
      <c r="A144" s="324" t="s">
        <v>28</v>
      </c>
      <c r="B144" s="323">
        <v>45562</v>
      </c>
      <c r="D144" s="186" t="s">
        <v>3637</v>
      </c>
      <c r="E144" s="271">
        <v>1637412</v>
      </c>
      <c r="F144" s="269" t="s">
        <v>1704</v>
      </c>
      <c r="G144" s="212">
        <v>5449000730688</v>
      </c>
      <c r="I144" s="288">
        <v>1637411</v>
      </c>
      <c r="J144" s="294" t="s">
        <v>1709</v>
      </c>
      <c r="K144" s="299">
        <v>5000112469820</v>
      </c>
      <c r="L144" s="313" t="s">
        <v>3641</v>
      </c>
      <c r="N144" s="286" t="s">
        <v>94</v>
      </c>
      <c r="O144" s="181" t="s">
        <v>94</v>
      </c>
      <c r="P144" s="181" t="s">
        <v>36</v>
      </c>
      <c r="Q144" s="326" t="s">
        <v>3797</v>
      </c>
      <c r="R144" s="195" t="s">
        <v>3792</v>
      </c>
    </row>
    <row r="145" spans="1:18">
      <c r="A145" s="324" t="s">
        <v>28</v>
      </c>
      <c r="B145" s="323">
        <v>45562</v>
      </c>
      <c r="D145" s="186" t="s">
        <v>3644</v>
      </c>
      <c r="E145" s="271">
        <v>1637410</v>
      </c>
      <c r="F145" s="269" t="s">
        <v>1706</v>
      </c>
      <c r="G145" s="212">
        <v>5449000730695</v>
      </c>
      <c r="I145" s="288">
        <v>1637409</v>
      </c>
      <c r="J145" s="294" t="s">
        <v>1710</v>
      </c>
      <c r="K145" s="299">
        <v>5000112469813</v>
      </c>
      <c r="L145" s="313" t="s">
        <v>3641</v>
      </c>
      <c r="N145" s="286" t="s">
        <v>94</v>
      </c>
      <c r="O145" s="181" t="s">
        <v>94</v>
      </c>
      <c r="P145" s="181" t="s">
        <v>36</v>
      </c>
      <c r="Q145" s="326" t="s">
        <v>3797</v>
      </c>
      <c r="R145" s="195" t="s">
        <v>3792</v>
      </c>
    </row>
    <row r="146" spans="1:18">
      <c r="A146" s="322" t="s">
        <v>28</v>
      </c>
      <c r="B146" s="325">
        <v>45562</v>
      </c>
      <c r="C146" s="228"/>
      <c r="D146" s="186" t="s">
        <v>3632</v>
      </c>
      <c r="E146" s="271">
        <v>1595220</v>
      </c>
      <c r="F146" s="269" t="s">
        <v>1707</v>
      </c>
      <c r="G146" s="212">
        <v>5449000730701</v>
      </c>
      <c r="H146" s="229"/>
      <c r="I146" s="315">
        <v>1595222</v>
      </c>
      <c r="J146" s="294" t="s">
        <v>1711</v>
      </c>
      <c r="K146" s="299">
        <v>5000112470352</v>
      </c>
      <c r="L146" s="320" t="s">
        <v>3641</v>
      </c>
      <c r="M146" s="223"/>
      <c r="N146" s="286" t="s">
        <v>94</v>
      </c>
      <c r="O146" s="181" t="s">
        <v>94</v>
      </c>
      <c r="P146" s="181" t="s">
        <v>36</v>
      </c>
      <c r="Q146" s="326" t="s">
        <v>3797</v>
      </c>
      <c r="R146" s="195" t="s">
        <v>3792</v>
      </c>
    </row>
    <row r="147" spans="1:18">
      <c r="A147" s="322" t="s">
        <v>28</v>
      </c>
      <c r="B147" s="325">
        <v>45562</v>
      </c>
      <c r="C147" s="228"/>
      <c r="D147" s="186" t="s">
        <v>3629</v>
      </c>
      <c r="E147" s="271">
        <v>1595219</v>
      </c>
      <c r="F147" s="269" t="s">
        <v>1708</v>
      </c>
      <c r="G147" s="212">
        <v>5449000730718</v>
      </c>
      <c r="H147" s="229"/>
      <c r="I147" s="315">
        <v>1595221</v>
      </c>
      <c r="J147" s="294" t="s">
        <v>1712</v>
      </c>
      <c r="K147" s="299">
        <v>5000112469837</v>
      </c>
      <c r="L147" s="320" t="s">
        <v>3641</v>
      </c>
      <c r="M147" s="223"/>
      <c r="N147" s="286" t="s">
        <v>94</v>
      </c>
      <c r="O147" s="181" t="s">
        <v>94</v>
      </c>
      <c r="P147" s="181" t="s">
        <v>36</v>
      </c>
      <c r="Q147" s="326" t="s">
        <v>3797</v>
      </c>
      <c r="R147" s="195" t="s">
        <v>3792</v>
      </c>
    </row>
    <row r="148" spans="1:18">
      <c r="A148" s="324" t="s">
        <v>28</v>
      </c>
      <c r="B148" s="323">
        <v>45562</v>
      </c>
      <c r="D148" s="186" t="s">
        <v>3644</v>
      </c>
      <c r="E148" s="271" t="s">
        <v>1713</v>
      </c>
      <c r="F148" s="269" t="s">
        <v>1714</v>
      </c>
      <c r="G148" s="212">
        <v>5000112459821</v>
      </c>
      <c r="I148" s="288">
        <v>1582420</v>
      </c>
      <c r="J148" s="294" t="s">
        <v>1715</v>
      </c>
      <c r="K148" s="299">
        <v>5000112470321</v>
      </c>
      <c r="L148" s="313" t="s">
        <v>3627</v>
      </c>
      <c r="N148" s="286" t="s">
        <v>94</v>
      </c>
      <c r="O148" s="181" t="s">
        <v>94</v>
      </c>
      <c r="P148" s="181" t="s">
        <v>36</v>
      </c>
      <c r="Q148" s="326" t="s">
        <v>3794</v>
      </c>
    </row>
    <row r="149" spans="1:18">
      <c r="A149" s="324" t="s">
        <v>28</v>
      </c>
      <c r="B149" s="323">
        <v>45562</v>
      </c>
      <c r="D149" s="186" t="s">
        <v>3644</v>
      </c>
      <c r="E149" s="271">
        <v>1839506</v>
      </c>
      <c r="F149" s="269" t="s">
        <v>1716</v>
      </c>
      <c r="G149" s="212">
        <v>5449000720207</v>
      </c>
      <c r="I149" s="288">
        <v>1839516</v>
      </c>
      <c r="J149" s="294" t="s">
        <v>1717</v>
      </c>
      <c r="K149" s="299">
        <v>5000112469738</v>
      </c>
      <c r="L149" s="313" t="s">
        <v>3627</v>
      </c>
      <c r="N149" s="286" t="s">
        <v>94</v>
      </c>
      <c r="O149" s="181" t="s">
        <v>94</v>
      </c>
      <c r="P149" s="181" t="s">
        <v>36</v>
      </c>
      <c r="Q149" s="326" t="s">
        <v>3794</v>
      </c>
    </row>
    <row r="150" spans="1:18">
      <c r="A150" s="324" t="s">
        <v>28</v>
      </c>
      <c r="B150" s="323">
        <v>45562</v>
      </c>
      <c r="D150" s="186" t="s">
        <v>3644</v>
      </c>
      <c r="E150" s="271">
        <v>2606501</v>
      </c>
      <c r="F150" s="269" t="s">
        <v>1718</v>
      </c>
      <c r="G150" s="212">
        <v>5449000729293</v>
      </c>
      <c r="I150" s="288">
        <v>2114015</v>
      </c>
      <c r="J150" s="294" t="s">
        <v>1719</v>
      </c>
      <c r="K150" s="299">
        <v>5000112470345</v>
      </c>
      <c r="L150" s="313" t="s">
        <v>69</v>
      </c>
      <c r="N150" s="286" t="s">
        <v>94</v>
      </c>
      <c r="O150" s="181" t="s">
        <v>94</v>
      </c>
      <c r="P150" s="181" t="s">
        <v>36</v>
      </c>
      <c r="Q150" s="326" t="s">
        <v>3794</v>
      </c>
    </row>
    <row r="151" spans="1:18">
      <c r="A151" s="324" t="s">
        <v>28</v>
      </c>
      <c r="B151" s="323">
        <v>45562</v>
      </c>
      <c r="D151" s="186" t="s">
        <v>3637</v>
      </c>
      <c r="E151" s="271">
        <v>2606502</v>
      </c>
      <c r="F151" s="269" t="s">
        <v>1720</v>
      </c>
      <c r="G151" s="212">
        <v>5449000729309</v>
      </c>
      <c r="I151" s="288">
        <v>2114016</v>
      </c>
      <c r="J151" s="294" t="s">
        <v>1721</v>
      </c>
      <c r="K151" s="299">
        <v>5000112470338</v>
      </c>
      <c r="L151" s="313" t="s">
        <v>69</v>
      </c>
      <c r="N151" s="286" t="s">
        <v>94</v>
      </c>
      <c r="O151" s="181" t="s">
        <v>94</v>
      </c>
      <c r="P151" s="181" t="s">
        <v>36</v>
      </c>
      <c r="Q151" s="326" t="s">
        <v>3794</v>
      </c>
    </row>
    <row r="152" spans="1:18">
      <c r="A152" s="324" t="s">
        <v>28</v>
      </c>
      <c r="B152" s="323">
        <v>45562</v>
      </c>
      <c r="D152" s="186" t="s">
        <v>3644</v>
      </c>
      <c r="E152" s="271">
        <v>1318204</v>
      </c>
      <c r="F152" s="269" t="s">
        <v>1722</v>
      </c>
      <c r="G152" s="212">
        <v>5449000911162</v>
      </c>
      <c r="I152" s="288">
        <v>1467702</v>
      </c>
      <c r="J152" s="294" t="s">
        <v>1723</v>
      </c>
      <c r="K152" s="299">
        <v>5000112469684</v>
      </c>
      <c r="L152" s="313" t="s">
        <v>492</v>
      </c>
      <c r="N152" s="286" t="s">
        <v>94</v>
      </c>
      <c r="O152" s="181" t="s">
        <v>94</v>
      </c>
      <c r="P152" s="181" t="s">
        <v>36</v>
      </c>
      <c r="Q152" s="326" t="s">
        <v>3794</v>
      </c>
    </row>
    <row r="153" spans="1:18">
      <c r="A153" s="324" t="s">
        <v>28</v>
      </c>
      <c r="B153" s="323">
        <v>45562</v>
      </c>
      <c r="D153" s="186" t="s">
        <v>3637</v>
      </c>
      <c r="E153" s="271">
        <v>1318205</v>
      </c>
      <c r="F153" s="269" t="s">
        <v>1724</v>
      </c>
      <c r="G153" s="212">
        <v>5449000911179</v>
      </c>
      <c r="I153" s="288">
        <v>1467703</v>
      </c>
      <c r="J153" s="294" t="s">
        <v>1725</v>
      </c>
      <c r="K153" s="299">
        <v>5000112469677</v>
      </c>
      <c r="L153" s="313" t="s">
        <v>492</v>
      </c>
      <c r="N153" s="286" t="s">
        <v>94</v>
      </c>
      <c r="O153" s="181" t="s">
        <v>94</v>
      </c>
      <c r="P153" s="181" t="s">
        <v>36</v>
      </c>
      <c r="Q153" s="326" t="s">
        <v>3794</v>
      </c>
    </row>
    <row r="154" spans="1:18">
      <c r="A154" s="324" t="s">
        <v>28</v>
      </c>
      <c r="B154" s="323">
        <v>45583</v>
      </c>
      <c r="D154" s="186" t="s">
        <v>3637</v>
      </c>
      <c r="E154" s="271">
        <v>1467704</v>
      </c>
      <c r="F154" s="269" t="s">
        <v>3799</v>
      </c>
      <c r="G154" s="212">
        <v>5449000731029</v>
      </c>
      <c r="I154" s="169">
        <v>1467705</v>
      </c>
      <c r="J154" s="297" t="s">
        <v>3800</v>
      </c>
      <c r="K154" s="299">
        <v>5000112470666</v>
      </c>
      <c r="L154" s="313" t="s">
        <v>492</v>
      </c>
      <c r="N154" s="286" t="s">
        <v>94</v>
      </c>
      <c r="O154" s="181" t="s">
        <v>94</v>
      </c>
      <c r="P154" s="181" t="s">
        <v>36</v>
      </c>
      <c r="Q154" s="326"/>
      <c r="R154" s="195" t="s">
        <v>3792</v>
      </c>
    </row>
    <row r="155" spans="1:18">
      <c r="A155" s="324" t="s">
        <v>28</v>
      </c>
      <c r="B155" s="323">
        <v>45583</v>
      </c>
      <c r="D155" s="186" t="s">
        <v>3637</v>
      </c>
      <c r="E155" s="271"/>
      <c r="F155" s="269"/>
      <c r="G155" s="212"/>
      <c r="I155" s="169">
        <v>1839518</v>
      </c>
      <c r="J155" s="306" t="s">
        <v>1728</v>
      </c>
      <c r="K155" s="307">
        <v>5000112471083</v>
      </c>
      <c r="L155" s="313" t="s">
        <v>3627</v>
      </c>
      <c r="N155" s="286" t="s">
        <v>94</v>
      </c>
      <c r="O155" s="181" t="s">
        <v>94</v>
      </c>
      <c r="P155" s="181" t="s">
        <v>36</v>
      </c>
      <c r="Q155" s="326" t="s">
        <v>3794</v>
      </c>
      <c r="R155" s="195" t="s">
        <v>3792</v>
      </c>
    </row>
    <row r="156" spans="1:18">
      <c r="A156" s="324" t="s">
        <v>28</v>
      </c>
      <c r="B156" s="323">
        <v>45583</v>
      </c>
      <c r="D156" s="186" t="s">
        <v>3644</v>
      </c>
      <c r="E156" s="271"/>
      <c r="F156" s="269"/>
      <c r="G156" s="212"/>
      <c r="I156" s="169">
        <v>1839517</v>
      </c>
      <c r="J156" s="306" t="s">
        <v>1729</v>
      </c>
      <c r="K156" s="307">
        <v>5000112471113</v>
      </c>
      <c r="L156" s="313" t="s">
        <v>3627</v>
      </c>
      <c r="N156" s="286" t="s">
        <v>94</v>
      </c>
      <c r="O156" s="181" t="s">
        <v>94</v>
      </c>
      <c r="P156" s="181" t="s">
        <v>36</v>
      </c>
      <c r="Q156" s="326" t="s">
        <v>3794</v>
      </c>
      <c r="R156" s="195" t="s">
        <v>3792</v>
      </c>
    </row>
    <row r="157" spans="1:18">
      <c r="A157" s="324" t="s">
        <v>28</v>
      </c>
      <c r="B157" s="323">
        <v>45583</v>
      </c>
      <c r="D157" s="186" t="s">
        <v>3644</v>
      </c>
      <c r="E157" s="272">
        <v>2641902</v>
      </c>
      <c r="F157" s="269" t="s">
        <v>1730</v>
      </c>
      <c r="G157" s="232">
        <v>5449000731784</v>
      </c>
      <c r="I157" s="169">
        <v>2641901</v>
      </c>
      <c r="J157" s="297" t="s">
        <v>1732</v>
      </c>
      <c r="K157" s="307">
        <v>5000112471151</v>
      </c>
      <c r="L157" s="313" t="s">
        <v>3627</v>
      </c>
      <c r="N157" s="286" t="s">
        <v>94</v>
      </c>
      <c r="O157" s="181" t="s">
        <v>94</v>
      </c>
      <c r="P157" s="181" t="s">
        <v>36</v>
      </c>
      <c r="Q157" s="326" t="s">
        <v>3794</v>
      </c>
      <c r="R157" s="195" t="s">
        <v>3792</v>
      </c>
    </row>
    <row r="158" spans="1:18">
      <c r="A158" s="324" t="s">
        <v>28</v>
      </c>
      <c r="B158" s="323">
        <v>45583</v>
      </c>
      <c r="D158" s="186" t="s">
        <v>3629</v>
      </c>
      <c r="E158" s="272">
        <v>2571805</v>
      </c>
      <c r="F158" s="269" t="s">
        <v>1731</v>
      </c>
      <c r="G158" s="232">
        <v>5449000731791</v>
      </c>
      <c r="I158" s="169">
        <v>2571804</v>
      </c>
      <c r="J158" s="297" t="s">
        <v>1733</v>
      </c>
      <c r="K158" s="307">
        <v>5000112471236</v>
      </c>
      <c r="L158" s="313" t="s">
        <v>3627</v>
      </c>
      <c r="N158" s="286" t="s">
        <v>94</v>
      </c>
      <c r="O158" s="181" t="s">
        <v>94</v>
      </c>
      <c r="P158" s="181" t="s">
        <v>36</v>
      </c>
      <c r="Q158" s="326" t="s">
        <v>3794</v>
      </c>
      <c r="R158" s="195" t="s">
        <v>3792</v>
      </c>
    </row>
    <row r="159" spans="1:18">
      <c r="A159" s="324" t="s">
        <v>28</v>
      </c>
      <c r="B159" s="323">
        <v>45583</v>
      </c>
      <c r="D159" s="186" t="s">
        <v>3637</v>
      </c>
      <c r="E159" s="272">
        <v>2641204</v>
      </c>
      <c r="F159" s="269" t="s">
        <v>1736</v>
      </c>
      <c r="G159" s="233">
        <v>5449000731746</v>
      </c>
      <c r="I159" s="169">
        <v>2641202</v>
      </c>
      <c r="J159" s="297" t="s">
        <v>1734</v>
      </c>
      <c r="K159" s="307">
        <v>5000112471090</v>
      </c>
      <c r="L159" s="313" t="s">
        <v>48</v>
      </c>
      <c r="N159" s="286" t="s">
        <v>94</v>
      </c>
      <c r="O159" s="181" t="s">
        <v>94</v>
      </c>
      <c r="P159" s="181" t="s">
        <v>36</v>
      </c>
      <c r="Q159" s="326" t="s">
        <v>3794</v>
      </c>
      <c r="R159" s="195" t="s">
        <v>3792</v>
      </c>
    </row>
    <row r="160" spans="1:18">
      <c r="A160" s="324" t="s">
        <v>28</v>
      </c>
      <c r="B160" s="323">
        <v>45583</v>
      </c>
      <c r="D160" s="186" t="s">
        <v>3644</v>
      </c>
      <c r="E160" s="272">
        <v>2641203</v>
      </c>
      <c r="F160" s="269" t="s">
        <v>1737</v>
      </c>
      <c r="G160" s="233">
        <v>5449000731753</v>
      </c>
      <c r="I160" s="169">
        <v>2641201</v>
      </c>
      <c r="J160" s="297" t="s">
        <v>1735</v>
      </c>
      <c r="K160" s="307">
        <v>5000112471106</v>
      </c>
      <c r="L160" s="313" t="s">
        <v>216</v>
      </c>
      <c r="N160" s="286" t="s">
        <v>94</v>
      </c>
      <c r="O160" s="181" t="s">
        <v>94</v>
      </c>
      <c r="P160" s="181" t="s">
        <v>36</v>
      </c>
      <c r="Q160" s="326" t="s">
        <v>3794</v>
      </c>
      <c r="R160" s="195" t="s">
        <v>3792</v>
      </c>
    </row>
    <row r="161" spans="1:18">
      <c r="A161" s="324" t="s">
        <v>28</v>
      </c>
      <c r="B161" s="323">
        <v>45596</v>
      </c>
      <c r="D161" s="186" t="s">
        <v>3629</v>
      </c>
      <c r="E161" s="181">
        <v>2522314</v>
      </c>
      <c r="F161" s="179" t="s">
        <v>1746</v>
      </c>
      <c r="G161" s="232">
        <v>5000112471144</v>
      </c>
      <c r="I161" s="169">
        <v>2522311</v>
      </c>
      <c r="J161" s="297" t="s">
        <v>1742</v>
      </c>
      <c r="K161" s="307">
        <v>5000112471519</v>
      </c>
      <c r="L161" s="313" t="s">
        <v>3627</v>
      </c>
      <c r="N161" s="286" t="s">
        <v>94</v>
      </c>
      <c r="O161" s="181" t="s">
        <v>94</v>
      </c>
      <c r="P161" s="181" t="s">
        <v>36</v>
      </c>
      <c r="Q161" s="326" t="s">
        <v>3794</v>
      </c>
      <c r="R161" s="195" t="s">
        <v>3792</v>
      </c>
    </row>
    <row r="162" spans="1:18">
      <c r="A162" s="324" t="s">
        <v>28</v>
      </c>
      <c r="B162" s="323">
        <v>45596</v>
      </c>
      <c r="D162" s="186" t="s">
        <v>3629</v>
      </c>
      <c r="E162" s="181">
        <v>2522313</v>
      </c>
      <c r="F162" s="179" t="s">
        <v>1749</v>
      </c>
      <c r="G162" s="233">
        <v>5449000731777</v>
      </c>
      <c r="I162" s="169">
        <v>2522307</v>
      </c>
      <c r="J162" s="297" t="s">
        <v>1743</v>
      </c>
      <c r="K162" s="307">
        <v>5000112471168</v>
      </c>
      <c r="L162" s="313" t="s">
        <v>3627</v>
      </c>
      <c r="N162" s="286" t="s">
        <v>94</v>
      </c>
      <c r="O162" s="181" t="s">
        <v>94</v>
      </c>
      <c r="P162" s="181" t="s">
        <v>36</v>
      </c>
      <c r="Q162" s="326" t="s">
        <v>3794</v>
      </c>
      <c r="R162" s="195" t="s">
        <v>3792</v>
      </c>
    </row>
    <row r="163" spans="1:18">
      <c r="A163" s="324" t="s">
        <v>28</v>
      </c>
      <c r="B163" s="323">
        <v>45596</v>
      </c>
      <c r="D163" s="186" t="s">
        <v>3629</v>
      </c>
      <c r="E163" s="181">
        <v>2522312</v>
      </c>
      <c r="F163" s="179" t="s">
        <v>3801</v>
      </c>
      <c r="G163" s="233">
        <v>5449000731821</v>
      </c>
      <c r="I163" s="169">
        <v>2522306</v>
      </c>
      <c r="J163" s="297" t="s">
        <v>1744</v>
      </c>
      <c r="K163" s="307">
        <v>5000112471328</v>
      </c>
      <c r="L163" s="313" t="s">
        <v>3627</v>
      </c>
      <c r="N163" s="286" t="s">
        <v>94</v>
      </c>
      <c r="O163" s="181" t="s">
        <v>94</v>
      </c>
      <c r="P163" s="181" t="s">
        <v>36</v>
      </c>
      <c r="Q163" s="326" t="s">
        <v>3794</v>
      </c>
      <c r="R163" s="195" t="s">
        <v>3792</v>
      </c>
    </row>
    <row r="164" spans="1:18">
      <c r="A164" s="324" t="s">
        <v>28</v>
      </c>
      <c r="B164" s="323">
        <v>45611</v>
      </c>
      <c r="D164" s="186" t="s">
        <v>3637</v>
      </c>
      <c r="G164" s="234"/>
      <c r="I164" s="169">
        <v>2641802</v>
      </c>
      <c r="J164" s="294" t="s">
        <v>1758</v>
      </c>
      <c r="K164" s="307">
        <v>5000112471137</v>
      </c>
      <c r="L164" s="313" t="s">
        <v>3641</v>
      </c>
      <c r="N164" s="286" t="s">
        <v>94</v>
      </c>
      <c r="O164" s="181" t="s">
        <v>94</v>
      </c>
      <c r="P164" s="181" t="s">
        <v>36</v>
      </c>
      <c r="Q164" s="326" t="s">
        <v>3794</v>
      </c>
      <c r="R164" s="195" t="s">
        <v>3792</v>
      </c>
    </row>
    <row r="165" spans="1:18">
      <c r="A165" s="324" t="s">
        <v>28</v>
      </c>
      <c r="B165" s="323">
        <v>45611</v>
      </c>
      <c r="D165" s="186" t="s">
        <v>3644</v>
      </c>
      <c r="G165" s="234"/>
      <c r="I165" s="169">
        <v>2641801</v>
      </c>
      <c r="J165" s="294" t="s">
        <v>1759</v>
      </c>
      <c r="K165" s="307">
        <v>5000112471120</v>
      </c>
      <c r="L165" s="313" t="s">
        <v>3641</v>
      </c>
      <c r="N165" s="286" t="s">
        <v>94</v>
      </c>
      <c r="O165" s="181" t="s">
        <v>94</v>
      </c>
      <c r="P165" s="181" t="s">
        <v>36</v>
      </c>
      <c r="Q165" s="326" t="s">
        <v>3794</v>
      </c>
      <c r="R165" s="195" t="s">
        <v>3792</v>
      </c>
    </row>
    <row r="166" spans="1:18">
      <c r="A166" s="324" t="s">
        <v>28</v>
      </c>
      <c r="B166" s="323">
        <v>45611</v>
      </c>
      <c r="D166" s="186" t="s">
        <v>3637</v>
      </c>
      <c r="G166" s="234"/>
      <c r="I166" s="288">
        <v>2643302</v>
      </c>
      <c r="J166" s="294" t="s">
        <v>1762</v>
      </c>
      <c r="K166" s="307">
        <v>5000112471502</v>
      </c>
      <c r="L166" s="313" t="s">
        <v>3641</v>
      </c>
      <c r="N166" s="286" t="s">
        <v>94</v>
      </c>
      <c r="O166" s="181" t="s">
        <v>94</v>
      </c>
      <c r="P166" s="181" t="s">
        <v>36</v>
      </c>
      <c r="Q166" s="326" t="s">
        <v>3794</v>
      </c>
      <c r="R166" s="195" t="s">
        <v>3792</v>
      </c>
    </row>
    <row r="167" spans="1:18">
      <c r="A167" s="324" t="s">
        <v>28</v>
      </c>
      <c r="B167" s="323">
        <v>45611</v>
      </c>
      <c r="D167" s="186" t="s">
        <v>3644</v>
      </c>
      <c r="G167" s="234"/>
      <c r="I167" s="288">
        <v>2643301</v>
      </c>
      <c r="J167" s="294" t="s">
        <v>1764</v>
      </c>
      <c r="K167" s="307">
        <v>5000112471564</v>
      </c>
      <c r="L167" s="313" t="s">
        <v>3641</v>
      </c>
      <c r="N167" s="286" t="s">
        <v>94</v>
      </c>
      <c r="O167" s="181" t="s">
        <v>94</v>
      </c>
      <c r="P167" s="181" t="s">
        <v>36</v>
      </c>
      <c r="Q167" s="326" t="s">
        <v>3794</v>
      </c>
      <c r="R167" s="195" t="s">
        <v>3792</v>
      </c>
    </row>
    <row r="168" spans="1:18">
      <c r="A168" s="324" t="s">
        <v>28</v>
      </c>
      <c r="B168" s="323">
        <v>45611</v>
      </c>
      <c r="D168" s="186" t="s">
        <v>3637</v>
      </c>
      <c r="E168" s="272">
        <v>2562401</v>
      </c>
      <c r="F168" s="269" t="s">
        <v>1582</v>
      </c>
      <c r="G168" s="233">
        <v>5449000327444</v>
      </c>
      <c r="I168" s="169">
        <v>2562402</v>
      </c>
      <c r="J168" s="294" t="s">
        <v>1765</v>
      </c>
      <c r="K168" s="307">
        <v>5000112471472</v>
      </c>
      <c r="L168" s="313" t="s">
        <v>615</v>
      </c>
      <c r="N168" s="286" t="s">
        <v>94</v>
      </c>
      <c r="O168" s="181" t="s">
        <v>94</v>
      </c>
      <c r="P168" s="181" t="s">
        <v>36</v>
      </c>
      <c r="Q168" s="326" t="s">
        <v>3794</v>
      </c>
    </row>
    <row r="169" spans="1:18">
      <c r="A169" s="324" t="s">
        <v>28</v>
      </c>
      <c r="B169" s="323">
        <v>45611</v>
      </c>
      <c r="D169" s="186" t="s">
        <v>3644</v>
      </c>
      <c r="E169" s="272">
        <v>2562001</v>
      </c>
      <c r="F169" s="269" t="s">
        <v>1583</v>
      </c>
      <c r="G169" s="233">
        <v>5449000327437</v>
      </c>
      <c r="I169" s="169">
        <v>2562002</v>
      </c>
      <c r="J169" s="294" t="s">
        <v>1766</v>
      </c>
      <c r="K169" s="307">
        <v>5000112471489</v>
      </c>
      <c r="L169" s="313" t="s">
        <v>615</v>
      </c>
      <c r="N169" s="286" t="s">
        <v>94</v>
      </c>
      <c r="O169" s="181" t="s">
        <v>94</v>
      </c>
      <c r="P169" s="181" t="s">
        <v>36</v>
      </c>
      <c r="Q169" s="326" t="s">
        <v>3794</v>
      </c>
    </row>
    <row r="170" spans="1:18">
      <c r="A170" s="324" t="s">
        <v>28</v>
      </c>
      <c r="B170" s="323">
        <v>45611</v>
      </c>
      <c r="D170" s="186" t="s">
        <v>3637</v>
      </c>
      <c r="E170" s="272">
        <v>2562201</v>
      </c>
      <c r="F170" s="269" t="s">
        <v>1584</v>
      </c>
      <c r="G170" s="233">
        <v>5449000327413</v>
      </c>
      <c r="I170" s="169">
        <v>2562202</v>
      </c>
      <c r="J170" s="294" t="s">
        <v>1767</v>
      </c>
      <c r="K170" s="307">
        <v>5000112471496</v>
      </c>
      <c r="L170" s="313" t="s">
        <v>615</v>
      </c>
      <c r="N170" s="286" t="s">
        <v>94</v>
      </c>
      <c r="O170" s="181" t="s">
        <v>94</v>
      </c>
      <c r="P170" s="181" t="s">
        <v>36</v>
      </c>
      <c r="Q170" s="326" t="s">
        <v>3794</v>
      </c>
    </row>
    <row r="171" spans="1:18">
      <c r="A171" s="324" t="s">
        <v>28</v>
      </c>
      <c r="B171" s="323">
        <v>45611</v>
      </c>
      <c r="D171" s="186" t="s">
        <v>3644</v>
      </c>
      <c r="E171" s="272">
        <v>2562301</v>
      </c>
      <c r="F171" s="269" t="s">
        <v>1585</v>
      </c>
      <c r="G171" s="233">
        <v>5449000327420</v>
      </c>
      <c r="I171" s="169">
        <v>2562302</v>
      </c>
      <c r="J171" s="294" t="s">
        <v>1768</v>
      </c>
      <c r="K171" s="307">
        <v>5000112471441</v>
      </c>
      <c r="L171" s="313" t="s">
        <v>615</v>
      </c>
      <c r="N171" s="286" t="s">
        <v>94</v>
      </c>
      <c r="O171" s="181" t="s">
        <v>94</v>
      </c>
      <c r="P171" s="181" t="s">
        <v>36</v>
      </c>
      <c r="Q171" s="326" t="s">
        <v>3794</v>
      </c>
    </row>
    <row r="172" spans="1:18">
      <c r="A172" s="324" t="s">
        <v>28</v>
      </c>
      <c r="B172" s="323">
        <v>45611</v>
      </c>
      <c r="D172" s="186" t="s">
        <v>3637</v>
      </c>
      <c r="E172" s="272">
        <v>2562501</v>
      </c>
      <c r="F172" s="269" t="s">
        <v>1586</v>
      </c>
      <c r="G172" s="233">
        <v>5449000327406</v>
      </c>
      <c r="I172" s="169">
        <v>2562502</v>
      </c>
      <c r="J172" s="294" t="s">
        <v>1769</v>
      </c>
      <c r="K172" s="307">
        <v>5000112471465</v>
      </c>
      <c r="L172" s="313" t="s">
        <v>615</v>
      </c>
      <c r="N172" s="286" t="s">
        <v>94</v>
      </c>
      <c r="O172" s="181" t="s">
        <v>94</v>
      </c>
      <c r="P172" s="181" t="s">
        <v>36</v>
      </c>
      <c r="Q172" s="326" t="s">
        <v>3794</v>
      </c>
    </row>
    <row r="173" spans="1:18">
      <c r="A173" s="324" t="s">
        <v>28</v>
      </c>
      <c r="B173" s="323">
        <v>45611</v>
      </c>
      <c r="D173" s="186" t="s">
        <v>3644</v>
      </c>
      <c r="E173" s="272">
        <v>2562601</v>
      </c>
      <c r="F173" s="269" t="s">
        <v>1587</v>
      </c>
      <c r="G173" s="233">
        <v>5449000327390</v>
      </c>
      <c r="I173" s="169">
        <v>2562602</v>
      </c>
      <c r="J173" s="294" t="s">
        <v>1770</v>
      </c>
      <c r="K173" s="307">
        <v>5000112471458</v>
      </c>
      <c r="L173" s="313" t="s">
        <v>615</v>
      </c>
      <c r="N173" s="286" t="s">
        <v>94</v>
      </c>
      <c r="O173" s="181" t="s">
        <v>94</v>
      </c>
      <c r="P173" s="181" t="s">
        <v>36</v>
      </c>
      <c r="Q173" s="326" t="s">
        <v>3794</v>
      </c>
    </row>
    <row r="174" spans="1:18">
      <c r="A174" s="324" t="s">
        <v>28</v>
      </c>
      <c r="B174" s="323">
        <v>45625</v>
      </c>
      <c r="D174" s="186" t="s">
        <v>3637</v>
      </c>
      <c r="G174" s="234"/>
      <c r="I174" s="288">
        <v>2219620</v>
      </c>
      <c r="J174" s="294" t="s">
        <v>3802</v>
      </c>
      <c r="K174" s="308">
        <v>5056784906040</v>
      </c>
      <c r="L174" s="313" t="s">
        <v>64</v>
      </c>
      <c r="N174" s="286" t="s">
        <v>94</v>
      </c>
      <c r="O174" s="181" t="s">
        <v>94</v>
      </c>
      <c r="P174" s="181" t="s">
        <v>36</v>
      </c>
      <c r="Q174" s="326"/>
      <c r="R174" s="195" t="s">
        <v>3792</v>
      </c>
    </row>
    <row r="175" spans="1:18">
      <c r="A175" s="324" t="s">
        <v>28</v>
      </c>
      <c r="B175" s="323">
        <v>45625</v>
      </c>
      <c r="D175" s="186" t="s">
        <v>3644</v>
      </c>
      <c r="G175" s="234"/>
      <c r="I175" s="288">
        <v>2219619</v>
      </c>
      <c r="J175" s="294" t="s">
        <v>3803</v>
      </c>
      <c r="K175" s="308">
        <v>5056784906057</v>
      </c>
      <c r="L175" s="313" t="s">
        <v>64</v>
      </c>
      <c r="N175" s="286" t="s">
        <v>94</v>
      </c>
      <c r="O175" s="181" t="s">
        <v>94</v>
      </c>
      <c r="P175" s="181" t="s">
        <v>36</v>
      </c>
      <c r="Q175" s="326"/>
      <c r="R175" s="195" t="s">
        <v>3792</v>
      </c>
    </row>
    <row r="176" spans="1:18">
      <c r="A176" s="324" t="s">
        <v>28</v>
      </c>
      <c r="B176" s="323">
        <v>45625</v>
      </c>
      <c r="D176" s="186" t="s">
        <v>3637</v>
      </c>
      <c r="G176" s="234"/>
      <c r="I176" s="288">
        <v>2109315</v>
      </c>
      <c r="J176" s="294" t="s">
        <v>3804</v>
      </c>
      <c r="K176" s="308">
        <v>5056784906064</v>
      </c>
      <c r="L176" s="313" t="s">
        <v>64</v>
      </c>
      <c r="N176" s="286" t="s">
        <v>94</v>
      </c>
      <c r="O176" s="181" t="s">
        <v>94</v>
      </c>
      <c r="P176" s="181" t="s">
        <v>36</v>
      </c>
      <c r="Q176" s="326"/>
      <c r="R176" s="195" t="s">
        <v>3792</v>
      </c>
    </row>
    <row r="177" spans="1:18">
      <c r="A177" s="324" t="s">
        <v>28</v>
      </c>
      <c r="B177" s="323">
        <v>45625</v>
      </c>
      <c r="D177" s="186" t="s">
        <v>3644</v>
      </c>
      <c r="G177" s="234"/>
      <c r="I177" s="288">
        <v>2109316</v>
      </c>
      <c r="J177" s="355" t="s">
        <v>3805</v>
      </c>
      <c r="K177" s="308">
        <v>5056784906071</v>
      </c>
      <c r="L177" s="313" t="s">
        <v>64</v>
      </c>
      <c r="N177" s="286" t="s">
        <v>94</v>
      </c>
      <c r="O177" s="181" t="s">
        <v>94</v>
      </c>
      <c r="P177" s="181" t="s">
        <v>36</v>
      </c>
      <c r="Q177" s="326"/>
      <c r="R177" s="195" t="s">
        <v>3792</v>
      </c>
    </row>
    <row r="178" spans="1:18">
      <c r="A178" s="324" t="s">
        <v>28</v>
      </c>
      <c r="B178" s="323">
        <v>45625</v>
      </c>
      <c r="D178" s="186" t="s">
        <v>3637</v>
      </c>
      <c r="G178" s="234"/>
      <c r="I178" s="288">
        <v>2013619</v>
      </c>
      <c r="J178" s="294" t="s">
        <v>3806</v>
      </c>
      <c r="K178" s="308">
        <v>5056784906088</v>
      </c>
      <c r="L178" s="313" t="s">
        <v>64</v>
      </c>
      <c r="N178" s="286" t="s">
        <v>94</v>
      </c>
      <c r="O178" s="181" t="s">
        <v>94</v>
      </c>
      <c r="P178" s="181" t="s">
        <v>36</v>
      </c>
      <c r="Q178" s="326"/>
      <c r="R178" s="195" t="s">
        <v>3792</v>
      </c>
    </row>
    <row r="179" spans="1:18">
      <c r="A179" s="324" t="s">
        <v>28</v>
      </c>
      <c r="B179" s="323">
        <v>45625</v>
      </c>
      <c r="D179" s="186" t="s">
        <v>3644</v>
      </c>
      <c r="G179" s="234"/>
      <c r="I179" s="288">
        <v>2013620</v>
      </c>
      <c r="J179" s="294" t="s">
        <v>1776</v>
      </c>
      <c r="K179" s="308">
        <v>5056784906095</v>
      </c>
      <c r="L179" s="313" t="s">
        <v>64</v>
      </c>
      <c r="N179" s="286" t="s">
        <v>94</v>
      </c>
      <c r="O179" s="181" t="s">
        <v>94</v>
      </c>
      <c r="P179" s="181" t="s">
        <v>36</v>
      </c>
      <c r="Q179" s="326"/>
      <c r="R179" s="195" t="s">
        <v>3792</v>
      </c>
    </row>
    <row r="180" spans="1:18">
      <c r="A180" s="324" t="s">
        <v>28</v>
      </c>
      <c r="B180" s="323">
        <v>45625</v>
      </c>
      <c r="D180" s="186" t="s">
        <v>3644</v>
      </c>
      <c r="G180" s="234"/>
      <c r="I180" s="288">
        <v>2013618</v>
      </c>
      <c r="J180" s="294" t="s">
        <v>3807</v>
      </c>
      <c r="K180" s="308">
        <v>5056784906101</v>
      </c>
      <c r="L180" s="313" t="s">
        <v>64</v>
      </c>
      <c r="N180" s="286" t="s">
        <v>94</v>
      </c>
      <c r="O180" s="181" t="s">
        <v>94</v>
      </c>
      <c r="P180" s="181" t="s">
        <v>36</v>
      </c>
      <c r="Q180" s="326"/>
      <c r="R180" s="195" t="s">
        <v>3792</v>
      </c>
    </row>
    <row r="181" spans="1:18">
      <c r="A181" s="324" t="s">
        <v>28</v>
      </c>
      <c r="B181" s="323">
        <v>45646</v>
      </c>
      <c r="D181" s="186" t="s">
        <v>3629</v>
      </c>
      <c r="E181" s="262">
        <v>369301</v>
      </c>
      <c r="F181" s="179" t="s">
        <v>3695</v>
      </c>
      <c r="G181" s="190">
        <v>5449000949158</v>
      </c>
      <c r="I181" s="288">
        <v>369306</v>
      </c>
      <c r="J181" s="294" t="s">
        <v>1778</v>
      </c>
      <c r="K181" s="307">
        <v>5449000732262</v>
      </c>
      <c r="L181" s="313" t="s">
        <v>3641</v>
      </c>
      <c r="N181" s="286" t="s">
        <v>94</v>
      </c>
      <c r="O181" s="181" t="s">
        <v>94</v>
      </c>
      <c r="P181" s="181" t="s">
        <v>36</v>
      </c>
      <c r="Q181" s="326"/>
      <c r="R181" s="195" t="s">
        <v>3792</v>
      </c>
    </row>
    <row r="182" spans="1:18">
      <c r="A182" s="324" t="s">
        <v>28</v>
      </c>
      <c r="B182" s="323">
        <v>45646</v>
      </c>
      <c r="D182" s="186" t="s">
        <v>3624</v>
      </c>
      <c r="G182" s="234"/>
      <c r="I182" s="288">
        <v>1007909</v>
      </c>
      <c r="J182" s="294" t="s">
        <v>1779</v>
      </c>
      <c r="K182" s="307">
        <v>5000112472165</v>
      </c>
      <c r="L182" s="313" t="s">
        <v>3641</v>
      </c>
      <c r="N182" s="286" t="s">
        <v>94</v>
      </c>
      <c r="O182" s="181" t="s">
        <v>94</v>
      </c>
      <c r="P182" s="181" t="s">
        <v>36</v>
      </c>
      <c r="Q182" s="326"/>
      <c r="R182" s="195" t="s">
        <v>3792</v>
      </c>
    </row>
    <row r="183" spans="1:18">
      <c r="A183" s="324" t="s">
        <v>28</v>
      </c>
      <c r="B183" s="323">
        <v>45646</v>
      </c>
      <c r="D183" s="186" t="s">
        <v>3624</v>
      </c>
      <c r="G183" s="234"/>
      <c r="I183" s="288">
        <v>2150509</v>
      </c>
      <c r="J183" s="294" t="s">
        <v>1780</v>
      </c>
      <c r="K183" s="307">
        <v>5000112472066</v>
      </c>
      <c r="L183" s="313" t="s">
        <v>3627</v>
      </c>
      <c r="N183" s="286" t="s">
        <v>94</v>
      </c>
      <c r="O183" s="181" t="s">
        <v>94</v>
      </c>
      <c r="P183" s="181" t="s">
        <v>36</v>
      </c>
      <c r="Q183" s="326"/>
      <c r="R183" s="195" t="s">
        <v>3792</v>
      </c>
    </row>
    <row r="184" spans="1:18">
      <c r="A184" s="324" t="s">
        <v>28</v>
      </c>
      <c r="B184" s="323">
        <v>45646</v>
      </c>
      <c r="D184" s="186" t="s">
        <v>3624</v>
      </c>
      <c r="G184" s="234"/>
      <c r="I184" s="288">
        <v>2522315</v>
      </c>
      <c r="J184" s="294" t="s">
        <v>1781</v>
      </c>
      <c r="K184" s="307">
        <v>5000112472196</v>
      </c>
      <c r="L184" s="313" t="s">
        <v>3627</v>
      </c>
      <c r="N184" s="286" t="s">
        <v>94</v>
      </c>
      <c r="O184" s="181" t="s">
        <v>94</v>
      </c>
      <c r="P184" s="181" t="s">
        <v>36</v>
      </c>
      <c r="Q184" s="326"/>
      <c r="R184" s="195" t="s">
        <v>3792</v>
      </c>
    </row>
    <row r="185" spans="1:18">
      <c r="A185" s="324" t="s">
        <v>28</v>
      </c>
      <c r="B185" s="323">
        <v>45646</v>
      </c>
      <c r="D185" s="186" t="s">
        <v>3624</v>
      </c>
      <c r="G185" s="234"/>
      <c r="I185" s="288">
        <v>2600603</v>
      </c>
      <c r="J185" s="294" t="s">
        <v>3808</v>
      </c>
      <c r="K185" s="307">
        <v>5000112472097</v>
      </c>
      <c r="L185" s="313" t="s">
        <v>3627</v>
      </c>
      <c r="N185" s="286" t="s">
        <v>94</v>
      </c>
      <c r="O185" s="181" t="s">
        <v>94</v>
      </c>
      <c r="P185" s="181" t="s">
        <v>36</v>
      </c>
      <c r="Q185" s="326"/>
      <c r="R185" s="195" t="s">
        <v>3792</v>
      </c>
    </row>
    <row r="186" spans="1:18">
      <c r="A186" s="324" t="s">
        <v>28</v>
      </c>
      <c r="B186" s="323">
        <v>45667</v>
      </c>
      <c r="D186" s="186" t="s">
        <v>3629</v>
      </c>
      <c r="G186" s="234"/>
      <c r="I186" s="288">
        <v>2522316</v>
      </c>
      <c r="J186" s="294" t="s">
        <v>1783</v>
      </c>
      <c r="K186" s="307">
        <v>5000112472318</v>
      </c>
      <c r="L186" s="313" t="s">
        <v>3627</v>
      </c>
      <c r="M186" s="223"/>
      <c r="N186" s="286" t="s">
        <v>94</v>
      </c>
      <c r="O186" s="181" t="s">
        <v>94</v>
      </c>
      <c r="P186" s="181" t="s">
        <v>36</v>
      </c>
      <c r="Q186" s="326"/>
      <c r="R186" s="195" t="s">
        <v>3792</v>
      </c>
    </row>
    <row r="187" spans="1:18">
      <c r="A187" s="324" t="s">
        <v>28</v>
      </c>
      <c r="B187" s="323">
        <v>45667</v>
      </c>
      <c r="D187" s="186" t="s">
        <v>3809</v>
      </c>
      <c r="G187" s="234"/>
      <c r="I187" s="288">
        <v>2662601</v>
      </c>
      <c r="J187" s="294" t="s">
        <v>1784</v>
      </c>
      <c r="K187" s="307" t="s">
        <v>3810</v>
      </c>
      <c r="L187" s="313" t="s">
        <v>48</v>
      </c>
      <c r="M187" s="223"/>
      <c r="N187" s="286" t="s">
        <v>94</v>
      </c>
      <c r="O187" s="181" t="s">
        <v>94</v>
      </c>
      <c r="P187" s="181" t="s">
        <v>36</v>
      </c>
      <c r="Q187" s="326"/>
      <c r="R187" s="195" t="s">
        <v>3792</v>
      </c>
    </row>
    <row r="188" spans="1:18">
      <c r="A188" s="324" t="s">
        <v>28</v>
      </c>
      <c r="B188" s="323">
        <v>45667</v>
      </c>
      <c r="D188" s="186" t="s">
        <v>3644</v>
      </c>
      <c r="G188" s="234"/>
      <c r="I188" s="288">
        <v>2662602</v>
      </c>
      <c r="J188" s="294" t="s">
        <v>1785</v>
      </c>
      <c r="K188" s="307" t="s">
        <v>3811</v>
      </c>
      <c r="L188" s="313" t="s">
        <v>48</v>
      </c>
      <c r="M188" s="223"/>
      <c r="N188" s="286" t="s">
        <v>94</v>
      </c>
      <c r="O188" s="181" t="s">
        <v>94</v>
      </c>
      <c r="P188" s="181" t="s">
        <v>36</v>
      </c>
      <c r="Q188" s="326"/>
      <c r="R188" s="195" t="s">
        <v>3792</v>
      </c>
    </row>
    <row r="189" spans="1:18">
      <c r="A189" s="324" t="s">
        <v>28</v>
      </c>
      <c r="B189" s="323">
        <v>45667</v>
      </c>
      <c r="D189" s="186" t="s">
        <v>3809</v>
      </c>
      <c r="G189" s="234"/>
      <c r="I189" s="288">
        <v>2662603</v>
      </c>
      <c r="J189" s="294" t="s">
        <v>1786</v>
      </c>
      <c r="K189" s="307">
        <v>5000112472271</v>
      </c>
      <c r="L189" s="313" t="s">
        <v>48</v>
      </c>
      <c r="M189" s="223"/>
      <c r="N189" s="286" t="s">
        <v>94</v>
      </c>
      <c r="O189" s="181" t="s">
        <v>94</v>
      </c>
      <c r="P189" s="181" t="s">
        <v>36</v>
      </c>
      <c r="Q189" s="326"/>
      <c r="R189" s="195" t="s">
        <v>3792</v>
      </c>
    </row>
    <row r="190" spans="1:18">
      <c r="A190" s="324" t="s">
        <v>28</v>
      </c>
      <c r="B190" s="323">
        <v>45667</v>
      </c>
      <c r="D190" s="186" t="s">
        <v>3644</v>
      </c>
      <c r="G190" s="234"/>
      <c r="I190" s="288">
        <v>2662604</v>
      </c>
      <c r="J190" s="294" t="s">
        <v>1787</v>
      </c>
      <c r="K190" s="307">
        <v>5000112472264</v>
      </c>
      <c r="L190" s="313" t="s">
        <v>48</v>
      </c>
      <c r="M190" s="223"/>
      <c r="N190" s="286" t="s">
        <v>94</v>
      </c>
      <c r="O190" s="181" t="s">
        <v>94</v>
      </c>
      <c r="P190" s="181" t="s">
        <v>36</v>
      </c>
      <c r="Q190" s="326"/>
      <c r="R190" s="195" t="s">
        <v>3792</v>
      </c>
    </row>
    <row r="191" spans="1:18">
      <c r="A191" s="324" t="s">
        <v>28</v>
      </c>
      <c r="B191" s="323">
        <v>45667</v>
      </c>
      <c r="D191" s="186" t="s">
        <v>3809</v>
      </c>
      <c r="G191" s="234"/>
      <c r="I191" s="288">
        <v>2662605</v>
      </c>
      <c r="J191" s="294" t="s">
        <v>1788</v>
      </c>
      <c r="K191" s="307">
        <v>5000112472219</v>
      </c>
      <c r="L191" s="313" t="s">
        <v>48</v>
      </c>
      <c r="M191" s="223"/>
      <c r="N191" s="286" t="s">
        <v>94</v>
      </c>
      <c r="O191" s="181" t="s">
        <v>94</v>
      </c>
      <c r="P191" s="181" t="s">
        <v>36</v>
      </c>
      <c r="Q191" s="326"/>
      <c r="R191" s="195" t="s">
        <v>3792</v>
      </c>
    </row>
    <row r="192" spans="1:18">
      <c r="A192" s="324" t="s">
        <v>28</v>
      </c>
      <c r="B192" s="323">
        <v>45667</v>
      </c>
      <c r="D192" s="186" t="s">
        <v>3644</v>
      </c>
      <c r="G192" s="234"/>
      <c r="I192" s="288">
        <v>2662606</v>
      </c>
      <c r="J192" s="294" t="s">
        <v>1789</v>
      </c>
      <c r="K192" s="307">
        <v>5000112472226</v>
      </c>
      <c r="L192" s="313" t="s">
        <v>48</v>
      </c>
      <c r="M192" s="223"/>
      <c r="N192" s="286" t="s">
        <v>94</v>
      </c>
      <c r="O192" s="181" t="s">
        <v>94</v>
      </c>
      <c r="P192" s="181" t="s">
        <v>36</v>
      </c>
      <c r="Q192" s="326"/>
      <c r="R192" s="195" t="s">
        <v>3792</v>
      </c>
    </row>
    <row r="193" spans="1:18">
      <c r="A193" s="324" t="s">
        <v>28</v>
      </c>
      <c r="B193" s="323">
        <v>45667</v>
      </c>
      <c r="D193" s="186" t="s">
        <v>3644</v>
      </c>
      <c r="G193" s="234"/>
      <c r="I193" s="288">
        <v>2570603</v>
      </c>
      <c r="J193" s="294" t="s">
        <v>1790</v>
      </c>
      <c r="K193" s="307">
        <v>5056784904817</v>
      </c>
      <c r="L193" s="313" t="s">
        <v>64</v>
      </c>
      <c r="M193" s="223"/>
      <c r="N193" s="286" t="s">
        <v>94</v>
      </c>
      <c r="O193" s="181" t="s">
        <v>94</v>
      </c>
      <c r="P193" s="181" t="s">
        <v>36</v>
      </c>
      <c r="Q193" s="326"/>
      <c r="R193" s="195" t="s">
        <v>3792</v>
      </c>
    </row>
    <row r="194" spans="1:18">
      <c r="A194" s="324" t="s">
        <v>28</v>
      </c>
      <c r="B194" s="323">
        <v>45667</v>
      </c>
      <c r="D194" s="186" t="s">
        <v>3809</v>
      </c>
      <c r="G194" s="234"/>
      <c r="I194" s="288">
        <v>1467706</v>
      </c>
      <c r="J194" s="294" t="s">
        <v>1791</v>
      </c>
      <c r="K194" s="307">
        <v>5000112472158</v>
      </c>
      <c r="L194" s="313" t="s">
        <v>492</v>
      </c>
      <c r="M194" s="223"/>
      <c r="N194" s="286" t="s">
        <v>94</v>
      </c>
      <c r="O194" s="181" t="s">
        <v>94</v>
      </c>
      <c r="P194" s="181" t="s">
        <v>36</v>
      </c>
      <c r="Q194" s="326"/>
      <c r="R194" s="195" t="s">
        <v>3792</v>
      </c>
    </row>
    <row r="195" spans="1:18">
      <c r="A195" s="324" t="s">
        <v>28</v>
      </c>
      <c r="B195" s="323">
        <v>45667</v>
      </c>
      <c r="D195" s="186" t="s">
        <v>3644</v>
      </c>
      <c r="G195" s="234"/>
      <c r="I195" s="288">
        <v>1467707</v>
      </c>
      <c r="J195" s="294" t="s">
        <v>1792</v>
      </c>
      <c r="K195" s="307">
        <v>5000112472141</v>
      </c>
      <c r="L195" s="313" t="s">
        <v>492</v>
      </c>
      <c r="M195" s="223"/>
      <c r="N195" s="286" t="s">
        <v>94</v>
      </c>
      <c r="O195" s="181" t="s">
        <v>94</v>
      </c>
      <c r="P195" s="181" t="s">
        <v>36</v>
      </c>
      <c r="Q195" s="326"/>
      <c r="R195" s="195" t="s">
        <v>3792</v>
      </c>
    </row>
    <row r="196" spans="1:18">
      <c r="A196" s="324" t="s">
        <v>28</v>
      </c>
      <c r="B196" s="323">
        <v>45667</v>
      </c>
      <c r="D196" s="186" t="s">
        <v>3809</v>
      </c>
      <c r="G196" s="234"/>
      <c r="I196" s="288">
        <v>1467708</v>
      </c>
      <c r="J196" s="294" t="s">
        <v>1793</v>
      </c>
      <c r="K196" s="307">
        <v>5000112472240</v>
      </c>
      <c r="L196" s="313" t="s">
        <v>492</v>
      </c>
      <c r="M196" s="223"/>
      <c r="N196" s="286" t="s">
        <v>94</v>
      </c>
      <c r="O196" s="181" t="s">
        <v>94</v>
      </c>
      <c r="P196" s="181" t="s">
        <v>36</v>
      </c>
      <c r="Q196" s="326"/>
      <c r="R196" s="195" t="s">
        <v>3792</v>
      </c>
    </row>
    <row r="197" spans="1:18">
      <c r="A197" s="324" t="s">
        <v>28</v>
      </c>
      <c r="B197" s="323">
        <v>45667</v>
      </c>
      <c r="D197" s="186" t="s">
        <v>3644</v>
      </c>
      <c r="G197" s="234"/>
      <c r="I197" s="288">
        <v>1467709</v>
      </c>
      <c r="J197" s="294" t="s">
        <v>1794</v>
      </c>
      <c r="K197" s="307">
        <v>5000112472233</v>
      </c>
      <c r="L197" s="313" t="s">
        <v>492</v>
      </c>
      <c r="M197" s="223"/>
      <c r="N197" s="286" t="s">
        <v>94</v>
      </c>
      <c r="O197" s="181" t="s">
        <v>94</v>
      </c>
      <c r="P197" s="181" t="s">
        <v>36</v>
      </c>
      <c r="Q197" s="326"/>
      <c r="R197" s="195" t="s">
        <v>3792</v>
      </c>
    </row>
    <row r="198" spans="1:18">
      <c r="A198" s="324" t="s">
        <v>28</v>
      </c>
      <c r="B198" s="323">
        <v>45667</v>
      </c>
      <c r="D198" s="186" t="s">
        <v>3809</v>
      </c>
      <c r="G198" s="234"/>
      <c r="I198" s="288">
        <v>2662701</v>
      </c>
      <c r="J198" s="294" t="s">
        <v>1795</v>
      </c>
      <c r="K198" s="307">
        <v>5000112472462</v>
      </c>
      <c r="L198" s="313" t="s">
        <v>3627</v>
      </c>
      <c r="M198" s="223"/>
      <c r="N198" s="286" t="s">
        <v>94</v>
      </c>
      <c r="O198" s="181" t="s">
        <v>94</v>
      </c>
      <c r="P198" s="181" t="s">
        <v>36</v>
      </c>
      <c r="Q198" s="326"/>
      <c r="R198" s="195" t="s">
        <v>3792</v>
      </c>
    </row>
    <row r="199" spans="1:18">
      <c r="A199" s="324" t="s">
        <v>28</v>
      </c>
      <c r="B199" s="323">
        <v>45667</v>
      </c>
      <c r="D199" s="186" t="s">
        <v>3644</v>
      </c>
      <c r="G199" s="234"/>
      <c r="I199" s="288">
        <v>2662702</v>
      </c>
      <c r="J199" s="294" t="s">
        <v>1796</v>
      </c>
      <c r="K199" s="307">
        <v>5000112472479</v>
      </c>
      <c r="L199" s="313" t="s">
        <v>3627</v>
      </c>
      <c r="M199" s="223"/>
      <c r="N199" s="286" t="s">
        <v>94</v>
      </c>
      <c r="O199" s="181" t="s">
        <v>94</v>
      </c>
      <c r="P199" s="181" t="s">
        <v>36</v>
      </c>
      <c r="Q199" s="326"/>
      <c r="R199" s="195" t="s">
        <v>3792</v>
      </c>
    </row>
    <row r="200" spans="1:18">
      <c r="A200" s="324" t="s">
        <v>28</v>
      </c>
      <c r="B200" s="323">
        <v>45667</v>
      </c>
      <c r="D200" s="186" t="s">
        <v>3809</v>
      </c>
      <c r="G200" s="234"/>
      <c r="I200" s="288">
        <v>2662703</v>
      </c>
      <c r="J200" s="294" t="s">
        <v>1797</v>
      </c>
      <c r="K200" s="307">
        <v>5000112472431</v>
      </c>
      <c r="L200" s="313" t="s">
        <v>3641</v>
      </c>
      <c r="M200" s="223"/>
      <c r="N200" s="286" t="s">
        <v>94</v>
      </c>
      <c r="O200" s="181" t="s">
        <v>94</v>
      </c>
      <c r="P200" s="181" t="s">
        <v>36</v>
      </c>
      <c r="Q200" s="326"/>
      <c r="R200" s="195" t="s">
        <v>3792</v>
      </c>
    </row>
    <row r="201" spans="1:18">
      <c r="A201" s="324" t="s">
        <v>28</v>
      </c>
      <c r="B201" s="323">
        <v>45667</v>
      </c>
      <c r="D201" s="186" t="s">
        <v>3644</v>
      </c>
      <c r="G201" s="234"/>
      <c r="I201" s="288">
        <v>2662704</v>
      </c>
      <c r="J201" s="294" t="s">
        <v>1798</v>
      </c>
      <c r="K201" s="307">
        <v>5000112472424</v>
      </c>
      <c r="L201" s="313" t="s">
        <v>3641</v>
      </c>
      <c r="M201" s="223"/>
      <c r="N201" s="286" t="s">
        <v>94</v>
      </c>
      <c r="O201" s="181" t="s">
        <v>94</v>
      </c>
      <c r="P201" s="181" t="s">
        <v>36</v>
      </c>
      <c r="Q201" s="326"/>
      <c r="R201" s="195" t="s">
        <v>3792</v>
      </c>
    </row>
    <row r="202" spans="1:18">
      <c r="A202" s="324" t="s">
        <v>28</v>
      </c>
      <c r="B202" s="323">
        <v>45667</v>
      </c>
      <c r="D202" s="186" t="s">
        <v>3809</v>
      </c>
      <c r="G202" s="234"/>
      <c r="I202" s="288">
        <v>1582506</v>
      </c>
      <c r="J202" s="294" t="s">
        <v>1799</v>
      </c>
      <c r="K202" s="307">
        <v>5000112472387</v>
      </c>
      <c r="L202" s="313" t="s">
        <v>3641</v>
      </c>
      <c r="M202" s="223"/>
      <c r="N202" s="286" t="s">
        <v>94</v>
      </c>
      <c r="O202" s="181" t="s">
        <v>94</v>
      </c>
      <c r="P202" s="181" t="s">
        <v>36</v>
      </c>
      <c r="Q202" s="326"/>
      <c r="R202" s="195" t="s">
        <v>3792</v>
      </c>
    </row>
    <row r="203" spans="1:18">
      <c r="A203" s="324" t="s">
        <v>28</v>
      </c>
      <c r="B203" s="323">
        <v>45667</v>
      </c>
      <c r="D203" s="186" t="s">
        <v>3644</v>
      </c>
      <c r="G203" s="234"/>
      <c r="I203" s="288">
        <v>1582507</v>
      </c>
      <c r="J203" s="294" t="s">
        <v>1800</v>
      </c>
      <c r="K203" s="307">
        <v>5000112472394</v>
      </c>
      <c r="L203" s="313" t="s">
        <v>3641</v>
      </c>
      <c r="M203" s="223"/>
      <c r="N203" s="286" t="s">
        <v>94</v>
      </c>
      <c r="O203" s="181" t="s">
        <v>94</v>
      </c>
      <c r="P203" s="181" t="s">
        <v>36</v>
      </c>
      <c r="Q203" s="326"/>
      <c r="R203" s="195" t="s">
        <v>3792</v>
      </c>
    </row>
    <row r="204" spans="1:18">
      <c r="A204" s="324" t="s">
        <v>28</v>
      </c>
      <c r="B204" s="323">
        <v>45667</v>
      </c>
      <c r="D204" s="186" t="s">
        <v>3809</v>
      </c>
      <c r="G204" s="234"/>
      <c r="I204" s="288">
        <v>1839519</v>
      </c>
      <c r="J204" s="294" t="s">
        <v>1801</v>
      </c>
      <c r="K204" s="307">
        <v>5000112472400</v>
      </c>
      <c r="L204" s="313" t="s">
        <v>3641</v>
      </c>
      <c r="M204" s="223"/>
      <c r="N204" s="286" t="s">
        <v>94</v>
      </c>
      <c r="O204" s="181" t="s">
        <v>94</v>
      </c>
      <c r="P204" s="181" t="s">
        <v>36</v>
      </c>
      <c r="Q204" s="326"/>
      <c r="R204" s="195" t="s">
        <v>3792</v>
      </c>
    </row>
    <row r="205" spans="1:18">
      <c r="A205" s="324" t="s">
        <v>28</v>
      </c>
      <c r="B205" s="323">
        <v>45667</v>
      </c>
      <c r="D205" s="186" t="s">
        <v>3644</v>
      </c>
      <c r="G205" s="234"/>
      <c r="I205" s="288">
        <v>1839520</v>
      </c>
      <c r="J205" s="294" t="s">
        <v>1802</v>
      </c>
      <c r="K205" s="307">
        <v>5000112472417</v>
      </c>
      <c r="L205" s="313" t="s">
        <v>3641</v>
      </c>
      <c r="M205" s="223"/>
      <c r="N205" s="286" t="s">
        <v>94</v>
      </c>
      <c r="O205" s="181" t="s">
        <v>94</v>
      </c>
      <c r="P205" s="181" t="s">
        <v>36</v>
      </c>
      <c r="Q205" s="326"/>
      <c r="R205" s="195" t="s">
        <v>3792</v>
      </c>
    </row>
    <row r="206" spans="1:18">
      <c r="A206" s="324" t="s">
        <v>28</v>
      </c>
      <c r="B206" s="323">
        <v>45667</v>
      </c>
      <c r="D206" s="186" t="s">
        <v>3809</v>
      </c>
      <c r="G206" s="234"/>
      <c r="I206" s="288">
        <v>1839521</v>
      </c>
      <c r="J206" s="294" t="s">
        <v>1803</v>
      </c>
      <c r="K206" s="307">
        <v>5000112472448</v>
      </c>
      <c r="L206" s="313" t="s">
        <v>3641</v>
      </c>
      <c r="M206" s="223"/>
      <c r="N206" s="286" t="s">
        <v>94</v>
      </c>
      <c r="O206" s="181" t="s">
        <v>94</v>
      </c>
      <c r="P206" s="181" t="s">
        <v>36</v>
      </c>
      <c r="Q206" s="326"/>
      <c r="R206" s="195" t="s">
        <v>3792</v>
      </c>
    </row>
    <row r="207" spans="1:18">
      <c r="A207" s="324" t="s">
        <v>28</v>
      </c>
      <c r="B207" s="323">
        <v>45667</v>
      </c>
      <c r="D207" s="186" t="s">
        <v>3644</v>
      </c>
      <c r="G207" s="234"/>
      <c r="I207" s="288">
        <v>1839522</v>
      </c>
      <c r="J207" s="294" t="s">
        <v>3812</v>
      </c>
      <c r="K207" s="307">
        <v>5000112472455</v>
      </c>
      <c r="L207" s="313" t="s">
        <v>3641</v>
      </c>
      <c r="M207" s="223"/>
      <c r="N207" s="286" t="s">
        <v>94</v>
      </c>
      <c r="O207" s="181" t="s">
        <v>94</v>
      </c>
      <c r="P207" s="181" t="s">
        <v>36</v>
      </c>
      <c r="Q207" s="326"/>
      <c r="R207" s="195" t="s">
        <v>3792</v>
      </c>
    </row>
    <row r="208" spans="1:18">
      <c r="A208" s="324" t="s">
        <v>28</v>
      </c>
      <c r="B208" s="323">
        <v>45667</v>
      </c>
      <c r="D208" s="186" t="s">
        <v>3809</v>
      </c>
      <c r="G208" s="234"/>
      <c r="I208" s="288">
        <v>2663101</v>
      </c>
      <c r="J208" s="294" t="s">
        <v>1804</v>
      </c>
      <c r="K208" s="307" t="str">
        <f>"9031100008888"</f>
        <v>9031100008888</v>
      </c>
      <c r="L208" s="313" t="s">
        <v>41</v>
      </c>
      <c r="M208" s="223"/>
      <c r="N208" s="286" t="s">
        <v>94</v>
      </c>
      <c r="O208" s="181" t="s">
        <v>94</v>
      </c>
      <c r="P208" s="181" t="s">
        <v>36</v>
      </c>
      <c r="Q208" s="326"/>
      <c r="R208" s="195" t="s">
        <v>3792</v>
      </c>
    </row>
    <row r="209" spans="1:18">
      <c r="A209" s="324" t="s">
        <v>28</v>
      </c>
      <c r="B209" s="323">
        <v>45667</v>
      </c>
      <c r="D209" s="186" t="s">
        <v>3644</v>
      </c>
      <c r="G209" s="234"/>
      <c r="I209" s="288">
        <v>2663102</v>
      </c>
      <c r="J209" s="294" t="s">
        <v>1805</v>
      </c>
      <c r="K209" s="307" t="str">
        <f>"9031100008895"</f>
        <v>9031100008895</v>
      </c>
      <c r="L209" s="313" t="s">
        <v>41</v>
      </c>
      <c r="M209" s="223"/>
      <c r="N209" s="286" t="s">
        <v>94</v>
      </c>
      <c r="O209" s="181" t="s">
        <v>94</v>
      </c>
      <c r="P209" s="181" t="s">
        <v>36</v>
      </c>
      <c r="Q209" s="326"/>
      <c r="R209" s="195" t="s">
        <v>3792</v>
      </c>
    </row>
    <row r="210" spans="1:18">
      <c r="A210" s="324" t="s">
        <v>28</v>
      </c>
      <c r="B210" s="323">
        <v>45667</v>
      </c>
      <c r="D210" s="186" t="s">
        <v>3809</v>
      </c>
      <c r="G210" s="234"/>
      <c r="I210" s="288">
        <v>2663002</v>
      </c>
      <c r="J210" s="294" t="s">
        <v>1806</v>
      </c>
      <c r="K210" s="307">
        <v>5000112472325</v>
      </c>
      <c r="L210" s="313" t="s">
        <v>3627</v>
      </c>
      <c r="M210" s="223"/>
      <c r="N210" s="286" t="s">
        <v>94</v>
      </c>
      <c r="O210" s="181" t="s">
        <v>94</v>
      </c>
      <c r="P210" s="181" t="s">
        <v>36</v>
      </c>
      <c r="Q210" s="326"/>
      <c r="R210" s="195" t="s">
        <v>3792</v>
      </c>
    </row>
    <row r="211" spans="1:18">
      <c r="A211" s="324" t="s">
        <v>28</v>
      </c>
      <c r="B211" s="323">
        <v>45667</v>
      </c>
      <c r="D211" s="186" t="s">
        <v>3644</v>
      </c>
      <c r="G211" s="234"/>
      <c r="I211" s="288">
        <v>2663001</v>
      </c>
      <c r="J211" s="294" t="s">
        <v>1807</v>
      </c>
      <c r="K211" s="307">
        <v>5000112472349</v>
      </c>
      <c r="L211" s="313" t="s">
        <v>3627</v>
      </c>
      <c r="M211" s="223"/>
      <c r="N211" s="286" t="s">
        <v>94</v>
      </c>
      <c r="O211" s="181" t="s">
        <v>94</v>
      </c>
      <c r="P211" s="181" t="s">
        <v>36</v>
      </c>
      <c r="Q211" s="326"/>
      <c r="R211" s="195" t="s">
        <v>3792</v>
      </c>
    </row>
    <row r="212" spans="1:18">
      <c r="A212" s="324" t="s">
        <v>28</v>
      </c>
      <c r="B212" s="323">
        <v>45667</v>
      </c>
      <c r="D212" s="186" t="s">
        <v>3809</v>
      </c>
      <c r="G212" s="234"/>
      <c r="I212" s="288">
        <v>2662902</v>
      </c>
      <c r="J212" s="294" t="s">
        <v>1808</v>
      </c>
      <c r="K212" s="307">
        <v>5000112472332</v>
      </c>
      <c r="L212" s="313" t="s">
        <v>3627</v>
      </c>
      <c r="M212" s="223"/>
      <c r="N212" s="286" t="s">
        <v>94</v>
      </c>
      <c r="O212" s="181" t="s">
        <v>94</v>
      </c>
      <c r="P212" s="181" t="s">
        <v>36</v>
      </c>
      <c r="Q212" s="326"/>
      <c r="R212" s="195" t="s">
        <v>3792</v>
      </c>
    </row>
    <row r="213" spans="1:18">
      <c r="A213" s="324" t="s">
        <v>28</v>
      </c>
      <c r="B213" s="323">
        <v>45667</v>
      </c>
      <c r="D213" s="186" t="s">
        <v>3644</v>
      </c>
      <c r="G213" s="234"/>
      <c r="I213" s="288">
        <v>2662901</v>
      </c>
      <c r="J213" s="294" t="s">
        <v>1809</v>
      </c>
      <c r="K213" s="307">
        <v>5000112472356</v>
      </c>
      <c r="L213" s="313" t="s">
        <v>3627</v>
      </c>
      <c r="M213" s="223"/>
      <c r="N213" s="286" t="s">
        <v>94</v>
      </c>
      <c r="O213" s="181" t="s">
        <v>94</v>
      </c>
      <c r="P213" s="181" t="s">
        <v>36</v>
      </c>
      <c r="Q213" s="326"/>
      <c r="R213" s="195" t="s">
        <v>3792</v>
      </c>
    </row>
    <row r="214" spans="1:18">
      <c r="A214" s="324" t="s">
        <v>28</v>
      </c>
      <c r="B214" s="323">
        <v>45667</v>
      </c>
      <c r="D214" s="186" t="s">
        <v>3809</v>
      </c>
      <c r="G214" s="234"/>
      <c r="I214" s="288">
        <v>2625605</v>
      </c>
      <c r="J214" s="294" t="s">
        <v>1810</v>
      </c>
      <c r="K214" s="307">
        <v>5000112472370</v>
      </c>
      <c r="L214" s="313" t="s">
        <v>3641</v>
      </c>
      <c r="M214" s="223"/>
      <c r="N214" s="286" t="s">
        <v>94</v>
      </c>
      <c r="O214" s="181" t="s">
        <v>94</v>
      </c>
      <c r="P214" s="181" t="s">
        <v>36</v>
      </c>
      <c r="Q214" s="326"/>
      <c r="R214" s="195" t="s">
        <v>3792</v>
      </c>
    </row>
    <row r="215" spans="1:18">
      <c r="A215" s="324" t="s">
        <v>28</v>
      </c>
      <c r="B215" s="323">
        <v>45667</v>
      </c>
      <c r="D215" s="186" t="s">
        <v>3644</v>
      </c>
      <c r="G215" s="234"/>
      <c r="I215" s="288">
        <v>2625606</v>
      </c>
      <c r="J215" s="294" t="s">
        <v>1811</v>
      </c>
      <c r="K215" s="307">
        <v>5000112472363</v>
      </c>
      <c r="L215" s="313" t="s">
        <v>3641</v>
      </c>
      <c r="M215" s="223"/>
      <c r="N215" s="286" t="s">
        <v>94</v>
      </c>
      <c r="O215" s="181" t="s">
        <v>94</v>
      </c>
      <c r="P215" s="181" t="s">
        <v>36</v>
      </c>
      <c r="Q215" s="326"/>
      <c r="R215" s="195" t="s">
        <v>3792</v>
      </c>
    </row>
    <row r="216" spans="1:18">
      <c r="A216" s="324" t="s">
        <v>28</v>
      </c>
      <c r="B216" s="323">
        <v>45681</v>
      </c>
      <c r="D216" s="186" t="s">
        <v>3624</v>
      </c>
      <c r="G216" s="234"/>
      <c r="I216" s="288">
        <v>1874005</v>
      </c>
      <c r="J216" s="294" t="s">
        <v>1812</v>
      </c>
      <c r="K216" s="307">
        <v>5000112472721</v>
      </c>
      <c r="L216" s="313" t="s">
        <v>3627</v>
      </c>
      <c r="M216" s="223"/>
      <c r="N216" s="286" t="s">
        <v>94</v>
      </c>
      <c r="O216" s="181" t="s">
        <v>94</v>
      </c>
      <c r="P216" s="181" t="s">
        <v>36</v>
      </c>
      <c r="Q216" s="326"/>
      <c r="R216" s="195" t="s">
        <v>3792</v>
      </c>
    </row>
    <row r="217" spans="1:18">
      <c r="A217" s="324" t="s">
        <v>28</v>
      </c>
      <c r="B217" s="323">
        <v>45688</v>
      </c>
      <c r="D217" s="186" t="s">
        <v>3624</v>
      </c>
      <c r="G217" s="234"/>
      <c r="I217" s="288">
        <v>1595223</v>
      </c>
      <c r="J217" s="294" t="s">
        <v>1813</v>
      </c>
      <c r="K217" s="307">
        <v>5000112472851</v>
      </c>
      <c r="L217" s="313" t="s">
        <v>3627</v>
      </c>
      <c r="N217" s="286" t="s">
        <v>94</v>
      </c>
      <c r="O217" s="181" t="s">
        <v>94</v>
      </c>
      <c r="P217" s="181" t="s">
        <v>36</v>
      </c>
      <c r="Q217" s="326"/>
      <c r="R217" s="195" t="s">
        <v>3792</v>
      </c>
    </row>
    <row r="218" spans="1:18">
      <c r="A218" s="324" t="s">
        <v>28</v>
      </c>
      <c r="B218" s="323">
        <v>45688</v>
      </c>
      <c r="D218" s="186" t="s">
        <v>3624</v>
      </c>
      <c r="G218" s="234"/>
      <c r="I218" s="288">
        <v>2665801</v>
      </c>
      <c r="J218" s="294" t="s">
        <v>1814</v>
      </c>
      <c r="K218" s="307">
        <v>9031100008901</v>
      </c>
      <c r="L218" s="313" t="s">
        <v>41</v>
      </c>
      <c r="N218" s="286" t="s">
        <v>94</v>
      </c>
      <c r="O218" s="181" t="s">
        <v>94</v>
      </c>
      <c r="P218" s="181" t="s">
        <v>36</v>
      </c>
      <c r="Q218" s="326"/>
      <c r="R218" s="195" t="s">
        <v>3792</v>
      </c>
    </row>
    <row r="219" spans="1:18">
      <c r="A219" s="324" t="s">
        <v>28</v>
      </c>
      <c r="B219" s="323">
        <v>45695</v>
      </c>
      <c r="D219" s="186" t="s">
        <v>3624</v>
      </c>
      <c r="G219" s="234"/>
      <c r="I219" s="288">
        <v>2150510</v>
      </c>
      <c r="J219" s="294" t="s">
        <v>1815</v>
      </c>
      <c r="K219" s="307">
        <v>5000112473094</v>
      </c>
      <c r="L219" s="313" t="s">
        <v>3627</v>
      </c>
      <c r="N219" s="286" t="s">
        <v>94</v>
      </c>
      <c r="O219" s="181" t="s">
        <v>94</v>
      </c>
      <c r="P219" s="181" t="s">
        <v>36</v>
      </c>
      <c r="Q219" s="326"/>
      <c r="R219" s="195" t="s">
        <v>3792</v>
      </c>
    </row>
    <row r="220" spans="1:18">
      <c r="A220" s="324" t="s">
        <v>28</v>
      </c>
      <c r="B220" s="323">
        <v>45695</v>
      </c>
      <c r="D220" s="186" t="s">
        <v>3809</v>
      </c>
      <c r="G220" s="234"/>
      <c r="I220" s="288">
        <v>2655902</v>
      </c>
      <c r="J220" s="294" t="s">
        <v>1816</v>
      </c>
      <c r="K220" s="307">
        <v>5056784909409</v>
      </c>
      <c r="L220" s="313" t="s">
        <v>64</v>
      </c>
      <c r="N220" s="286" t="s">
        <v>94</v>
      </c>
      <c r="O220" s="181" t="s">
        <v>94</v>
      </c>
      <c r="P220" s="181" t="s">
        <v>36</v>
      </c>
      <c r="Q220" s="326"/>
      <c r="R220" s="195" t="s">
        <v>3792</v>
      </c>
    </row>
    <row r="221" spans="1:18">
      <c r="A221" s="324" t="s">
        <v>28</v>
      </c>
      <c r="B221" s="323">
        <v>45695</v>
      </c>
      <c r="D221" s="186" t="s">
        <v>3644</v>
      </c>
      <c r="G221" s="234"/>
      <c r="I221" s="288">
        <v>2655901</v>
      </c>
      <c r="J221" s="294" t="s">
        <v>1817</v>
      </c>
      <c r="K221" s="307">
        <v>5056784909393</v>
      </c>
      <c r="L221" s="313" t="s">
        <v>64</v>
      </c>
      <c r="N221" s="286" t="s">
        <v>94</v>
      </c>
      <c r="O221" s="181" t="s">
        <v>94</v>
      </c>
      <c r="P221" s="181" t="s">
        <v>36</v>
      </c>
      <c r="Q221" s="326"/>
      <c r="R221" s="195" t="s">
        <v>3792</v>
      </c>
    </row>
    <row r="222" spans="1:18">
      <c r="A222" s="324" t="s">
        <v>28</v>
      </c>
      <c r="B222" s="323">
        <v>45695</v>
      </c>
      <c r="D222" s="186" t="s">
        <v>3644</v>
      </c>
      <c r="G222" s="234"/>
      <c r="I222" s="288">
        <v>2667501</v>
      </c>
      <c r="J222" s="294" t="s">
        <v>1818</v>
      </c>
      <c r="K222" s="307">
        <v>5056784909515</v>
      </c>
      <c r="L222" s="313" t="s">
        <v>64</v>
      </c>
      <c r="N222" s="286" t="s">
        <v>94</v>
      </c>
      <c r="O222" s="181" t="s">
        <v>94</v>
      </c>
      <c r="P222" s="181" t="s">
        <v>36</v>
      </c>
      <c r="Q222" s="326"/>
      <c r="R222" s="195" t="s">
        <v>3792</v>
      </c>
    </row>
    <row r="223" spans="1:18">
      <c r="A223" s="324" t="s">
        <v>28</v>
      </c>
      <c r="B223" s="323">
        <v>45695</v>
      </c>
      <c r="D223" s="186" t="s">
        <v>3809</v>
      </c>
      <c r="G223" s="234"/>
      <c r="I223" s="288">
        <v>2667402</v>
      </c>
      <c r="J223" s="294" t="s">
        <v>1819</v>
      </c>
      <c r="K223" s="307">
        <v>5056784909461</v>
      </c>
      <c r="L223" s="313" t="s">
        <v>64</v>
      </c>
      <c r="N223" s="286" t="s">
        <v>94</v>
      </c>
      <c r="O223" s="181" t="s">
        <v>94</v>
      </c>
      <c r="P223" s="181" t="s">
        <v>36</v>
      </c>
      <c r="Q223" s="326"/>
      <c r="R223" s="195" t="s">
        <v>3792</v>
      </c>
    </row>
    <row r="224" spans="1:18">
      <c r="A224" s="324" t="s">
        <v>28</v>
      </c>
      <c r="B224" s="323">
        <v>45695</v>
      </c>
      <c r="D224" s="186" t="s">
        <v>3644</v>
      </c>
      <c r="G224" s="234"/>
      <c r="I224" s="288">
        <v>2667401</v>
      </c>
      <c r="J224" s="294" t="s">
        <v>1820</v>
      </c>
      <c r="K224" s="307">
        <v>5056784909454</v>
      </c>
      <c r="L224" s="313" t="s">
        <v>64</v>
      </c>
      <c r="N224" s="286" t="s">
        <v>94</v>
      </c>
      <c r="O224" s="181" t="s">
        <v>94</v>
      </c>
      <c r="P224" s="181" t="s">
        <v>36</v>
      </c>
      <c r="Q224" s="326"/>
      <c r="R224" s="195" t="s">
        <v>3792</v>
      </c>
    </row>
    <row r="225" spans="1:18">
      <c r="A225" s="324" t="s">
        <v>28</v>
      </c>
      <c r="B225" s="323">
        <v>45695</v>
      </c>
      <c r="D225" s="186" t="s">
        <v>3809</v>
      </c>
      <c r="G225" s="234"/>
      <c r="I225" s="288">
        <v>2109317</v>
      </c>
      <c r="J225" s="294" t="s">
        <v>1821</v>
      </c>
      <c r="K225" s="307">
        <v>5056784909539</v>
      </c>
      <c r="L225" s="313" t="s">
        <v>64</v>
      </c>
      <c r="N225" s="286" t="s">
        <v>94</v>
      </c>
      <c r="O225" s="181" t="s">
        <v>94</v>
      </c>
      <c r="P225" s="181" t="s">
        <v>36</v>
      </c>
      <c r="Q225" s="326"/>
      <c r="R225" s="195" t="s">
        <v>3792</v>
      </c>
    </row>
    <row r="226" spans="1:18">
      <c r="A226" s="324" t="s">
        <v>28</v>
      </c>
      <c r="B226" s="323">
        <v>45695</v>
      </c>
      <c r="D226" s="186" t="s">
        <v>3644</v>
      </c>
      <c r="G226" s="234"/>
      <c r="I226" s="288">
        <v>2109318</v>
      </c>
      <c r="J226" s="294" t="s">
        <v>1822</v>
      </c>
      <c r="K226" s="307">
        <v>5056784909522</v>
      </c>
      <c r="L226" s="313" t="s">
        <v>64</v>
      </c>
      <c r="N226" s="286" t="s">
        <v>94</v>
      </c>
      <c r="O226" s="181" t="s">
        <v>94</v>
      </c>
      <c r="P226" s="181" t="s">
        <v>36</v>
      </c>
      <c r="Q226" s="326"/>
      <c r="R226" s="195" t="s">
        <v>3792</v>
      </c>
    </row>
    <row r="227" spans="1:18">
      <c r="A227" s="324" t="s">
        <v>28</v>
      </c>
      <c r="B227" s="323">
        <v>45702</v>
      </c>
      <c r="D227" s="186" t="s">
        <v>3629</v>
      </c>
      <c r="G227" s="234"/>
      <c r="I227" s="288">
        <v>2494706</v>
      </c>
      <c r="J227" s="294" t="s">
        <v>1823</v>
      </c>
      <c r="K227" s="307">
        <v>5000112473100</v>
      </c>
      <c r="L227" s="313" t="s">
        <v>3627</v>
      </c>
      <c r="N227" s="286" t="s">
        <v>94</v>
      </c>
      <c r="O227" s="181" t="s">
        <v>94</v>
      </c>
      <c r="P227" s="181" t="s">
        <v>36</v>
      </c>
      <c r="Q227" s="326"/>
      <c r="R227" s="195" t="s">
        <v>3792</v>
      </c>
    </row>
    <row r="228" spans="1:18">
      <c r="A228" s="324" t="s">
        <v>28</v>
      </c>
      <c r="B228" s="323">
        <v>45709</v>
      </c>
      <c r="D228" s="186" t="s">
        <v>3637</v>
      </c>
      <c r="G228" s="234"/>
      <c r="I228" s="288">
        <v>2669701</v>
      </c>
      <c r="J228" s="294" t="s">
        <v>1824</v>
      </c>
      <c r="K228" s="307">
        <v>5000112473247</v>
      </c>
      <c r="L228" s="313" t="s">
        <v>3641</v>
      </c>
      <c r="N228" s="286" t="s">
        <v>94</v>
      </c>
      <c r="O228" s="181" t="s">
        <v>94</v>
      </c>
      <c r="P228" s="181" t="s">
        <v>36</v>
      </c>
      <c r="Q228" s="326"/>
      <c r="R228" s="195" t="s">
        <v>3792</v>
      </c>
    </row>
    <row r="229" spans="1:18">
      <c r="A229" s="324" t="s">
        <v>28</v>
      </c>
      <c r="B229" s="323">
        <v>45709</v>
      </c>
      <c r="D229" s="186" t="s">
        <v>3644</v>
      </c>
      <c r="G229" s="234"/>
      <c r="I229" s="288">
        <v>2669702</v>
      </c>
      <c r="J229" s="294" t="s">
        <v>1825</v>
      </c>
      <c r="K229" s="307">
        <v>5000112473230</v>
      </c>
      <c r="L229" s="313" t="s">
        <v>3641</v>
      </c>
      <c r="N229" s="286" t="s">
        <v>94</v>
      </c>
      <c r="O229" s="181" t="s">
        <v>94</v>
      </c>
      <c r="P229" s="181" t="s">
        <v>36</v>
      </c>
      <c r="Q229" s="326"/>
      <c r="R229" s="195" t="s">
        <v>3792</v>
      </c>
    </row>
    <row r="230" spans="1:18">
      <c r="A230" s="324" t="s">
        <v>28</v>
      </c>
      <c r="B230" s="323">
        <v>45709</v>
      </c>
      <c r="D230" s="186" t="s">
        <v>3637</v>
      </c>
      <c r="G230" s="234"/>
      <c r="I230" s="288">
        <v>2669401</v>
      </c>
      <c r="J230" s="294" t="s">
        <v>1826</v>
      </c>
      <c r="K230" s="307">
        <v>5056784909447</v>
      </c>
      <c r="L230" s="313" t="s">
        <v>64</v>
      </c>
      <c r="N230" s="286" t="s">
        <v>94</v>
      </c>
      <c r="O230" s="181" t="s">
        <v>94</v>
      </c>
      <c r="P230" s="181" t="s">
        <v>36</v>
      </c>
      <c r="Q230" s="326"/>
      <c r="R230" s="195" t="s">
        <v>3792</v>
      </c>
    </row>
    <row r="231" spans="1:18">
      <c r="A231" s="324" t="s">
        <v>28</v>
      </c>
      <c r="B231" s="323">
        <v>45709</v>
      </c>
      <c r="D231" s="186" t="s">
        <v>3644</v>
      </c>
      <c r="G231" s="234"/>
      <c r="I231" s="288">
        <v>2669402</v>
      </c>
      <c r="J231" s="294" t="s">
        <v>1827</v>
      </c>
      <c r="K231" s="307">
        <v>5056784909430</v>
      </c>
      <c r="L231" s="313" t="s">
        <v>64</v>
      </c>
      <c r="N231" s="286" t="s">
        <v>94</v>
      </c>
      <c r="O231" s="181" t="s">
        <v>94</v>
      </c>
      <c r="P231" s="181" t="s">
        <v>36</v>
      </c>
      <c r="Q231" s="326"/>
      <c r="R231" s="195" t="s">
        <v>3792</v>
      </c>
    </row>
    <row r="232" spans="1:18">
      <c r="A232" s="324" t="s">
        <v>28</v>
      </c>
      <c r="B232" s="323">
        <v>45709</v>
      </c>
      <c r="D232" s="186" t="s">
        <v>3637</v>
      </c>
      <c r="G232" s="234"/>
      <c r="I232" s="288">
        <v>2669502</v>
      </c>
      <c r="J232" s="294" t="s">
        <v>1828</v>
      </c>
      <c r="K232" s="307">
        <v>5056784909423</v>
      </c>
      <c r="L232" s="313" t="s">
        <v>64</v>
      </c>
      <c r="N232" s="286" t="s">
        <v>94</v>
      </c>
      <c r="O232" s="181" t="s">
        <v>94</v>
      </c>
      <c r="P232" s="181" t="s">
        <v>36</v>
      </c>
      <c r="Q232" s="326"/>
      <c r="R232" s="195" t="s">
        <v>3792</v>
      </c>
    </row>
    <row r="233" spans="1:18">
      <c r="A233" s="324" t="s">
        <v>28</v>
      </c>
      <c r="B233" s="323">
        <v>45709</v>
      </c>
      <c r="D233" s="186" t="s">
        <v>3644</v>
      </c>
      <c r="G233" s="234"/>
      <c r="I233" s="288">
        <v>2669501</v>
      </c>
      <c r="J233" s="294" t="s">
        <v>1829</v>
      </c>
      <c r="K233" s="307">
        <v>5056784909416</v>
      </c>
      <c r="L233" s="313" t="s">
        <v>64</v>
      </c>
      <c r="N233" s="286" t="s">
        <v>94</v>
      </c>
      <c r="O233" s="181" t="s">
        <v>94</v>
      </c>
      <c r="P233" s="181" t="s">
        <v>36</v>
      </c>
      <c r="Q233" s="326"/>
      <c r="R233" s="195" t="s">
        <v>3792</v>
      </c>
    </row>
    <row r="234" spans="1:18">
      <c r="A234" s="324" t="s">
        <v>28</v>
      </c>
      <c r="B234" s="323">
        <v>45709</v>
      </c>
      <c r="D234" s="186" t="s">
        <v>3637</v>
      </c>
      <c r="G234" s="234"/>
      <c r="I234" s="288">
        <v>2669602</v>
      </c>
      <c r="J234" s="294" t="s">
        <v>1830</v>
      </c>
      <c r="K234" s="307">
        <v>5056784909485</v>
      </c>
      <c r="L234" s="313" t="s">
        <v>64</v>
      </c>
      <c r="N234" s="286" t="s">
        <v>94</v>
      </c>
      <c r="O234" s="181" t="s">
        <v>94</v>
      </c>
      <c r="P234" s="181" t="s">
        <v>36</v>
      </c>
      <c r="Q234" s="326"/>
      <c r="R234" s="195" t="s">
        <v>3792</v>
      </c>
    </row>
    <row r="235" spans="1:18">
      <c r="A235" s="324" t="s">
        <v>28</v>
      </c>
      <c r="B235" s="323">
        <v>45709</v>
      </c>
      <c r="D235" s="186" t="s">
        <v>3644</v>
      </c>
      <c r="G235" s="234"/>
      <c r="I235" s="288">
        <v>2669601</v>
      </c>
      <c r="J235" s="294" t="s">
        <v>1831</v>
      </c>
      <c r="K235" s="307">
        <v>5056784909478</v>
      </c>
      <c r="L235" s="313" t="s">
        <v>64</v>
      </c>
      <c r="N235" s="286" t="s">
        <v>94</v>
      </c>
      <c r="O235" s="181" t="s">
        <v>94</v>
      </c>
      <c r="P235" s="181" t="s">
        <v>36</v>
      </c>
      <c r="Q235" s="326"/>
      <c r="R235" s="195" t="s">
        <v>3792</v>
      </c>
    </row>
    <row r="236" spans="1:18">
      <c r="A236" s="324" t="s">
        <v>28</v>
      </c>
      <c r="B236" s="323">
        <v>45709</v>
      </c>
      <c r="D236" s="186" t="s">
        <v>3637</v>
      </c>
      <c r="G236" s="234"/>
      <c r="I236" s="288">
        <v>2667404</v>
      </c>
      <c r="J236" s="294" t="s">
        <v>1832</v>
      </c>
      <c r="K236" s="307">
        <v>5056784909508</v>
      </c>
      <c r="L236" s="313" t="s">
        <v>64</v>
      </c>
      <c r="N236" s="286" t="s">
        <v>94</v>
      </c>
      <c r="O236" s="181" t="s">
        <v>94</v>
      </c>
      <c r="P236" s="181" t="s">
        <v>36</v>
      </c>
      <c r="Q236" s="326"/>
      <c r="R236" s="195" t="s">
        <v>3792</v>
      </c>
    </row>
    <row r="237" spans="1:18">
      <c r="A237" s="324" t="s">
        <v>28</v>
      </c>
      <c r="B237" s="323">
        <v>45709</v>
      </c>
      <c r="D237" s="186" t="s">
        <v>3644</v>
      </c>
      <c r="G237" s="234"/>
      <c r="I237" s="288">
        <v>2667403</v>
      </c>
      <c r="J237" s="294" t="s">
        <v>1833</v>
      </c>
      <c r="K237" s="307">
        <v>5056784909492</v>
      </c>
      <c r="L237" s="313" t="s">
        <v>64</v>
      </c>
      <c r="N237" s="286" t="s">
        <v>94</v>
      </c>
      <c r="O237" s="181" t="s">
        <v>94</v>
      </c>
      <c r="P237" s="181" t="s">
        <v>36</v>
      </c>
      <c r="Q237" s="326"/>
      <c r="R237" s="195" t="s">
        <v>3792</v>
      </c>
    </row>
    <row r="238" spans="1:18">
      <c r="A238" s="324" t="s">
        <v>28</v>
      </c>
      <c r="B238" s="323">
        <v>45709</v>
      </c>
      <c r="D238" s="186" t="s">
        <v>3629</v>
      </c>
      <c r="G238" s="234"/>
      <c r="I238" s="288">
        <v>2306605</v>
      </c>
      <c r="J238" s="294" t="s">
        <v>3813</v>
      </c>
      <c r="K238" s="307">
        <v>5056784909546</v>
      </c>
      <c r="L238" s="313" t="s">
        <v>64</v>
      </c>
      <c r="N238" s="286" t="s">
        <v>94</v>
      </c>
      <c r="O238" s="181" t="s">
        <v>94</v>
      </c>
      <c r="P238" s="181" t="s">
        <v>36</v>
      </c>
      <c r="Q238" s="326" t="s">
        <v>3814</v>
      </c>
      <c r="R238" s="195" t="s">
        <v>3792</v>
      </c>
    </row>
    <row r="239" spans="1:18">
      <c r="A239" s="324" t="s">
        <v>28</v>
      </c>
      <c r="B239" s="323">
        <v>45709</v>
      </c>
      <c r="D239" s="186" t="s">
        <v>3772</v>
      </c>
      <c r="G239" s="234"/>
      <c r="I239" s="288">
        <v>2600302</v>
      </c>
      <c r="J239" s="294" t="s">
        <v>3815</v>
      </c>
      <c r="K239" s="307">
        <v>5056784909553</v>
      </c>
      <c r="L239" s="313" t="s">
        <v>64</v>
      </c>
      <c r="N239" s="286" t="s">
        <v>94</v>
      </c>
      <c r="O239" s="181" t="s">
        <v>94</v>
      </c>
      <c r="P239" s="181" t="s">
        <v>36</v>
      </c>
      <c r="Q239" s="326" t="s">
        <v>3814</v>
      </c>
      <c r="R239" s="195" t="s">
        <v>3792</v>
      </c>
    </row>
    <row r="240" spans="1:18">
      <c r="A240" s="324" t="s">
        <v>28</v>
      </c>
      <c r="B240" s="323">
        <v>45723</v>
      </c>
      <c r="D240" s="186" t="s">
        <v>3637</v>
      </c>
      <c r="G240" s="234"/>
      <c r="I240" s="288">
        <v>2154808</v>
      </c>
      <c r="J240" s="294" t="s">
        <v>1838</v>
      </c>
      <c r="K240" s="307">
        <v>5000112473391</v>
      </c>
      <c r="L240" s="313" t="s">
        <v>48</v>
      </c>
      <c r="N240" s="286" t="s">
        <v>94</v>
      </c>
      <c r="O240" s="181" t="s">
        <v>94</v>
      </c>
      <c r="P240" s="181" t="s">
        <v>36</v>
      </c>
      <c r="Q240" s="326"/>
      <c r="R240" s="195" t="s">
        <v>3792</v>
      </c>
    </row>
    <row r="241" spans="1:18">
      <c r="A241" s="324" t="s">
        <v>28</v>
      </c>
      <c r="B241" s="323">
        <v>45723</v>
      </c>
      <c r="D241" s="186" t="s">
        <v>3644</v>
      </c>
      <c r="G241" s="234"/>
      <c r="I241" s="288">
        <v>2154807</v>
      </c>
      <c r="J241" s="294" t="s">
        <v>1839</v>
      </c>
      <c r="K241" s="307">
        <v>5000112473384</v>
      </c>
      <c r="L241" s="313" t="s">
        <v>48</v>
      </c>
      <c r="N241" s="286" t="s">
        <v>94</v>
      </c>
      <c r="O241" s="181" t="s">
        <v>94</v>
      </c>
      <c r="P241" s="181" t="s">
        <v>36</v>
      </c>
      <c r="Q241" s="326"/>
      <c r="R241" s="195" t="s">
        <v>3792</v>
      </c>
    </row>
    <row r="242" spans="1:18">
      <c r="A242" s="324" t="s">
        <v>28</v>
      </c>
      <c r="B242" s="323">
        <v>45723</v>
      </c>
      <c r="D242" s="186" t="s">
        <v>3637</v>
      </c>
      <c r="G242" s="234"/>
      <c r="I242" s="288">
        <v>2114018</v>
      </c>
      <c r="J242" s="294" t="s">
        <v>1840</v>
      </c>
      <c r="K242" s="307">
        <v>5000112473353</v>
      </c>
      <c r="L242" s="313" t="s">
        <v>69</v>
      </c>
      <c r="N242" s="286" t="s">
        <v>94</v>
      </c>
      <c r="O242" s="181" t="s">
        <v>94</v>
      </c>
      <c r="P242" s="181" t="s">
        <v>36</v>
      </c>
      <c r="Q242" s="326"/>
      <c r="R242" s="195" t="s">
        <v>3792</v>
      </c>
    </row>
    <row r="243" spans="1:18">
      <c r="A243" s="324" t="s">
        <v>28</v>
      </c>
      <c r="B243" s="323">
        <v>45723</v>
      </c>
      <c r="D243" s="186" t="s">
        <v>3644</v>
      </c>
      <c r="G243" s="234"/>
      <c r="I243" s="288">
        <v>2114017</v>
      </c>
      <c r="J243" s="294" t="s">
        <v>1841</v>
      </c>
      <c r="K243" s="307">
        <v>5000112473360</v>
      </c>
      <c r="L243" s="313" t="s">
        <v>69</v>
      </c>
      <c r="N243" s="286" t="s">
        <v>94</v>
      </c>
      <c r="O243" s="181" t="s">
        <v>94</v>
      </c>
      <c r="P243" s="181" t="s">
        <v>36</v>
      </c>
      <c r="Q243" s="326"/>
      <c r="R243" s="195" t="s">
        <v>3792</v>
      </c>
    </row>
    <row r="244" spans="1:18">
      <c r="A244" s="324" t="s">
        <v>28</v>
      </c>
      <c r="B244" s="323">
        <v>45730</v>
      </c>
      <c r="D244" s="186" t="s">
        <v>3637</v>
      </c>
      <c r="G244" s="234"/>
      <c r="I244" s="288">
        <v>1318217</v>
      </c>
      <c r="J244" s="294" t="s">
        <v>1842</v>
      </c>
      <c r="K244" s="307">
        <v>5000112474374</v>
      </c>
      <c r="L244" s="313" t="s">
        <v>492</v>
      </c>
      <c r="N244" s="286" t="s">
        <v>94</v>
      </c>
      <c r="O244" s="181" t="s">
        <v>94</v>
      </c>
      <c r="P244" s="181" t="s">
        <v>36</v>
      </c>
      <c r="Q244" s="326"/>
      <c r="R244" s="195" t="s">
        <v>3792</v>
      </c>
    </row>
    <row r="245" spans="1:18">
      <c r="A245" s="324" t="s">
        <v>28</v>
      </c>
      <c r="B245" s="323">
        <v>45730</v>
      </c>
      <c r="D245" s="186" t="s">
        <v>3644</v>
      </c>
      <c r="G245" s="234"/>
      <c r="I245" s="288">
        <v>1318216</v>
      </c>
      <c r="J245" s="294" t="s">
        <v>1843</v>
      </c>
      <c r="K245" s="307">
        <v>5000112474367</v>
      </c>
      <c r="L245" s="313" t="s">
        <v>492</v>
      </c>
      <c r="N245" s="286" t="s">
        <v>94</v>
      </c>
      <c r="O245" s="181" t="s">
        <v>94</v>
      </c>
      <c r="P245" s="181" t="s">
        <v>36</v>
      </c>
      <c r="Q245" s="326"/>
      <c r="R245" s="195" t="s">
        <v>3792</v>
      </c>
    </row>
    <row r="246" spans="1:18">
      <c r="A246" s="324" t="s">
        <v>28</v>
      </c>
      <c r="B246" s="323">
        <v>45730</v>
      </c>
      <c r="D246" s="186" t="s">
        <v>3637</v>
      </c>
      <c r="G246" s="234"/>
      <c r="I246" s="288">
        <v>2674001</v>
      </c>
      <c r="J246" s="294" t="s">
        <v>1844</v>
      </c>
      <c r="K246" s="307">
        <v>5000112474336</v>
      </c>
      <c r="L246" s="313" t="s">
        <v>800</v>
      </c>
      <c r="N246" s="286" t="s">
        <v>94</v>
      </c>
      <c r="O246" s="181" t="s">
        <v>94</v>
      </c>
      <c r="P246" s="181" t="s">
        <v>36</v>
      </c>
      <c r="Q246" s="326"/>
      <c r="R246" s="195" t="s">
        <v>3792</v>
      </c>
    </row>
    <row r="247" spans="1:18">
      <c r="A247" s="324" t="s">
        <v>28</v>
      </c>
      <c r="B247" s="323">
        <v>45730</v>
      </c>
      <c r="D247" s="186" t="s">
        <v>3644</v>
      </c>
      <c r="G247" s="234"/>
      <c r="I247" s="288">
        <v>2674002</v>
      </c>
      <c r="J247" s="294" t="s">
        <v>1845</v>
      </c>
      <c r="K247" s="307">
        <v>5000112474350</v>
      </c>
      <c r="L247" s="313" t="s">
        <v>800</v>
      </c>
      <c r="N247" s="286" t="s">
        <v>94</v>
      </c>
      <c r="O247" s="181" t="s">
        <v>94</v>
      </c>
      <c r="P247" s="181" t="s">
        <v>36</v>
      </c>
      <c r="Q247" s="326"/>
      <c r="R247" s="195" t="s">
        <v>3792</v>
      </c>
    </row>
    <row r="248" spans="1:18">
      <c r="A248" s="324" t="s">
        <v>28</v>
      </c>
      <c r="B248" s="323">
        <v>45730</v>
      </c>
      <c r="D248" s="186" t="s">
        <v>3637</v>
      </c>
      <c r="G248" s="234"/>
      <c r="I248" s="288">
        <v>1637414</v>
      </c>
      <c r="J248" s="294" t="s">
        <v>1846</v>
      </c>
      <c r="K248" s="307">
        <v>5000112474381</v>
      </c>
      <c r="L248" s="313" t="s">
        <v>3627</v>
      </c>
      <c r="N248" s="286" t="s">
        <v>94</v>
      </c>
      <c r="O248" s="181" t="s">
        <v>94</v>
      </c>
      <c r="P248" s="181" t="s">
        <v>36</v>
      </c>
      <c r="Q248" s="326"/>
      <c r="R248" s="195" t="s">
        <v>3792</v>
      </c>
    </row>
    <row r="249" spans="1:18">
      <c r="A249" s="324" t="s">
        <v>28</v>
      </c>
      <c r="B249" s="323">
        <v>45730</v>
      </c>
      <c r="D249" s="186" t="s">
        <v>3644</v>
      </c>
      <c r="G249" s="234"/>
      <c r="I249" s="288">
        <v>1637413</v>
      </c>
      <c r="J249" s="294" t="s">
        <v>1847</v>
      </c>
      <c r="K249" s="307">
        <v>5000112474398</v>
      </c>
      <c r="L249" s="313" t="s">
        <v>3627</v>
      </c>
      <c r="N249" s="286" t="s">
        <v>94</v>
      </c>
      <c r="O249" s="181" t="s">
        <v>94</v>
      </c>
      <c r="P249" s="181" t="s">
        <v>36</v>
      </c>
      <c r="Q249" s="326"/>
      <c r="R249" s="195" t="s">
        <v>3792</v>
      </c>
    </row>
    <row r="250" spans="1:18">
      <c r="A250" s="324" t="s">
        <v>28</v>
      </c>
      <c r="B250" s="323">
        <v>45730</v>
      </c>
      <c r="D250" s="186" t="s">
        <v>3637</v>
      </c>
      <c r="G250" s="234"/>
      <c r="I250" s="288">
        <v>2673901</v>
      </c>
      <c r="J250" s="294" t="s">
        <v>1848</v>
      </c>
      <c r="K250" s="307">
        <v>5000112474244</v>
      </c>
      <c r="L250" s="313" t="s">
        <v>3627</v>
      </c>
      <c r="N250" s="286" t="s">
        <v>94</v>
      </c>
      <c r="O250" s="181" t="s">
        <v>94</v>
      </c>
      <c r="P250" s="181" t="s">
        <v>36</v>
      </c>
      <c r="Q250" s="326"/>
      <c r="R250" s="195" t="s">
        <v>3792</v>
      </c>
    </row>
    <row r="251" spans="1:18">
      <c r="A251" s="324" t="s">
        <v>28</v>
      </c>
      <c r="B251" s="323">
        <v>45730</v>
      </c>
      <c r="D251" s="186" t="s">
        <v>3644</v>
      </c>
      <c r="G251" s="234"/>
      <c r="I251" s="288">
        <v>2673902</v>
      </c>
      <c r="J251" s="294" t="s">
        <v>1849</v>
      </c>
      <c r="K251" s="307">
        <v>5000112474312</v>
      </c>
      <c r="L251" s="313" t="s">
        <v>3627</v>
      </c>
      <c r="N251" s="286" t="s">
        <v>94</v>
      </c>
      <c r="O251" s="181" t="s">
        <v>94</v>
      </c>
      <c r="P251" s="181" t="s">
        <v>36</v>
      </c>
      <c r="Q251" s="326"/>
      <c r="R251" s="195" t="s">
        <v>3792</v>
      </c>
    </row>
    <row r="252" spans="1:18">
      <c r="A252" s="324" t="s">
        <v>28</v>
      </c>
      <c r="B252" s="323">
        <v>45730</v>
      </c>
      <c r="D252" s="186" t="s">
        <v>3637</v>
      </c>
      <c r="G252" s="234"/>
      <c r="I252" s="288">
        <v>1711103</v>
      </c>
      <c r="J252" s="294" t="s">
        <v>1850</v>
      </c>
      <c r="K252" s="307">
        <v>5000112474329</v>
      </c>
      <c r="L252" s="313" t="s">
        <v>3627</v>
      </c>
      <c r="N252" s="286" t="s">
        <v>94</v>
      </c>
      <c r="O252" s="181" t="s">
        <v>94</v>
      </c>
      <c r="P252" s="181" t="s">
        <v>36</v>
      </c>
      <c r="Q252" s="326"/>
      <c r="R252" s="195" t="s">
        <v>3792</v>
      </c>
    </row>
    <row r="253" spans="1:18">
      <c r="A253" s="324" t="s">
        <v>28</v>
      </c>
      <c r="B253" s="323">
        <v>45730</v>
      </c>
      <c r="D253" s="186" t="s">
        <v>3644</v>
      </c>
      <c r="G253" s="234"/>
      <c r="I253" s="288">
        <v>1711104</v>
      </c>
      <c r="J253" s="294" t="s">
        <v>1851</v>
      </c>
      <c r="K253" s="307">
        <v>5000112474343</v>
      </c>
      <c r="L253" s="313" t="s">
        <v>3627</v>
      </c>
      <c r="N253" s="286" t="s">
        <v>94</v>
      </c>
      <c r="O253" s="181" t="s">
        <v>94</v>
      </c>
      <c r="P253" s="181" t="s">
        <v>36</v>
      </c>
      <c r="Q253" s="326"/>
      <c r="R253" s="195" t="s">
        <v>3792</v>
      </c>
    </row>
    <row r="254" spans="1:18">
      <c r="A254" s="324" t="s">
        <v>28</v>
      </c>
      <c r="B254" s="323">
        <v>45737</v>
      </c>
      <c r="D254" s="186" t="s">
        <v>3637</v>
      </c>
      <c r="G254" s="234"/>
      <c r="I254" s="288">
        <v>2674302</v>
      </c>
      <c r="J254" s="294" t="s">
        <v>1852</v>
      </c>
      <c r="K254" s="307">
        <v>5000112474442</v>
      </c>
      <c r="L254" s="313" t="s">
        <v>800</v>
      </c>
      <c r="N254" s="286" t="s">
        <v>94</v>
      </c>
      <c r="O254" s="181" t="s">
        <v>94</v>
      </c>
      <c r="P254" s="181" t="s">
        <v>36</v>
      </c>
      <c r="Q254" s="333"/>
      <c r="R254" s="195" t="s">
        <v>3792</v>
      </c>
    </row>
    <row r="255" spans="1:18">
      <c r="A255" s="324" t="s">
        <v>28</v>
      </c>
      <c r="B255" s="323">
        <v>45737</v>
      </c>
      <c r="D255" s="186" t="s">
        <v>3644</v>
      </c>
      <c r="G255" s="234"/>
      <c r="I255" s="288">
        <v>2674301</v>
      </c>
      <c r="J255" s="294" t="s">
        <v>1854</v>
      </c>
      <c r="K255" s="307">
        <v>5000112474435</v>
      </c>
      <c r="L255" s="313" t="s">
        <v>800</v>
      </c>
      <c r="N255" s="286" t="s">
        <v>94</v>
      </c>
      <c r="O255" s="181" t="s">
        <v>94</v>
      </c>
      <c r="P255" s="181" t="s">
        <v>36</v>
      </c>
      <c r="Q255" s="333"/>
      <c r="R255" s="195" t="s">
        <v>3792</v>
      </c>
    </row>
    <row r="256" spans="1:18">
      <c r="A256" s="324" t="s">
        <v>28</v>
      </c>
      <c r="B256" s="323">
        <v>45737</v>
      </c>
      <c r="D256" s="186" t="s">
        <v>3637</v>
      </c>
      <c r="G256" s="234"/>
      <c r="I256" s="288">
        <v>2674901</v>
      </c>
      <c r="J256" s="294" t="s">
        <v>1855</v>
      </c>
      <c r="K256" s="307">
        <v>5000112474473</v>
      </c>
      <c r="L256" s="313" t="s">
        <v>3627</v>
      </c>
      <c r="N256" s="286" t="s">
        <v>94</v>
      </c>
      <c r="O256" s="181" t="s">
        <v>94</v>
      </c>
      <c r="P256" s="181" t="s">
        <v>36</v>
      </c>
      <c r="Q256" s="333"/>
      <c r="R256" s="195" t="s">
        <v>3792</v>
      </c>
    </row>
    <row r="257" spans="1:18">
      <c r="A257" s="324" t="s">
        <v>28</v>
      </c>
      <c r="B257" s="323">
        <v>45737</v>
      </c>
      <c r="D257" s="186" t="s">
        <v>3644</v>
      </c>
      <c r="G257" s="234"/>
      <c r="I257" s="288">
        <v>2674902</v>
      </c>
      <c r="J257" s="294" t="s">
        <v>1856</v>
      </c>
      <c r="K257" s="307">
        <v>5000112474480</v>
      </c>
      <c r="L257" s="313" t="s">
        <v>3627</v>
      </c>
      <c r="N257" s="286" t="s">
        <v>94</v>
      </c>
      <c r="O257" s="181" t="s">
        <v>94</v>
      </c>
      <c r="P257" s="181" t="s">
        <v>36</v>
      </c>
      <c r="Q257" s="333"/>
      <c r="R257" s="195" t="s">
        <v>3792</v>
      </c>
    </row>
    <row r="258" spans="1:18">
      <c r="A258" s="324" t="s">
        <v>28</v>
      </c>
      <c r="B258" s="323">
        <v>45744</v>
      </c>
      <c r="D258" s="186" t="s">
        <v>3637</v>
      </c>
      <c r="G258" s="234"/>
      <c r="I258" s="288">
        <v>2676001</v>
      </c>
      <c r="J258" s="294" t="s">
        <v>1858</v>
      </c>
      <c r="K258" s="307">
        <v>5000112474664</v>
      </c>
      <c r="L258" s="313" t="s">
        <v>3627</v>
      </c>
      <c r="N258" s="286" t="s">
        <v>94</v>
      </c>
      <c r="O258" s="181" t="s">
        <v>94</v>
      </c>
      <c r="P258" s="181" t="s">
        <v>36</v>
      </c>
      <c r="Q258" s="333"/>
      <c r="R258" s="195" t="s">
        <v>3792</v>
      </c>
    </row>
    <row r="259" spans="1:18">
      <c r="A259" s="324" t="s">
        <v>28</v>
      </c>
      <c r="B259" s="323">
        <v>45744</v>
      </c>
      <c r="D259" s="186" t="s">
        <v>3629</v>
      </c>
      <c r="G259" s="234"/>
      <c r="I259" s="288">
        <v>2137706</v>
      </c>
      <c r="J259" s="294" t="s">
        <v>1859</v>
      </c>
      <c r="K259" s="307">
        <v>5000112474688</v>
      </c>
      <c r="L259" s="313" t="s">
        <v>3627</v>
      </c>
      <c r="N259" s="286" t="s">
        <v>94</v>
      </c>
      <c r="O259" s="181" t="s">
        <v>94</v>
      </c>
      <c r="P259" s="181" t="s">
        <v>36</v>
      </c>
      <c r="Q259" s="333"/>
      <c r="R259" s="195" t="s">
        <v>3792</v>
      </c>
    </row>
    <row r="260" spans="1:18">
      <c r="A260" s="324" t="s">
        <v>28</v>
      </c>
      <c r="B260" s="323">
        <v>45744</v>
      </c>
      <c r="D260" s="186" t="s">
        <v>3624</v>
      </c>
      <c r="G260" s="234"/>
      <c r="I260" s="288">
        <v>2675901</v>
      </c>
      <c r="J260" s="294" t="s">
        <v>1860</v>
      </c>
      <c r="K260" s="307" t="str">
        <f>"9031100008918"</f>
        <v>9031100008918</v>
      </c>
      <c r="L260" s="313" t="s">
        <v>41</v>
      </c>
      <c r="N260" s="286" t="s">
        <v>94</v>
      </c>
      <c r="O260" s="181" t="s">
        <v>94</v>
      </c>
      <c r="P260" s="181" t="s">
        <v>36</v>
      </c>
      <c r="Q260" s="333"/>
      <c r="R260" s="195" t="s">
        <v>3792</v>
      </c>
    </row>
    <row r="261" spans="1:18">
      <c r="A261" s="324" t="s">
        <v>28</v>
      </c>
      <c r="B261" s="323">
        <v>45744</v>
      </c>
      <c r="D261" s="186" t="s">
        <v>3664</v>
      </c>
      <c r="G261" s="234"/>
      <c r="I261" s="288">
        <v>1993203</v>
      </c>
      <c r="J261" s="294" t="s">
        <v>1861</v>
      </c>
      <c r="K261" s="307" t="str">
        <f>"9031100008925"</f>
        <v>9031100008925</v>
      </c>
      <c r="L261" s="313" t="s">
        <v>41</v>
      </c>
      <c r="N261" s="286" t="s">
        <v>94</v>
      </c>
      <c r="O261" s="181" t="s">
        <v>94</v>
      </c>
      <c r="P261" s="181" t="s">
        <v>36</v>
      </c>
      <c r="Q261" s="333"/>
      <c r="R261" s="195" t="s">
        <v>3792</v>
      </c>
    </row>
    <row r="262" spans="1:18">
      <c r="A262" s="324" t="s">
        <v>28</v>
      </c>
      <c r="B262" s="323">
        <v>45744</v>
      </c>
      <c r="D262" s="186" t="s">
        <v>3629</v>
      </c>
      <c r="G262" s="234"/>
      <c r="I262" s="288">
        <v>1010104</v>
      </c>
      <c r="J262" s="294" t="s">
        <v>1862</v>
      </c>
      <c r="K262" s="307">
        <v>5000112474725</v>
      </c>
      <c r="L262" s="313" t="s">
        <v>3641</v>
      </c>
      <c r="N262" s="286" t="s">
        <v>94</v>
      </c>
      <c r="O262" s="181" t="s">
        <v>94</v>
      </c>
      <c r="P262" s="181" t="s">
        <v>36</v>
      </c>
      <c r="Q262" s="333"/>
      <c r="R262" s="195" t="s">
        <v>3792</v>
      </c>
    </row>
    <row r="263" spans="1:18">
      <c r="A263" s="324" t="s">
        <v>28</v>
      </c>
      <c r="B263" s="323">
        <v>45758</v>
      </c>
      <c r="D263" s="186" t="s">
        <v>3644</v>
      </c>
      <c r="G263" s="234"/>
      <c r="I263" s="288">
        <v>2676002</v>
      </c>
      <c r="J263" s="294" t="s">
        <v>1864</v>
      </c>
      <c r="K263" s="307">
        <v>5000112474985</v>
      </c>
      <c r="L263" s="313" t="s">
        <v>3627</v>
      </c>
      <c r="N263" s="286" t="s">
        <v>94</v>
      </c>
      <c r="O263" s="181" t="s">
        <v>94</v>
      </c>
      <c r="P263" s="181" t="s">
        <v>36</v>
      </c>
      <c r="Q263" s="333"/>
      <c r="R263" s="195" t="s">
        <v>3792</v>
      </c>
    </row>
    <row r="264" spans="1:18">
      <c r="A264" s="324" t="s">
        <v>28</v>
      </c>
      <c r="B264" s="323">
        <v>45758</v>
      </c>
      <c r="D264" s="186" t="s">
        <v>3629</v>
      </c>
      <c r="G264" s="234"/>
      <c r="I264" s="288">
        <v>2197913</v>
      </c>
      <c r="J264" s="294" t="s">
        <v>3816</v>
      </c>
      <c r="K264" s="307" t="str">
        <f>"9031100008994"</f>
        <v>9031100008994</v>
      </c>
      <c r="L264" s="313" t="s">
        <v>41</v>
      </c>
      <c r="N264" s="286" t="s">
        <v>94</v>
      </c>
      <c r="O264" s="181" t="s">
        <v>94</v>
      </c>
      <c r="P264" s="181" t="s">
        <v>36</v>
      </c>
      <c r="Q264" s="333"/>
      <c r="R264" s="195" t="s">
        <v>3792</v>
      </c>
    </row>
    <row r="265" spans="1:18">
      <c r="A265" s="324" t="s">
        <v>28</v>
      </c>
      <c r="B265" s="323">
        <v>45772</v>
      </c>
      <c r="D265" s="186" t="s">
        <v>3664</v>
      </c>
      <c r="G265" s="234"/>
      <c r="I265" s="288">
        <v>1595224</v>
      </c>
      <c r="J265" s="294" t="s">
        <v>1873</v>
      </c>
      <c r="K265" s="307">
        <v>5000112475449</v>
      </c>
      <c r="L265" s="313" t="s">
        <v>3627</v>
      </c>
      <c r="N265" s="286" t="s">
        <v>94</v>
      </c>
      <c r="O265" s="181" t="s">
        <v>94</v>
      </c>
      <c r="P265" s="181" t="s">
        <v>36</v>
      </c>
      <c r="Q265" s="333"/>
      <c r="R265" s="195" t="s">
        <v>3792</v>
      </c>
    </row>
    <row r="266" spans="1:18">
      <c r="A266" s="324" t="s">
        <v>28</v>
      </c>
      <c r="B266" s="323">
        <v>45772</v>
      </c>
      <c r="D266" s="186" t="s">
        <v>3664</v>
      </c>
      <c r="G266" s="234"/>
      <c r="I266" s="288">
        <v>2683501</v>
      </c>
      <c r="J266" s="294" t="s">
        <v>1875</v>
      </c>
      <c r="K266" s="307">
        <v>5000112475432</v>
      </c>
      <c r="L266" s="313" t="s">
        <v>3627</v>
      </c>
      <c r="N266" s="286" t="s">
        <v>94</v>
      </c>
      <c r="O266" s="181" t="s">
        <v>94</v>
      </c>
      <c r="P266" s="181" t="s">
        <v>36</v>
      </c>
      <c r="Q266" s="333"/>
      <c r="R266" s="195" t="s">
        <v>3792</v>
      </c>
    </row>
    <row r="267" spans="1:18">
      <c r="A267" s="324" t="s">
        <v>28</v>
      </c>
      <c r="B267" s="323">
        <v>45772</v>
      </c>
      <c r="D267" s="186" t="s">
        <v>3624</v>
      </c>
      <c r="G267" s="234"/>
      <c r="I267" s="288">
        <v>2683401</v>
      </c>
      <c r="J267" s="294" t="s">
        <v>1877</v>
      </c>
      <c r="K267" s="307">
        <v>5000112475401</v>
      </c>
      <c r="L267" s="313" t="s">
        <v>492</v>
      </c>
      <c r="N267" s="286" t="s">
        <v>94</v>
      </c>
      <c r="O267" s="181" t="s">
        <v>94</v>
      </c>
      <c r="P267" s="181" t="s">
        <v>36</v>
      </c>
      <c r="Q267" s="333"/>
      <c r="R267" s="195" t="s">
        <v>3792</v>
      </c>
    </row>
    <row r="268" spans="1:18">
      <c r="A268" s="324" t="s">
        <v>28</v>
      </c>
      <c r="B268" s="323">
        <v>45772</v>
      </c>
      <c r="D268" s="186" t="s">
        <v>3637</v>
      </c>
      <c r="G268" s="234"/>
      <c r="I268" s="288">
        <v>1530103</v>
      </c>
      <c r="J268" s="294" t="s">
        <v>1879</v>
      </c>
      <c r="K268" s="307">
        <v>5000112475425</v>
      </c>
      <c r="L268" s="313" t="s">
        <v>492</v>
      </c>
      <c r="N268" s="286" t="s">
        <v>94</v>
      </c>
      <c r="O268" s="181" t="s">
        <v>94</v>
      </c>
      <c r="P268" s="181" t="s">
        <v>36</v>
      </c>
      <c r="Q268" s="333"/>
      <c r="R268" s="195" t="s">
        <v>3792</v>
      </c>
    </row>
    <row r="269" spans="1:18">
      <c r="A269" s="324" t="s">
        <v>28</v>
      </c>
      <c r="B269" s="323">
        <v>45772</v>
      </c>
      <c r="D269" s="186" t="s">
        <v>3644</v>
      </c>
      <c r="G269" s="234"/>
      <c r="I269" s="288">
        <v>1530102</v>
      </c>
      <c r="J269" s="294" t="s">
        <v>1881</v>
      </c>
      <c r="K269" s="307">
        <v>5000112475418</v>
      </c>
      <c r="L269" s="313" t="s">
        <v>492</v>
      </c>
      <c r="N269" s="286" t="s">
        <v>94</v>
      </c>
      <c r="O269" s="181" t="s">
        <v>94</v>
      </c>
      <c r="P269" s="181" t="s">
        <v>36</v>
      </c>
      <c r="Q269" s="333"/>
      <c r="R269" s="195" t="s">
        <v>3792</v>
      </c>
    </row>
    <row r="270" spans="1:18">
      <c r="A270" s="324" t="s">
        <v>28</v>
      </c>
      <c r="B270" s="323">
        <v>45772</v>
      </c>
      <c r="D270" s="186" t="s">
        <v>3637</v>
      </c>
      <c r="G270" s="234"/>
      <c r="I270" s="288">
        <v>2683602</v>
      </c>
      <c r="J270" s="294" t="s">
        <v>1883</v>
      </c>
      <c r="K270" s="307">
        <v>5000112475456</v>
      </c>
      <c r="L270" s="313" t="s">
        <v>69</v>
      </c>
      <c r="N270" s="286" t="s">
        <v>94</v>
      </c>
      <c r="O270" s="181" t="s">
        <v>94</v>
      </c>
      <c r="P270" s="181" t="s">
        <v>36</v>
      </c>
      <c r="Q270" s="333"/>
      <c r="R270" s="195" t="s">
        <v>3792</v>
      </c>
    </row>
    <row r="271" spans="1:18">
      <c r="A271" s="324" t="s">
        <v>28</v>
      </c>
      <c r="B271" s="323">
        <v>45772</v>
      </c>
      <c r="D271" s="186" t="s">
        <v>3644</v>
      </c>
      <c r="G271" s="234"/>
      <c r="I271" s="288">
        <v>2683601</v>
      </c>
      <c r="J271" s="294" t="s">
        <v>1885</v>
      </c>
      <c r="K271" s="307">
        <v>5000112475463</v>
      </c>
      <c r="L271" s="313" t="s">
        <v>69</v>
      </c>
      <c r="N271" s="286" t="s">
        <v>94</v>
      </c>
      <c r="O271" s="181" t="s">
        <v>94</v>
      </c>
      <c r="P271" s="181" t="s">
        <v>36</v>
      </c>
      <c r="Q271" s="333"/>
      <c r="R271" s="195" t="s">
        <v>3792</v>
      </c>
    </row>
    <row r="272" spans="1:18">
      <c r="A272" s="324" t="s">
        <v>28</v>
      </c>
      <c r="B272" s="323">
        <v>45800</v>
      </c>
      <c r="D272" s="186" t="s">
        <v>3637</v>
      </c>
      <c r="G272" s="234"/>
      <c r="I272" s="288">
        <v>1637415</v>
      </c>
      <c r="J272" s="294" t="s">
        <v>1906</v>
      </c>
      <c r="K272" s="307">
        <v>5000112475715</v>
      </c>
      <c r="L272" s="313" t="s">
        <v>3627</v>
      </c>
      <c r="N272" s="286" t="s">
        <v>94</v>
      </c>
      <c r="O272" s="181" t="s">
        <v>94</v>
      </c>
      <c r="P272" s="181" t="s">
        <v>36</v>
      </c>
      <c r="Q272" s="333"/>
      <c r="R272" s="195" t="s">
        <v>3792</v>
      </c>
    </row>
    <row r="273" spans="1:18">
      <c r="A273" s="324" t="s">
        <v>28</v>
      </c>
      <c r="B273" s="323">
        <v>45800</v>
      </c>
      <c r="D273" s="186" t="s">
        <v>3644</v>
      </c>
      <c r="G273" s="234"/>
      <c r="I273" s="288">
        <v>1637416</v>
      </c>
      <c r="J273" s="294" t="s">
        <v>1907</v>
      </c>
      <c r="K273" s="307">
        <v>5000112475708</v>
      </c>
      <c r="L273" s="313" t="s">
        <v>3627</v>
      </c>
      <c r="N273" s="286" t="s">
        <v>94</v>
      </c>
      <c r="O273" s="181" t="s">
        <v>94</v>
      </c>
      <c r="P273" s="181" t="s">
        <v>36</v>
      </c>
      <c r="Q273" s="333"/>
      <c r="R273" s="195" t="s">
        <v>3792</v>
      </c>
    </row>
    <row r="274" spans="1:18">
      <c r="A274" s="324" t="s">
        <v>28</v>
      </c>
      <c r="B274" s="323">
        <v>45807</v>
      </c>
      <c r="D274" s="186" t="s">
        <v>3637</v>
      </c>
      <c r="G274" s="234"/>
      <c r="I274" s="288">
        <v>2690101</v>
      </c>
      <c r="J274" s="294" t="s">
        <v>1908</v>
      </c>
      <c r="K274" s="307">
        <v>5056784914502</v>
      </c>
      <c r="L274" s="313" t="s">
        <v>64</v>
      </c>
      <c r="N274" s="286" t="s">
        <v>94</v>
      </c>
      <c r="O274" s="181" t="s">
        <v>94</v>
      </c>
      <c r="P274" s="181" t="s">
        <v>36</v>
      </c>
      <c r="Q274" s="333"/>
      <c r="R274" s="195" t="s">
        <v>3792</v>
      </c>
    </row>
    <row r="275" spans="1:18">
      <c r="A275" s="324" t="s">
        <v>28</v>
      </c>
      <c r="B275" s="323">
        <v>45807</v>
      </c>
      <c r="D275" s="186" t="s">
        <v>3644</v>
      </c>
      <c r="G275" s="234"/>
      <c r="I275" s="288">
        <v>2690104</v>
      </c>
      <c r="J275" s="294" t="s">
        <v>1909</v>
      </c>
      <c r="K275" s="307">
        <v>5056784914496</v>
      </c>
      <c r="L275" s="313" t="s">
        <v>64</v>
      </c>
      <c r="N275" s="286" t="s">
        <v>94</v>
      </c>
      <c r="O275" s="181" t="s">
        <v>94</v>
      </c>
      <c r="P275" s="181" t="s">
        <v>36</v>
      </c>
      <c r="Q275" s="333"/>
      <c r="R275" s="195" t="s">
        <v>3792</v>
      </c>
    </row>
    <row r="276" spans="1:18">
      <c r="A276" s="324" t="s">
        <v>28</v>
      </c>
      <c r="B276" s="323">
        <v>45807</v>
      </c>
      <c r="D276" s="186" t="s">
        <v>3637</v>
      </c>
      <c r="G276" s="234"/>
      <c r="I276" s="288">
        <v>2563803</v>
      </c>
      <c r="J276" s="294" t="s">
        <v>1910</v>
      </c>
      <c r="K276" s="307">
        <v>5056784914410</v>
      </c>
      <c r="L276" s="313" t="s">
        <v>64</v>
      </c>
      <c r="N276" s="286" t="s">
        <v>94</v>
      </c>
      <c r="O276" s="181" t="s">
        <v>94</v>
      </c>
      <c r="P276" s="181" t="s">
        <v>36</v>
      </c>
      <c r="Q276" s="333"/>
      <c r="R276" s="195" t="s">
        <v>3792</v>
      </c>
    </row>
    <row r="277" spans="1:18">
      <c r="A277" s="324" t="s">
        <v>28</v>
      </c>
      <c r="B277" s="323">
        <v>45807</v>
      </c>
      <c r="D277" s="186" t="s">
        <v>3644</v>
      </c>
      <c r="G277" s="234"/>
      <c r="I277" s="288">
        <v>2563804</v>
      </c>
      <c r="J277" s="294" t="s">
        <v>1911</v>
      </c>
      <c r="K277" s="307">
        <v>5056784914441</v>
      </c>
      <c r="L277" s="313" t="s">
        <v>64</v>
      </c>
      <c r="N277" s="286" t="s">
        <v>94</v>
      </c>
      <c r="O277" s="181" t="s">
        <v>94</v>
      </c>
      <c r="P277" s="181" t="s">
        <v>36</v>
      </c>
      <c r="Q277" s="333"/>
      <c r="R277" s="195" t="s">
        <v>3792</v>
      </c>
    </row>
    <row r="278" spans="1:18">
      <c r="A278" s="324" t="s">
        <v>28</v>
      </c>
      <c r="B278" s="323">
        <v>45807</v>
      </c>
      <c r="D278" s="186" t="s">
        <v>3637</v>
      </c>
      <c r="G278" s="234"/>
      <c r="I278" s="288">
        <v>2690105</v>
      </c>
      <c r="J278" s="294" t="s">
        <v>3817</v>
      </c>
      <c r="K278" s="307">
        <v>5056784914458</v>
      </c>
      <c r="L278" s="313" t="s">
        <v>64</v>
      </c>
      <c r="N278" s="286" t="s">
        <v>94</v>
      </c>
      <c r="O278" s="181" t="s">
        <v>94</v>
      </c>
      <c r="P278" s="181" t="s">
        <v>36</v>
      </c>
      <c r="Q278" s="333" t="s">
        <v>3814</v>
      </c>
      <c r="R278" s="195" t="s">
        <v>3792</v>
      </c>
    </row>
    <row r="279" spans="1:18">
      <c r="A279" s="324" t="s">
        <v>28</v>
      </c>
      <c r="B279" s="323">
        <v>45807</v>
      </c>
      <c r="D279" s="186" t="s">
        <v>3644</v>
      </c>
      <c r="G279" s="234"/>
      <c r="I279" s="288">
        <v>2690106</v>
      </c>
      <c r="J279" s="294" t="s">
        <v>3818</v>
      </c>
      <c r="K279" s="307">
        <v>5056784914465</v>
      </c>
      <c r="L279" s="313" t="s">
        <v>64</v>
      </c>
      <c r="N279" s="286" t="s">
        <v>94</v>
      </c>
      <c r="O279" s="181" t="s">
        <v>94</v>
      </c>
      <c r="P279" s="181" t="s">
        <v>36</v>
      </c>
      <c r="Q279" s="333" t="s">
        <v>3814</v>
      </c>
      <c r="R279" s="195" t="s">
        <v>3792</v>
      </c>
    </row>
    <row r="280" spans="1:18">
      <c r="A280" s="324" t="s">
        <v>28</v>
      </c>
      <c r="B280" s="323">
        <v>45807</v>
      </c>
      <c r="D280" s="186" t="s">
        <v>3637</v>
      </c>
      <c r="G280" s="234"/>
      <c r="I280" s="288">
        <v>2690102</v>
      </c>
      <c r="J280" s="294" t="s">
        <v>1914</v>
      </c>
      <c r="K280" s="307">
        <v>5056784914403</v>
      </c>
      <c r="L280" s="313" t="s">
        <v>64</v>
      </c>
      <c r="N280" s="286" t="s">
        <v>94</v>
      </c>
      <c r="O280" s="181" t="s">
        <v>94</v>
      </c>
      <c r="P280" s="181" t="s">
        <v>36</v>
      </c>
      <c r="Q280" s="333"/>
      <c r="R280" s="195" t="s">
        <v>3792</v>
      </c>
    </row>
    <row r="281" spans="1:18">
      <c r="A281" s="324" t="s">
        <v>28</v>
      </c>
      <c r="B281" s="323">
        <v>45807</v>
      </c>
      <c r="D281" s="186" t="s">
        <v>3644</v>
      </c>
      <c r="G281" s="234"/>
      <c r="I281" s="288">
        <v>2690103</v>
      </c>
      <c r="J281" s="294" t="s">
        <v>1915</v>
      </c>
      <c r="K281" s="307">
        <v>5056784914397</v>
      </c>
      <c r="L281" s="313" t="s">
        <v>64</v>
      </c>
      <c r="N281" s="286" t="s">
        <v>94</v>
      </c>
      <c r="O281" s="181" t="s">
        <v>94</v>
      </c>
      <c r="P281" s="181" t="s">
        <v>36</v>
      </c>
      <c r="Q281" s="333"/>
      <c r="R281" s="195" t="s">
        <v>3792</v>
      </c>
    </row>
    <row r="282" spans="1:18">
      <c r="A282" s="324" t="s">
        <v>28</v>
      </c>
      <c r="B282" s="323">
        <v>45807</v>
      </c>
      <c r="D282" s="186" t="s">
        <v>3637</v>
      </c>
      <c r="G282" s="234"/>
      <c r="I282" s="288">
        <v>2690002</v>
      </c>
      <c r="J282" s="294" t="s">
        <v>3819</v>
      </c>
      <c r="K282" s="307">
        <v>5056784914434</v>
      </c>
      <c r="L282" s="313" t="s">
        <v>64</v>
      </c>
      <c r="N282" s="286" t="s">
        <v>94</v>
      </c>
      <c r="O282" s="181" t="s">
        <v>94</v>
      </c>
      <c r="P282" s="181" t="s">
        <v>36</v>
      </c>
      <c r="Q282" s="333" t="s">
        <v>3814</v>
      </c>
      <c r="R282" s="195" t="s">
        <v>3792</v>
      </c>
    </row>
    <row r="283" spans="1:18">
      <c r="A283" s="324" t="s">
        <v>28</v>
      </c>
      <c r="B283" s="323">
        <v>45807</v>
      </c>
      <c r="D283" s="186" t="s">
        <v>3644</v>
      </c>
      <c r="G283" s="234"/>
      <c r="I283" s="288">
        <v>2690001</v>
      </c>
      <c r="J283" s="294" t="s">
        <v>3820</v>
      </c>
      <c r="K283" s="307">
        <v>5056784914427</v>
      </c>
      <c r="L283" s="313" t="s">
        <v>64</v>
      </c>
      <c r="N283" s="286" t="s">
        <v>94</v>
      </c>
      <c r="O283" s="181" t="s">
        <v>94</v>
      </c>
      <c r="P283" s="181" t="s">
        <v>36</v>
      </c>
      <c r="Q283" s="333" t="s">
        <v>3814</v>
      </c>
      <c r="R283" s="195" t="s">
        <v>3792</v>
      </c>
    </row>
    <row r="284" spans="1:18">
      <c r="A284" s="324" t="s">
        <v>28</v>
      </c>
      <c r="B284" s="323">
        <v>45807</v>
      </c>
      <c r="D284" s="186" t="s">
        <v>3637</v>
      </c>
      <c r="G284" s="234"/>
      <c r="I284" s="288">
        <v>2690201</v>
      </c>
      <c r="J284" s="294" t="s">
        <v>3821</v>
      </c>
      <c r="K284" s="307">
        <v>5056784914472</v>
      </c>
      <c r="L284" s="313" t="s">
        <v>64</v>
      </c>
      <c r="N284" s="286" t="s">
        <v>94</v>
      </c>
      <c r="O284" s="181" t="s">
        <v>94</v>
      </c>
      <c r="P284" s="181" t="s">
        <v>36</v>
      </c>
      <c r="Q284" s="333" t="s">
        <v>3814</v>
      </c>
      <c r="R284" s="195" t="s">
        <v>3792</v>
      </c>
    </row>
    <row r="285" spans="1:18">
      <c r="A285" s="324" t="s">
        <v>28</v>
      </c>
      <c r="B285" s="323">
        <v>45807</v>
      </c>
      <c r="D285" s="186" t="s">
        <v>3629</v>
      </c>
      <c r="G285" s="234"/>
      <c r="I285" s="288">
        <v>2690301</v>
      </c>
      <c r="J285" s="294" t="s">
        <v>1919</v>
      </c>
      <c r="K285" s="307">
        <v>5056784914489</v>
      </c>
      <c r="L285" s="313" t="s">
        <v>64</v>
      </c>
      <c r="N285" s="286" t="s">
        <v>94</v>
      </c>
      <c r="O285" s="181" t="s">
        <v>94</v>
      </c>
      <c r="P285" s="181" t="s">
        <v>36</v>
      </c>
      <c r="Q285" s="333"/>
      <c r="R285" s="195" t="s">
        <v>3792</v>
      </c>
    </row>
    <row r="286" spans="1:18">
      <c r="A286" s="324" t="s">
        <v>28</v>
      </c>
      <c r="B286" s="323">
        <v>45807</v>
      </c>
      <c r="D286" s="186" t="s">
        <v>3629</v>
      </c>
      <c r="G286" s="234"/>
      <c r="I286" s="288">
        <v>910209</v>
      </c>
      <c r="J286" s="294" t="s">
        <v>1921</v>
      </c>
      <c r="K286" s="307">
        <v>9031100009014</v>
      </c>
      <c r="L286" s="313" t="s">
        <v>41</v>
      </c>
      <c r="N286" s="286" t="s">
        <v>94</v>
      </c>
      <c r="O286" s="181" t="s">
        <v>94</v>
      </c>
      <c r="P286" s="181" t="s">
        <v>36</v>
      </c>
      <c r="Q286" s="333"/>
      <c r="R286" s="195" t="s">
        <v>3792</v>
      </c>
    </row>
    <row r="287" spans="1:18">
      <c r="A287" s="324" t="s">
        <v>28</v>
      </c>
      <c r="B287" s="323">
        <v>45807</v>
      </c>
      <c r="D287" s="186" t="s">
        <v>3629</v>
      </c>
      <c r="G287" s="234"/>
      <c r="I287" s="288">
        <v>2130605</v>
      </c>
      <c r="J287" s="294" t="s">
        <v>1920</v>
      </c>
      <c r="K287" s="307" t="str">
        <f>"9031100009007"</f>
        <v>9031100009007</v>
      </c>
      <c r="L287" s="335" t="s">
        <v>41</v>
      </c>
      <c r="N287" s="286" t="s">
        <v>94</v>
      </c>
      <c r="O287" s="181" t="s">
        <v>94</v>
      </c>
      <c r="P287" s="181" t="s">
        <v>36</v>
      </c>
      <c r="Q287" s="333"/>
      <c r="R287" s="195" t="s">
        <v>3792</v>
      </c>
    </row>
    <row r="288" spans="1:18">
      <c r="A288" s="324" t="s">
        <v>28</v>
      </c>
      <c r="B288" s="323">
        <v>45814</v>
      </c>
      <c r="D288" s="186" t="s">
        <v>3637</v>
      </c>
      <c r="G288" s="234"/>
      <c r="I288" s="288">
        <v>2693402</v>
      </c>
      <c r="J288" s="294" t="s">
        <v>1922</v>
      </c>
      <c r="K288" s="307">
        <v>5000112475937</v>
      </c>
      <c r="L288" s="335" t="s">
        <v>48</v>
      </c>
      <c r="N288" s="286" t="s">
        <v>94</v>
      </c>
      <c r="O288" s="181" t="s">
        <v>94</v>
      </c>
      <c r="P288" s="181" t="s">
        <v>36</v>
      </c>
      <c r="Q288" s="333"/>
      <c r="R288" s="195" t="s">
        <v>3792</v>
      </c>
    </row>
    <row r="289" spans="1:18">
      <c r="A289" s="324" t="s">
        <v>28</v>
      </c>
      <c r="B289" s="323">
        <v>45814</v>
      </c>
      <c r="D289" s="186" t="s">
        <v>3644</v>
      </c>
      <c r="G289" s="234"/>
      <c r="I289" s="288">
        <v>2693401</v>
      </c>
      <c r="J289" s="294" t="s">
        <v>1924</v>
      </c>
      <c r="K289" s="307">
        <v>5000112475678</v>
      </c>
      <c r="L289" s="335" t="s">
        <v>48</v>
      </c>
      <c r="N289" s="286" t="s">
        <v>94</v>
      </c>
      <c r="O289" s="181" t="s">
        <v>94</v>
      </c>
      <c r="P289" s="181" t="s">
        <v>36</v>
      </c>
      <c r="Q289" s="333"/>
      <c r="R289" s="195" t="s">
        <v>3792</v>
      </c>
    </row>
    <row r="290" spans="1:18">
      <c r="A290" s="324" t="s">
        <v>28</v>
      </c>
      <c r="B290" s="323">
        <v>45814</v>
      </c>
      <c r="D290" s="186" t="s">
        <v>3637</v>
      </c>
      <c r="G290" s="234"/>
      <c r="I290" s="288">
        <v>2604705</v>
      </c>
      <c r="J290" s="294" t="s">
        <v>1925</v>
      </c>
      <c r="K290" s="307">
        <v>5000112475753</v>
      </c>
      <c r="L290" s="335" t="s">
        <v>48</v>
      </c>
      <c r="N290" s="286" t="s">
        <v>94</v>
      </c>
      <c r="O290" s="181" t="s">
        <v>94</v>
      </c>
      <c r="P290" s="181" t="s">
        <v>36</v>
      </c>
      <c r="Q290" s="333"/>
      <c r="R290" s="195" t="s">
        <v>3792</v>
      </c>
    </row>
    <row r="291" spans="1:18">
      <c r="A291" s="324" t="s">
        <v>28</v>
      </c>
      <c r="B291" s="323">
        <v>45814</v>
      </c>
      <c r="D291" s="186" t="s">
        <v>3644</v>
      </c>
      <c r="G291" s="234"/>
      <c r="I291" s="288">
        <v>2604704</v>
      </c>
      <c r="J291" s="294" t="s">
        <v>3822</v>
      </c>
      <c r="K291" s="307">
        <v>5000112475746</v>
      </c>
      <c r="L291" s="335" t="s">
        <v>48</v>
      </c>
      <c r="N291" s="286" t="s">
        <v>94</v>
      </c>
      <c r="O291" s="181" t="s">
        <v>94</v>
      </c>
      <c r="P291" s="181" t="s">
        <v>36</v>
      </c>
      <c r="Q291" s="333"/>
      <c r="R291" s="195" t="s">
        <v>3792</v>
      </c>
    </row>
    <row r="292" spans="1:18">
      <c r="A292" s="324" t="s">
        <v>28</v>
      </c>
      <c r="B292" s="323">
        <v>45814</v>
      </c>
      <c r="D292" s="186" t="s">
        <v>3637</v>
      </c>
      <c r="G292" s="234"/>
      <c r="I292" s="288">
        <v>2604703</v>
      </c>
      <c r="J292" s="294" t="s">
        <v>1927</v>
      </c>
      <c r="K292" s="307">
        <v>5000112475944</v>
      </c>
      <c r="L292" s="335" t="s">
        <v>48</v>
      </c>
      <c r="N292" s="286" t="s">
        <v>94</v>
      </c>
      <c r="O292" s="181" t="s">
        <v>94</v>
      </c>
      <c r="P292" s="181" t="s">
        <v>36</v>
      </c>
      <c r="Q292" s="333"/>
      <c r="R292" s="195" t="s">
        <v>3792</v>
      </c>
    </row>
    <row r="293" spans="1:18">
      <c r="A293" s="324" t="s">
        <v>28</v>
      </c>
      <c r="B293" s="323">
        <v>45814</v>
      </c>
      <c r="D293" s="186" t="s">
        <v>3644</v>
      </c>
      <c r="G293" s="234"/>
      <c r="I293" s="288">
        <v>2604706</v>
      </c>
      <c r="J293" s="294" t="s">
        <v>3823</v>
      </c>
      <c r="K293" s="307">
        <v>5000112475951</v>
      </c>
      <c r="L293" s="335" t="s">
        <v>48</v>
      </c>
      <c r="N293" s="286" t="s">
        <v>94</v>
      </c>
      <c r="O293" s="181" t="s">
        <v>94</v>
      </c>
      <c r="P293" s="181" t="s">
        <v>36</v>
      </c>
      <c r="Q293" s="333"/>
      <c r="R293" s="195" t="s">
        <v>3792</v>
      </c>
    </row>
    <row r="294" spans="1:18">
      <c r="A294" s="324" t="s">
        <v>28</v>
      </c>
      <c r="B294" s="323">
        <v>45821</v>
      </c>
      <c r="D294" s="186" t="s">
        <v>3637</v>
      </c>
      <c r="G294" s="234"/>
      <c r="I294" s="288">
        <v>2694501</v>
      </c>
      <c r="J294" s="294" t="s">
        <v>1929</v>
      </c>
      <c r="K294" s="307">
        <v>5000112475920</v>
      </c>
      <c r="L294" s="313" t="s">
        <v>3627</v>
      </c>
      <c r="N294" s="286" t="s">
        <v>94</v>
      </c>
      <c r="O294" s="181" t="s">
        <v>94</v>
      </c>
      <c r="P294" s="181" t="s">
        <v>36</v>
      </c>
      <c r="Q294" s="333"/>
      <c r="R294" s="195" t="s">
        <v>3792</v>
      </c>
    </row>
    <row r="295" spans="1:18">
      <c r="A295" s="324" t="s">
        <v>28</v>
      </c>
      <c r="B295" s="323">
        <v>45821</v>
      </c>
      <c r="D295" s="186" t="s">
        <v>3644</v>
      </c>
      <c r="G295" s="234"/>
      <c r="I295" s="288">
        <v>2694502</v>
      </c>
      <c r="J295" s="294" t="s">
        <v>1930</v>
      </c>
      <c r="K295" s="307">
        <v>5000112475913</v>
      </c>
      <c r="L295" s="313" t="s">
        <v>3627</v>
      </c>
      <c r="N295" s="286" t="s">
        <v>94</v>
      </c>
      <c r="O295" s="181" t="s">
        <v>94</v>
      </c>
      <c r="P295" s="181" t="s">
        <v>36</v>
      </c>
      <c r="Q295" s="333"/>
      <c r="R295" s="195" t="s">
        <v>3792</v>
      </c>
    </row>
    <row r="296" spans="1:18">
      <c r="A296" s="324" t="s">
        <v>28</v>
      </c>
      <c r="B296" s="323">
        <v>45835</v>
      </c>
      <c r="D296" s="186" t="s">
        <v>3629</v>
      </c>
      <c r="G296" s="234"/>
      <c r="I296" s="288">
        <v>2522317</v>
      </c>
      <c r="J296" s="294" t="s">
        <v>1931</v>
      </c>
      <c r="K296" s="307">
        <v>5000112476088</v>
      </c>
      <c r="L296" s="313" t="s">
        <v>3627</v>
      </c>
      <c r="N296" s="286" t="s">
        <v>94</v>
      </c>
      <c r="O296" s="181" t="s">
        <v>94</v>
      </c>
      <c r="P296" s="181" t="s">
        <v>36</v>
      </c>
      <c r="Q296" s="333"/>
      <c r="R296" s="195" t="s">
        <v>3792</v>
      </c>
    </row>
    <row r="297" spans="1:18">
      <c r="A297" s="324" t="s">
        <v>28</v>
      </c>
      <c r="B297" s="323">
        <v>45835</v>
      </c>
      <c r="D297" s="186" t="s">
        <v>3629</v>
      </c>
      <c r="G297" s="234"/>
      <c r="I297" s="288">
        <v>2137707</v>
      </c>
      <c r="J297" s="294" t="s">
        <v>1932</v>
      </c>
      <c r="K297" s="307">
        <v>5000112476101</v>
      </c>
      <c r="L297" s="313" t="s">
        <v>3627</v>
      </c>
      <c r="N297" s="286" t="s">
        <v>94</v>
      </c>
      <c r="O297" s="181" t="s">
        <v>94</v>
      </c>
      <c r="P297" s="181" t="s">
        <v>36</v>
      </c>
      <c r="Q297" s="333"/>
      <c r="R297" s="195" t="s">
        <v>3792</v>
      </c>
    </row>
    <row r="298" spans="1:18">
      <c r="A298" s="324" t="s">
        <v>28</v>
      </c>
      <c r="B298" s="323">
        <v>45835</v>
      </c>
      <c r="D298" s="186" t="s">
        <v>3629</v>
      </c>
      <c r="G298" s="234"/>
      <c r="I298" s="288">
        <v>2696201</v>
      </c>
      <c r="J298" s="294" t="s">
        <v>1933</v>
      </c>
      <c r="K298" s="307">
        <v>5000112476095</v>
      </c>
      <c r="L298" s="313" t="s">
        <v>3627</v>
      </c>
      <c r="N298" s="286" t="s">
        <v>94</v>
      </c>
      <c r="O298" s="181" t="s">
        <v>94</v>
      </c>
      <c r="P298" s="181" t="s">
        <v>36</v>
      </c>
      <c r="Q298" s="333"/>
      <c r="R298" s="195" t="s">
        <v>3792</v>
      </c>
    </row>
    <row r="299" spans="1:18">
      <c r="A299" s="324" t="s">
        <v>28</v>
      </c>
      <c r="B299" s="323">
        <v>45842</v>
      </c>
      <c r="D299" s="186" t="s">
        <v>3637</v>
      </c>
      <c r="G299" s="234"/>
      <c r="I299" s="288">
        <v>2698701</v>
      </c>
      <c r="J299" s="294" t="s">
        <v>1934</v>
      </c>
      <c r="K299" s="307">
        <v>5000112476767</v>
      </c>
      <c r="L299" s="313" t="s">
        <v>3627</v>
      </c>
      <c r="N299" s="286" t="s">
        <v>94</v>
      </c>
      <c r="O299" s="181" t="s">
        <v>94</v>
      </c>
      <c r="P299" s="181" t="s">
        <v>36</v>
      </c>
      <c r="Q299" s="333"/>
      <c r="R299" s="195" t="s">
        <v>3792</v>
      </c>
    </row>
    <row r="300" spans="1:18">
      <c r="A300" s="324" t="s">
        <v>28</v>
      </c>
      <c r="B300" s="323">
        <v>45842</v>
      </c>
      <c r="D300" s="186" t="s">
        <v>3644</v>
      </c>
      <c r="G300" s="234"/>
      <c r="I300" s="288">
        <v>2698702</v>
      </c>
      <c r="J300" s="294" t="s">
        <v>1935</v>
      </c>
      <c r="K300" s="307">
        <v>5000112476774</v>
      </c>
      <c r="L300" s="313" t="s">
        <v>3627</v>
      </c>
      <c r="N300" s="286" t="s">
        <v>94</v>
      </c>
      <c r="O300" s="181" t="s">
        <v>94</v>
      </c>
      <c r="P300" s="181" t="s">
        <v>36</v>
      </c>
      <c r="Q300" s="333"/>
      <c r="R300" s="195" t="s">
        <v>3792</v>
      </c>
    </row>
    <row r="301" spans="1:18">
      <c r="A301" s="324" t="s">
        <v>28</v>
      </c>
      <c r="B301" s="323">
        <v>45842</v>
      </c>
      <c r="D301" s="186" t="s">
        <v>3637</v>
      </c>
      <c r="G301" s="234"/>
      <c r="I301" s="288">
        <v>1932008</v>
      </c>
      <c r="J301" s="294" t="s">
        <v>1936</v>
      </c>
      <c r="K301" s="307">
        <v>5000112476798</v>
      </c>
      <c r="L301" s="313" t="s">
        <v>3627</v>
      </c>
      <c r="N301" s="286" t="s">
        <v>94</v>
      </c>
      <c r="O301" s="181" t="s">
        <v>94</v>
      </c>
      <c r="P301" s="181" t="s">
        <v>36</v>
      </c>
      <c r="Q301" s="333"/>
      <c r="R301" s="195" t="s">
        <v>3792</v>
      </c>
    </row>
    <row r="302" spans="1:18">
      <c r="A302" s="324" t="s">
        <v>28</v>
      </c>
      <c r="B302" s="323">
        <v>45842</v>
      </c>
      <c r="D302" s="186" t="s">
        <v>3644</v>
      </c>
      <c r="G302" s="234"/>
      <c r="I302" s="288">
        <v>1932007</v>
      </c>
      <c r="J302" s="294" t="s">
        <v>1937</v>
      </c>
      <c r="K302" s="307">
        <v>5000112476781</v>
      </c>
      <c r="L302" s="313" t="s">
        <v>3627</v>
      </c>
      <c r="N302" s="286" t="s">
        <v>94</v>
      </c>
      <c r="O302" s="181" t="s">
        <v>94</v>
      </c>
      <c r="P302" s="181" t="s">
        <v>36</v>
      </c>
      <c r="Q302" s="333"/>
      <c r="R302" s="195" t="s">
        <v>3792</v>
      </c>
    </row>
    <row r="303" spans="1:18">
      <c r="A303" s="324" t="s">
        <v>28</v>
      </c>
      <c r="B303" s="323">
        <v>45842</v>
      </c>
      <c r="D303" s="186" t="s">
        <v>3637</v>
      </c>
      <c r="G303" s="234"/>
      <c r="I303" s="288">
        <v>2676003</v>
      </c>
      <c r="J303" s="294" t="s">
        <v>1858</v>
      </c>
      <c r="K303" s="307">
        <v>5000112476804</v>
      </c>
      <c r="L303" s="313" t="s">
        <v>3627</v>
      </c>
      <c r="N303" s="286" t="s">
        <v>94</v>
      </c>
      <c r="O303" s="181" t="s">
        <v>94</v>
      </c>
      <c r="P303" s="181" t="s">
        <v>36</v>
      </c>
      <c r="Q303" s="333"/>
      <c r="R303" s="195" t="s">
        <v>3792</v>
      </c>
    </row>
    <row r="304" spans="1:18">
      <c r="A304" s="324" t="s">
        <v>28</v>
      </c>
      <c r="B304" s="323">
        <v>45856</v>
      </c>
      <c r="D304" s="186" t="s">
        <v>3824</v>
      </c>
      <c r="G304" s="234"/>
      <c r="I304" s="288">
        <v>2522003</v>
      </c>
      <c r="J304" s="294" t="s">
        <v>1938</v>
      </c>
      <c r="K304" s="307">
        <v>5000112477290</v>
      </c>
      <c r="L304" s="313" t="s">
        <v>3627</v>
      </c>
      <c r="N304" s="286" t="s">
        <v>94</v>
      </c>
      <c r="O304" s="181" t="s">
        <v>94</v>
      </c>
      <c r="P304" s="181" t="s">
        <v>36</v>
      </c>
      <c r="Q304" s="333"/>
      <c r="R304" s="195" t="s">
        <v>3792</v>
      </c>
    </row>
    <row r="305" spans="1:18">
      <c r="A305" s="324" t="s">
        <v>28</v>
      </c>
      <c r="B305" s="323">
        <v>45863</v>
      </c>
      <c r="D305" s="186" t="s">
        <v>3637</v>
      </c>
      <c r="G305" s="234"/>
      <c r="I305" s="288">
        <v>2641803</v>
      </c>
      <c r="J305" s="294" t="s">
        <v>1939</v>
      </c>
      <c r="K305" s="307">
        <v>5000112477481</v>
      </c>
      <c r="L305" s="313" t="s">
        <v>3641</v>
      </c>
      <c r="N305" s="286" t="s">
        <v>94</v>
      </c>
      <c r="O305" s="181" t="s">
        <v>94</v>
      </c>
      <c r="P305" s="181" t="s">
        <v>36</v>
      </c>
      <c r="Q305" s="333"/>
      <c r="R305" s="195" t="s">
        <v>3792</v>
      </c>
    </row>
    <row r="306" spans="1:18">
      <c r="A306" s="324" t="s">
        <v>28</v>
      </c>
      <c r="B306" s="323">
        <v>45863</v>
      </c>
      <c r="D306" s="186" t="s">
        <v>3644</v>
      </c>
      <c r="G306" s="234"/>
      <c r="I306" s="288">
        <v>2641804</v>
      </c>
      <c r="J306" s="294" t="s">
        <v>1940</v>
      </c>
      <c r="K306" s="307">
        <v>5000112477474</v>
      </c>
      <c r="L306" s="313" t="s">
        <v>3641</v>
      </c>
      <c r="N306" s="286" t="s">
        <v>94</v>
      </c>
      <c r="O306" s="181" t="s">
        <v>94</v>
      </c>
      <c r="P306" s="181" t="s">
        <v>36</v>
      </c>
      <c r="Q306" s="333"/>
      <c r="R306" s="195" t="s">
        <v>3792</v>
      </c>
    </row>
    <row r="307" spans="1:18">
      <c r="A307" s="324" t="s">
        <v>28</v>
      </c>
      <c r="B307" s="323">
        <v>45896</v>
      </c>
      <c r="D307" s="186" t="s">
        <v>3664</v>
      </c>
      <c r="G307" s="234"/>
      <c r="I307" s="288">
        <v>2411809</v>
      </c>
      <c r="J307" s="294" t="s">
        <v>1942</v>
      </c>
      <c r="K307" s="307">
        <v>5449000735898</v>
      </c>
      <c r="L307" s="313" t="s">
        <v>3627</v>
      </c>
      <c r="N307" s="286" t="s">
        <v>94</v>
      </c>
      <c r="O307" s="181" t="s">
        <v>94</v>
      </c>
      <c r="P307" s="181" t="s">
        <v>36</v>
      </c>
      <c r="Q307" s="333"/>
      <c r="R307" s="195" t="s">
        <v>3792</v>
      </c>
    </row>
    <row r="308" spans="1:18">
      <c r="A308" s="324" t="s">
        <v>28</v>
      </c>
      <c r="B308" s="323">
        <v>45896</v>
      </c>
      <c r="D308" s="186" t="s">
        <v>3637</v>
      </c>
      <c r="G308" s="234"/>
      <c r="I308" s="288">
        <v>2729401</v>
      </c>
      <c r="J308" s="294" t="s">
        <v>1943</v>
      </c>
      <c r="K308" s="307">
        <v>5449000735928</v>
      </c>
      <c r="L308" s="313" t="s">
        <v>103</v>
      </c>
      <c r="N308" s="286" t="s">
        <v>94</v>
      </c>
      <c r="O308" s="181" t="s">
        <v>94</v>
      </c>
      <c r="P308" s="181" t="s">
        <v>36</v>
      </c>
      <c r="Q308" s="333"/>
      <c r="R308" s="195" t="s">
        <v>3792</v>
      </c>
    </row>
    <row r="309" spans="1:18">
      <c r="A309" s="324" t="s">
        <v>28</v>
      </c>
      <c r="B309" s="323">
        <v>45896</v>
      </c>
      <c r="D309" s="186" t="s">
        <v>3644</v>
      </c>
      <c r="G309" s="234"/>
      <c r="I309" s="288">
        <v>2729402</v>
      </c>
      <c r="J309" s="294" t="s">
        <v>1944</v>
      </c>
      <c r="K309" s="307">
        <v>5449000735935</v>
      </c>
      <c r="L309" s="313" t="s">
        <v>103</v>
      </c>
      <c r="N309" s="286" t="s">
        <v>94</v>
      </c>
      <c r="O309" s="181" t="s">
        <v>94</v>
      </c>
      <c r="P309" s="181" t="s">
        <v>36</v>
      </c>
      <c r="Q309" s="333"/>
      <c r="R309" s="195" t="s">
        <v>3792</v>
      </c>
    </row>
    <row r="310" spans="1:18">
      <c r="A310" s="324" t="s">
        <v>28</v>
      </c>
      <c r="B310" s="323">
        <v>45896</v>
      </c>
      <c r="D310" s="186" t="s">
        <v>3664</v>
      </c>
      <c r="G310" s="234"/>
      <c r="I310" s="288">
        <v>1010105</v>
      </c>
      <c r="J310" s="294" t="s">
        <v>1945</v>
      </c>
      <c r="K310" s="307">
        <v>5449000735904</v>
      </c>
      <c r="L310" s="313" t="s">
        <v>3627</v>
      </c>
      <c r="N310" s="286" t="s">
        <v>94</v>
      </c>
      <c r="O310" s="181" t="s">
        <v>94</v>
      </c>
      <c r="P310" s="181" t="s">
        <v>36</v>
      </c>
      <c r="Q310" s="333"/>
      <c r="R310" s="195" t="s">
        <v>3792</v>
      </c>
    </row>
    <row r="311" spans="1:18">
      <c r="A311" s="324" t="s">
        <v>28</v>
      </c>
      <c r="B311" s="323">
        <v>45896</v>
      </c>
      <c r="D311" s="186" t="s">
        <v>3629</v>
      </c>
      <c r="G311" s="234"/>
      <c r="I311" s="288">
        <v>1874006</v>
      </c>
      <c r="J311" s="294" t="s">
        <v>1946</v>
      </c>
      <c r="K311" s="307">
        <v>5449000735911</v>
      </c>
      <c r="L311" s="313" t="s">
        <v>3627</v>
      </c>
      <c r="N311" s="286" t="s">
        <v>94</v>
      </c>
      <c r="O311" s="181" t="s">
        <v>94</v>
      </c>
      <c r="P311" s="181" t="s">
        <v>36</v>
      </c>
      <c r="Q311" s="333"/>
      <c r="R311" s="195" t="s">
        <v>3792</v>
      </c>
    </row>
    <row r="312" spans="1:18">
      <c r="A312" s="324" t="s">
        <v>28</v>
      </c>
      <c r="B312" s="323">
        <v>45919</v>
      </c>
      <c r="D312" s="186" t="s">
        <v>3664</v>
      </c>
      <c r="G312" s="234"/>
      <c r="I312" s="288">
        <v>369307</v>
      </c>
      <c r="J312" s="294" t="s">
        <v>1947</v>
      </c>
      <c r="K312" s="307">
        <v>5000112478037</v>
      </c>
      <c r="L312" s="313" t="s">
        <v>3641</v>
      </c>
      <c r="N312" s="286" t="s">
        <v>94</v>
      </c>
      <c r="O312" s="181" t="s">
        <v>94</v>
      </c>
      <c r="P312" s="181" t="s">
        <v>36</v>
      </c>
      <c r="Q312" s="333"/>
      <c r="R312" s="195" t="s">
        <v>3792</v>
      </c>
    </row>
    <row r="313" spans="1:18">
      <c r="A313" s="324" t="s">
        <v>28</v>
      </c>
      <c r="B313" s="323">
        <v>45919</v>
      </c>
      <c r="D313" s="186" t="s">
        <v>3664</v>
      </c>
      <c r="G313" s="234"/>
      <c r="I313" s="288">
        <v>1704311</v>
      </c>
      <c r="J313" s="294" t="s">
        <v>1948</v>
      </c>
      <c r="K313" s="307">
        <v>5000112478044</v>
      </c>
      <c r="L313" s="313" t="s">
        <v>3627</v>
      </c>
      <c r="N313" s="286" t="s">
        <v>94</v>
      </c>
      <c r="O313" s="181" t="s">
        <v>94</v>
      </c>
      <c r="P313" s="181" t="s">
        <v>36</v>
      </c>
      <c r="Q313" s="333"/>
      <c r="R313" s="195" t="s">
        <v>3792</v>
      </c>
    </row>
    <row r="314" spans="1:18">
      <c r="A314" s="324" t="s">
        <v>28</v>
      </c>
      <c r="B314" s="323">
        <v>45919</v>
      </c>
      <c r="D314" s="186" t="s">
        <v>3644</v>
      </c>
      <c r="G314" s="234"/>
      <c r="I314" s="288">
        <v>2625607</v>
      </c>
      <c r="J314" s="294" t="s">
        <v>1949</v>
      </c>
      <c r="K314" s="307">
        <v>5000112478204</v>
      </c>
      <c r="L314" s="313" t="s">
        <v>3641</v>
      </c>
      <c r="N314" s="286" t="s">
        <v>94</v>
      </c>
      <c r="O314" s="181" t="s">
        <v>94</v>
      </c>
      <c r="P314" s="181" t="s">
        <v>36</v>
      </c>
      <c r="Q314" s="333"/>
      <c r="R314" s="195" t="s">
        <v>3792</v>
      </c>
    </row>
    <row r="315" spans="1:18">
      <c r="A315" s="324" t="s">
        <v>28</v>
      </c>
      <c r="B315" s="323">
        <v>45919</v>
      </c>
      <c r="D315" s="186" t="s">
        <v>3637</v>
      </c>
      <c r="G315" s="234"/>
      <c r="I315" s="288">
        <v>2625608</v>
      </c>
      <c r="J315" s="294" t="s">
        <v>1950</v>
      </c>
      <c r="K315" s="307">
        <v>5000112478211</v>
      </c>
      <c r="L315" s="313" t="s">
        <v>3641</v>
      </c>
      <c r="N315" s="286" t="s">
        <v>94</v>
      </c>
      <c r="O315" s="181" t="s">
        <v>94</v>
      </c>
      <c r="P315" s="181" t="s">
        <v>36</v>
      </c>
      <c r="Q315" s="333"/>
      <c r="R315" s="195" t="s">
        <v>3792</v>
      </c>
    </row>
    <row r="316" spans="1:18">
      <c r="A316" s="324" t="s">
        <v>28</v>
      </c>
      <c r="B316" s="323">
        <v>45919</v>
      </c>
      <c r="D316" s="186" t="s">
        <v>3772</v>
      </c>
      <c r="G316" s="234"/>
      <c r="I316" s="288">
        <v>2695602</v>
      </c>
      <c r="J316" s="294" t="s">
        <v>1951</v>
      </c>
      <c r="K316" s="307">
        <v>5000112478228</v>
      </c>
      <c r="L316" s="313" t="s">
        <v>492</v>
      </c>
      <c r="N316" s="286" t="s">
        <v>94</v>
      </c>
      <c r="O316" s="181" t="s">
        <v>94</v>
      </c>
      <c r="P316" s="181" t="s">
        <v>36</v>
      </c>
      <c r="Q316" s="333"/>
      <c r="R316" s="195" t="s">
        <v>3792</v>
      </c>
    </row>
    <row r="317" spans="1:18">
      <c r="A317" s="324" t="s">
        <v>28</v>
      </c>
      <c r="B317" s="323">
        <v>45933</v>
      </c>
      <c r="D317" s="186" t="s">
        <v>3644</v>
      </c>
      <c r="G317" s="234"/>
      <c r="I317" s="288">
        <v>2625609</v>
      </c>
      <c r="J317" s="294" t="s">
        <v>1952</v>
      </c>
      <c r="K317" s="307">
        <v>5000112478518</v>
      </c>
      <c r="L317" s="313" t="s">
        <v>3641</v>
      </c>
      <c r="N317" s="286" t="s">
        <v>94</v>
      </c>
      <c r="O317" s="181" t="s">
        <v>94</v>
      </c>
      <c r="P317" s="181" t="s">
        <v>36</v>
      </c>
      <c r="Q317" s="333"/>
      <c r="R317" s="195" t="s">
        <v>3792</v>
      </c>
    </row>
    <row r="318" spans="1:18">
      <c r="A318" s="324" t="s">
        <v>28</v>
      </c>
      <c r="B318" s="323">
        <v>45933</v>
      </c>
      <c r="D318" s="186" t="s">
        <v>3637</v>
      </c>
      <c r="G318" s="234"/>
      <c r="I318" s="288">
        <v>2625610</v>
      </c>
      <c r="J318" s="294" t="s">
        <v>1953</v>
      </c>
      <c r="K318" s="307">
        <v>5000112478501</v>
      </c>
      <c r="L318" s="313" t="s">
        <v>3641</v>
      </c>
      <c r="N318" s="286" t="s">
        <v>94</v>
      </c>
      <c r="O318" s="181" t="s">
        <v>94</v>
      </c>
      <c r="P318" s="181" t="s">
        <v>36</v>
      </c>
      <c r="Q318" s="333"/>
      <c r="R318" s="195" t="s">
        <v>3792</v>
      </c>
    </row>
    <row r="319" spans="1:18">
      <c r="A319" s="324" t="s">
        <v>28</v>
      </c>
      <c r="B319" s="323">
        <v>45940</v>
      </c>
      <c r="D319" s="186" t="s">
        <v>3624</v>
      </c>
      <c r="G319" s="234"/>
      <c r="I319" s="288">
        <v>2750101</v>
      </c>
      <c r="J319" s="294" t="s">
        <v>1954</v>
      </c>
      <c r="K319" s="307">
        <v>5000112478754</v>
      </c>
      <c r="L319" s="313" t="s">
        <v>3627</v>
      </c>
      <c r="N319" s="286" t="s">
        <v>94</v>
      </c>
      <c r="O319" s="181" t="s">
        <v>94</v>
      </c>
      <c r="P319" s="181" t="s">
        <v>36</v>
      </c>
      <c r="Q319" s="333"/>
      <c r="R319" s="195" t="s">
        <v>3792</v>
      </c>
    </row>
    <row r="320" spans="1:18">
      <c r="A320" s="324" t="s">
        <v>28</v>
      </c>
      <c r="B320" s="323">
        <v>45947</v>
      </c>
      <c r="D320" s="186" t="s">
        <v>3772</v>
      </c>
      <c r="G320" s="234"/>
      <c r="I320" s="288">
        <v>2750801</v>
      </c>
      <c r="J320" s="294" t="s">
        <v>1955</v>
      </c>
      <c r="K320" s="307">
        <v>5000112479010</v>
      </c>
      <c r="L320" s="313" t="s">
        <v>3627</v>
      </c>
      <c r="N320" s="286" t="s">
        <v>94</v>
      </c>
      <c r="O320" s="181" t="s">
        <v>94</v>
      </c>
      <c r="P320" s="181" t="s">
        <v>36</v>
      </c>
      <c r="Q320" s="333"/>
      <c r="R320" s="195" t="s">
        <v>3792</v>
      </c>
    </row>
    <row r="321" spans="1:18">
      <c r="A321" s="324" t="s">
        <v>28</v>
      </c>
      <c r="B321" s="323">
        <v>45947</v>
      </c>
      <c r="D321" s="186" t="s">
        <v>3637</v>
      </c>
      <c r="G321" s="234"/>
      <c r="I321" s="288">
        <v>1932202</v>
      </c>
      <c r="J321" s="294" t="s">
        <v>1956</v>
      </c>
      <c r="K321" s="307">
        <v>5000112479034</v>
      </c>
      <c r="L321" s="313" t="s">
        <v>3641</v>
      </c>
      <c r="N321" s="286" t="s">
        <v>94</v>
      </c>
      <c r="O321" s="181" t="s">
        <v>94</v>
      </c>
      <c r="P321" s="181" t="s">
        <v>36</v>
      </c>
      <c r="Q321" s="333"/>
      <c r="R321" s="195" t="s">
        <v>3792</v>
      </c>
    </row>
    <row r="322" spans="1:18">
      <c r="A322" s="324" t="s">
        <v>28</v>
      </c>
      <c r="B322" s="323">
        <v>45947</v>
      </c>
      <c r="D322" s="186" t="s">
        <v>3644</v>
      </c>
      <c r="G322" s="234"/>
      <c r="I322" s="288">
        <v>1977003</v>
      </c>
      <c r="J322" s="294" t="s">
        <v>1957</v>
      </c>
      <c r="K322" s="307">
        <v>5000112479027</v>
      </c>
      <c r="L322" s="313" t="s">
        <v>3641</v>
      </c>
      <c r="N322" s="286" t="s">
        <v>94</v>
      </c>
      <c r="O322" s="181" t="s">
        <v>94</v>
      </c>
      <c r="P322" s="181" t="s">
        <v>36</v>
      </c>
      <c r="Q322" s="333"/>
      <c r="R322" s="195" t="s">
        <v>3792</v>
      </c>
    </row>
    <row r="323" spans="1:18">
      <c r="A323" s="324" t="s">
        <v>28</v>
      </c>
      <c r="B323" s="323">
        <v>45954</v>
      </c>
      <c r="D323" s="186" t="s">
        <v>3637</v>
      </c>
      <c r="G323" s="234"/>
      <c r="I323" s="288">
        <v>2604708</v>
      </c>
      <c r="J323" s="294" t="s">
        <v>1958</v>
      </c>
      <c r="K323" s="307">
        <v>5000112479164</v>
      </c>
      <c r="L323" s="335" t="s">
        <v>48</v>
      </c>
      <c r="N323" s="286" t="s">
        <v>94</v>
      </c>
      <c r="O323" s="181" t="s">
        <v>94</v>
      </c>
      <c r="P323" s="181" t="s">
        <v>36</v>
      </c>
      <c r="Q323" s="333"/>
      <c r="R323" s="195" t="s">
        <v>3792</v>
      </c>
    </row>
    <row r="324" spans="1:18">
      <c r="A324" s="324" t="s">
        <v>28</v>
      </c>
      <c r="B324" s="323">
        <v>45954</v>
      </c>
      <c r="D324" s="186" t="s">
        <v>3644</v>
      </c>
      <c r="G324" s="234"/>
      <c r="I324" s="288">
        <v>2604707</v>
      </c>
      <c r="J324" s="294" t="s">
        <v>1959</v>
      </c>
      <c r="K324" s="307">
        <v>5000112479171</v>
      </c>
      <c r="L324" s="335" t="s">
        <v>48</v>
      </c>
      <c r="N324" s="286" t="s">
        <v>94</v>
      </c>
      <c r="O324" s="181" t="s">
        <v>94</v>
      </c>
      <c r="P324" s="181" t="s">
        <v>36</v>
      </c>
      <c r="Q324" s="333"/>
      <c r="R324" s="195" t="s">
        <v>3792</v>
      </c>
    </row>
    <row r="325" spans="1:18">
      <c r="A325" s="324" t="s">
        <v>28</v>
      </c>
      <c r="B325" s="323">
        <v>45968</v>
      </c>
      <c r="D325" s="186" t="s">
        <v>3637</v>
      </c>
      <c r="G325" s="234"/>
      <c r="I325" s="288">
        <v>2755402</v>
      </c>
      <c r="J325" s="294" t="s">
        <v>1962</v>
      </c>
      <c r="K325" s="307">
        <v>5000112479423</v>
      </c>
      <c r="L325" s="313" t="s">
        <v>3641</v>
      </c>
      <c r="N325" s="286" t="s">
        <v>94</v>
      </c>
      <c r="O325" s="181" t="s">
        <v>94</v>
      </c>
      <c r="P325" s="181" t="s">
        <v>36</v>
      </c>
      <c r="Q325" s="333"/>
      <c r="R325" s="195" t="s">
        <v>3792</v>
      </c>
    </row>
    <row r="326" spans="1:18">
      <c r="A326" s="324" t="s">
        <v>28</v>
      </c>
      <c r="B326" s="323">
        <v>45968</v>
      </c>
      <c r="D326" s="186" t="s">
        <v>3644</v>
      </c>
      <c r="G326" s="234"/>
      <c r="I326" s="288">
        <v>2755401</v>
      </c>
      <c r="J326" s="294" t="s">
        <v>1963</v>
      </c>
      <c r="K326" s="307">
        <v>5000112479430</v>
      </c>
      <c r="L326" s="313" t="s">
        <v>3641</v>
      </c>
      <c r="N326" s="286" t="s">
        <v>94</v>
      </c>
      <c r="O326" s="181" t="s">
        <v>94</v>
      </c>
      <c r="P326" s="181" t="s">
        <v>36</v>
      </c>
      <c r="Q326" s="333"/>
      <c r="R326" s="195" t="s">
        <v>3792</v>
      </c>
    </row>
    <row r="327" spans="1:18">
      <c r="A327" s="324" t="s">
        <v>28</v>
      </c>
      <c r="B327" s="323">
        <v>45968</v>
      </c>
      <c r="D327" s="186" t="s">
        <v>3637</v>
      </c>
      <c r="G327" s="234"/>
      <c r="I327" s="288">
        <v>2524809</v>
      </c>
      <c r="J327" s="294" t="s">
        <v>1964</v>
      </c>
      <c r="K327" s="307">
        <v>5000112479454</v>
      </c>
      <c r="L327" s="313" t="s">
        <v>3641</v>
      </c>
      <c r="N327" s="286" t="s">
        <v>94</v>
      </c>
      <c r="O327" s="181" t="s">
        <v>94</v>
      </c>
      <c r="P327" s="181" t="s">
        <v>36</v>
      </c>
      <c r="Q327" s="333"/>
      <c r="R327" s="195" t="s">
        <v>3792</v>
      </c>
    </row>
    <row r="328" spans="1:18">
      <c r="A328" s="324" t="s">
        <v>28</v>
      </c>
      <c r="B328" s="323">
        <v>45968</v>
      </c>
      <c r="D328" s="186" t="s">
        <v>3644</v>
      </c>
      <c r="G328" s="234"/>
      <c r="I328" s="288">
        <v>2524810</v>
      </c>
      <c r="J328" s="294" t="s">
        <v>1965</v>
      </c>
      <c r="K328" s="307">
        <v>5000112479447</v>
      </c>
      <c r="L328" s="313" t="s">
        <v>3641</v>
      </c>
      <c r="N328" s="286" t="s">
        <v>94</v>
      </c>
      <c r="O328" s="181" t="s">
        <v>94</v>
      </c>
      <c r="P328" s="181" t="s">
        <v>36</v>
      </c>
      <c r="Q328" s="333"/>
      <c r="R328" s="195" t="s">
        <v>3792</v>
      </c>
    </row>
    <row r="329" spans="1:18">
      <c r="A329" s="322" t="s">
        <v>28</v>
      </c>
      <c r="B329" s="323">
        <v>45975</v>
      </c>
      <c r="D329" s="186" t="s">
        <v>3624</v>
      </c>
      <c r="G329" s="234"/>
      <c r="I329" s="288">
        <v>2137708</v>
      </c>
      <c r="J329" s="294" t="s">
        <v>1966</v>
      </c>
      <c r="K329" s="307">
        <v>5000112479829</v>
      </c>
      <c r="L329" s="313" t="s">
        <v>3641</v>
      </c>
      <c r="N329" s="286" t="s">
        <v>94</v>
      </c>
      <c r="O329" s="181" t="s">
        <v>94</v>
      </c>
      <c r="P329" s="181" t="s">
        <v>36</v>
      </c>
      <c r="Q329" s="333"/>
      <c r="R329" s="195" t="s">
        <v>3792</v>
      </c>
    </row>
    <row r="330" spans="1:18">
      <c r="A330" s="322" t="s">
        <v>28</v>
      </c>
      <c r="B330" s="323">
        <v>45982</v>
      </c>
      <c r="D330" s="186" t="s">
        <v>3637</v>
      </c>
      <c r="G330" s="234"/>
      <c r="I330" s="288">
        <v>2604709</v>
      </c>
      <c r="J330" s="294" t="s">
        <v>1968</v>
      </c>
      <c r="K330" s="307">
        <v>5000112479843</v>
      </c>
      <c r="L330" s="313" t="s">
        <v>3627</v>
      </c>
      <c r="N330" s="286" t="s">
        <v>94</v>
      </c>
      <c r="O330" s="181" t="s">
        <v>94</v>
      </c>
      <c r="P330" s="181" t="s">
        <v>36</v>
      </c>
      <c r="Q330" s="333"/>
      <c r="R330" s="195" t="s">
        <v>3792</v>
      </c>
    </row>
    <row r="331" spans="1:18">
      <c r="A331" s="322" t="s">
        <v>28</v>
      </c>
      <c r="B331" s="323">
        <v>45982</v>
      </c>
      <c r="D331" s="186" t="s">
        <v>3644</v>
      </c>
      <c r="G331" s="234"/>
      <c r="I331" s="288">
        <v>2604710</v>
      </c>
      <c r="J331" s="294" t="s">
        <v>1969</v>
      </c>
      <c r="K331" s="307">
        <v>5000112479850</v>
      </c>
      <c r="L331" s="313" t="s">
        <v>48</v>
      </c>
      <c r="N331" s="286" t="s">
        <v>94</v>
      </c>
      <c r="O331" s="181" t="s">
        <v>94</v>
      </c>
      <c r="P331" s="181" t="s">
        <v>36</v>
      </c>
      <c r="Q331" s="333"/>
      <c r="R331" s="195" t="s">
        <v>3792</v>
      </c>
    </row>
    <row r="332" spans="1:18">
      <c r="A332" s="324" t="s">
        <v>28</v>
      </c>
      <c r="B332" s="323">
        <v>45989</v>
      </c>
      <c r="D332" s="186" t="s">
        <v>3629</v>
      </c>
      <c r="G332" s="234"/>
      <c r="I332" s="288">
        <v>2197914</v>
      </c>
      <c r="J332" s="294" t="s">
        <v>1970</v>
      </c>
      <c r="K332" s="307">
        <v>9031100009038</v>
      </c>
      <c r="L332" s="313" t="s">
        <v>41</v>
      </c>
      <c r="N332" s="286" t="s">
        <v>94</v>
      </c>
      <c r="O332" s="181" t="s">
        <v>94</v>
      </c>
      <c r="P332" s="181" t="s">
        <v>36</v>
      </c>
      <c r="Q332" s="333"/>
      <c r="R332" s="195" t="s">
        <v>3792</v>
      </c>
    </row>
    <row r="333" spans="1:18">
      <c r="A333" s="324" t="s">
        <v>28</v>
      </c>
      <c r="B333" s="323">
        <v>45989</v>
      </c>
      <c r="D333" s="186" t="s">
        <v>3629</v>
      </c>
      <c r="G333" s="234"/>
      <c r="I333" s="288">
        <v>2197915</v>
      </c>
      <c r="J333" s="294" t="s">
        <v>1971</v>
      </c>
      <c r="K333" s="307">
        <v>9031100009045</v>
      </c>
      <c r="L333" s="313" t="s">
        <v>41</v>
      </c>
      <c r="N333" s="286" t="s">
        <v>94</v>
      </c>
      <c r="O333" s="181" t="s">
        <v>94</v>
      </c>
      <c r="P333" s="181" t="s">
        <v>36</v>
      </c>
      <c r="Q333" s="333"/>
      <c r="R333" s="195" t="s">
        <v>3792</v>
      </c>
    </row>
    <row r="334" spans="1:18">
      <c r="A334" s="324" t="s">
        <v>28</v>
      </c>
      <c r="B334" s="323">
        <v>45989</v>
      </c>
      <c r="D334" s="186" t="s">
        <v>3644</v>
      </c>
      <c r="G334" s="234"/>
      <c r="I334" s="288">
        <v>1467710</v>
      </c>
      <c r="J334" s="294" t="s">
        <v>1972</v>
      </c>
      <c r="K334" s="307">
        <v>5000112480016</v>
      </c>
      <c r="L334" s="313" t="s">
        <v>492</v>
      </c>
      <c r="N334" s="286" t="s">
        <v>94</v>
      </c>
      <c r="O334" s="181" t="s">
        <v>94</v>
      </c>
      <c r="P334" s="181" t="s">
        <v>36</v>
      </c>
      <c r="Q334" s="333"/>
      <c r="R334" s="195" t="s">
        <v>3792</v>
      </c>
    </row>
    <row r="335" spans="1:18">
      <c r="A335" s="324" t="s">
        <v>28</v>
      </c>
      <c r="B335" s="323">
        <v>46008</v>
      </c>
      <c r="D335" s="186" t="s">
        <v>3825</v>
      </c>
      <c r="G335" s="234"/>
      <c r="I335" s="288">
        <v>2086317</v>
      </c>
      <c r="J335" s="294" t="s">
        <v>1973</v>
      </c>
      <c r="K335" s="307">
        <v>5056784921067</v>
      </c>
      <c r="L335" s="313" t="s">
        <v>64</v>
      </c>
      <c r="N335" s="286" t="s">
        <v>94</v>
      </c>
      <c r="O335" s="181" t="s">
        <v>94</v>
      </c>
      <c r="P335" s="181" t="s">
        <v>36</v>
      </c>
      <c r="Q335" s="333" t="s">
        <v>3826</v>
      </c>
      <c r="R335" s="195" t="s">
        <v>3792</v>
      </c>
    </row>
    <row r="336" spans="1:18">
      <c r="A336" s="324" t="s">
        <v>28</v>
      </c>
      <c r="B336" s="323">
        <v>46008</v>
      </c>
      <c r="D336" s="186" t="s">
        <v>3772</v>
      </c>
      <c r="G336" s="234"/>
      <c r="I336" s="288">
        <v>2675202</v>
      </c>
      <c r="J336" s="294" t="s">
        <v>3827</v>
      </c>
      <c r="K336" s="307">
        <v>5056784922286</v>
      </c>
      <c r="L336" s="313" t="s">
        <v>64</v>
      </c>
      <c r="N336" s="286" t="s">
        <v>94</v>
      </c>
      <c r="O336" s="181" t="s">
        <v>94</v>
      </c>
      <c r="P336" s="181" t="s">
        <v>36</v>
      </c>
      <c r="Q336" s="333"/>
      <c r="R336" s="195" t="s">
        <v>3792</v>
      </c>
    </row>
    <row r="337" spans="1:18">
      <c r="A337" s="324" t="s">
        <v>28</v>
      </c>
      <c r="B337" s="323">
        <v>46031</v>
      </c>
      <c r="D337" s="186" t="s">
        <v>3644</v>
      </c>
      <c r="G337" s="234"/>
      <c r="I337" s="288">
        <v>2604711</v>
      </c>
      <c r="J337" s="294" t="s">
        <v>1975</v>
      </c>
      <c r="K337" s="307">
        <v>5000112481266</v>
      </c>
      <c r="L337" s="313" t="s">
        <v>48</v>
      </c>
      <c r="N337" s="286" t="s">
        <v>94</v>
      </c>
      <c r="O337" s="181" t="s">
        <v>94</v>
      </c>
      <c r="P337" s="181" t="s">
        <v>36</v>
      </c>
      <c r="Q337" s="333"/>
      <c r="R337" s="195" t="s">
        <v>3792</v>
      </c>
    </row>
    <row r="338" spans="1:18">
      <c r="A338" s="324" t="s">
        <v>28</v>
      </c>
      <c r="B338" s="323">
        <v>46031</v>
      </c>
      <c r="D338" s="186" t="s">
        <v>3637</v>
      </c>
      <c r="G338" s="234"/>
      <c r="I338" s="288">
        <v>2606503</v>
      </c>
      <c r="J338" s="294" t="s">
        <v>1976</v>
      </c>
      <c r="K338" s="307">
        <v>5000112481488</v>
      </c>
      <c r="L338" s="313" t="s">
        <v>69</v>
      </c>
      <c r="N338" s="286" t="s">
        <v>94</v>
      </c>
      <c r="O338" s="181" t="s">
        <v>94</v>
      </c>
      <c r="P338" s="181" t="s">
        <v>36</v>
      </c>
      <c r="Q338" s="333"/>
      <c r="R338" s="195" t="s">
        <v>3792</v>
      </c>
    </row>
    <row r="339" spans="1:18">
      <c r="A339" s="324" t="s">
        <v>28</v>
      </c>
      <c r="B339" s="323">
        <v>46031</v>
      </c>
      <c r="D339" s="186" t="s">
        <v>3644</v>
      </c>
      <c r="G339" s="234"/>
      <c r="I339" s="288">
        <v>2606504</v>
      </c>
      <c r="J339" s="294" t="s">
        <v>1977</v>
      </c>
      <c r="K339" s="307">
        <v>5000112481495</v>
      </c>
      <c r="L339" s="313" t="s">
        <v>69</v>
      </c>
      <c r="N339" s="286" t="s">
        <v>94</v>
      </c>
      <c r="O339" s="181" t="s">
        <v>94</v>
      </c>
      <c r="P339" s="181" t="s">
        <v>36</v>
      </c>
      <c r="Q339" s="333"/>
      <c r="R339" s="195" t="s">
        <v>3792</v>
      </c>
    </row>
    <row r="340" spans="1:18">
      <c r="A340" s="324" t="s">
        <v>28</v>
      </c>
      <c r="B340" s="323">
        <v>46031</v>
      </c>
      <c r="D340" s="186" t="s">
        <v>3644</v>
      </c>
      <c r="G340" s="234"/>
      <c r="I340" s="288">
        <v>1575603</v>
      </c>
      <c r="J340" s="294" t="s">
        <v>1978</v>
      </c>
      <c r="K340" s="307">
        <v>5056784922774</v>
      </c>
      <c r="L340" s="313" t="s">
        <v>64</v>
      </c>
      <c r="N340" s="286" t="s">
        <v>94</v>
      </c>
      <c r="O340" s="181" t="s">
        <v>94</v>
      </c>
      <c r="P340" s="181" t="s">
        <v>36</v>
      </c>
      <c r="Q340" s="333"/>
      <c r="R340" s="195" t="s">
        <v>3792</v>
      </c>
    </row>
    <row r="341" spans="1:18">
      <c r="A341" s="324" t="s">
        <v>28</v>
      </c>
      <c r="B341" s="323">
        <v>46031</v>
      </c>
      <c r="D341" s="186" t="s">
        <v>3637</v>
      </c>
      <c r="G341" s="234"/>
      <c r="I341" s="288">
        <v>1575604</v>
      </c>
      <c r="J341" s="294" t="s">
        <v>1979</v>
      </c>
      <c r="K341" s="307">
        <v>5056784922842</v>
      </c>
      <c r="L341" s="313" t="s">
        <v>64</v>
      </c>
      <c r="N341" s="286" t="s">
        <v>94</v>
      </c>
      <c r="O341" s="181" t="s">
        <v>94</v>
      </c>
      <c r="P341" s="181" t="s">
        <v>36</v>
      </c>
      <c r="Q341" s="333"/>
      <c r="R341" s="195" t="s">
        <v>3792</v>
      </c>
    </row>
    <row r="342" spans="1:18">
      <c r="A342" s="324" t="s">
        <v>28</v>
      </c>
      <c r="B342" s="323">
        <v>46031</v>
      </c>
      <c r="D342" s="186" t="s">
        <v>3644</v>
      </c>
      <c r="G342" s="234"/>
      <c r="I342" s="288">
        <v>1575605</v>
      </c>
      <c r="J342" s="294" t="s">
        <v>1980</v>
      </c>
      <c r="K342" s="307">
        <v>5056784922743</v>
      </c>
      <c r="L342" s="313" t="s">
        <v>64</v>
      </c>
      <c r="N342" s="286" t="s">
        <v>94</v>
      </c>
      <c r="O342" s="181" t="s">
        <v>94</v>
      </c>
      <c r="P342" s="181" t="s">
        <v>36</v>
      </c>
      <c r="Q342" s="333"/>
      <c r="R342" s="195" t="s">
        <v>3792</v>
      </c>
    </row>
    <row r="343" spans="1:18">
      <c r="A343" s="324" t="s">
        <v>28</v>
      </c>
      <c r="B343" s="323">
        <v>46031</v>
      </c>
      <c r="D343" s="186" t="s">
        <v>3637</v>
      </c>
      <c r="G343" s="234"/>
      <c r="I343" s="288">
        <v>1575606</v>
      </c>
      <c r="J343" s="294" t="s">
        <v>1981</v>
      </c>
      <c r="K343" s="307">
        <v>5056784922736</v>
      </c>
      <c r="L343" s="313" t="s">
        <v>64</v>
      </c>
      <c r="N343" s="286" t="s">
        <v>94</v>
      </c>
      <c r="O343" s="181" t="s">
        <v>94</v>
      </c>
      <c r="P343" s="181" t="s">
        <v>36</v>
      </c>
      <c r="Q343" s="333"/>
      <c r="R343" s="195" t="s">
        <v>3792</v>
      </c>
    </row>
    <row r="344" spans="1:18">
      <c r="A344" s="324" t="s">
        <v>28</v>
      </c>
      <c r="B344" s="323">
        <v>46031</v>
      </c>
      <c r="D344" s="186" t="s">
        <v>3828</v>
      </c>
      <c r="G344" s="234"/>
      <c r="I344" s="288">
        <v>2563806</v>
      </c>
      <c r="J344" s="294" t="s">
        <v>1982</v>
      </c>
      <c r="K344" s="307">
        <v>5056784922835</v>
      </c>
      <c r="L344" s="313" t="s">
        <v>64</v>
      </c>
      <c r="N344" s="286" t="s">
        <v>94</v>
      </c>
      <c r="O344" s="181" t="s">
        <v>94</v>
      </c>
      <c r="P344" s="181" t="s">
        <v>36</v>
      </c>
      <c r="Q344" s="333"/>
      <c r="R344" s="195" t="s">
        <v>3792</v>
      </c>
    </row>
    <row r="345" spans="1:18">
      <c r="A345" s="324" t="s">
        <v>28</v>
      </c>
      <c r="B345" s="323">
        <v>46031</v>
      </c>
      <c r="D345" s="186" t="s">
        <v>3629</v>
      </c>
      <c r="G345" s="234"/>
      <c r="I345" s="288">
        <v>2306606</v>
      </c>
      <c r="J345" s="294" t="s">
        <v>1983</v>
      </c>
      <c r="K345" s="307">
        <v>5056784922828</v>
      </c>
      <c r="L345" s="313" t="s">
        <v>64</v>
      </c>
      <c r="N345" s="286" t="s">
        <v>94</v>
      </c>
      <c r="O345" s="181" t="s">
        <v>94</v>
      </c>
      <c r="P345" s="181" t="s">
        <v>36</v>
      </c>
      <c r="Q345" s="333"/>
      <c r="R345" s="195" t="s">
        <v>3792</v>
      </c>
    </row>
    <row r="346" spans="1:18" ht="12.75">
      <c r="A346" s="324" t="s">
        <v>28</v>
      </c>
      <c r="B346" s="323">
        <v>46031</v>
      </c>
      <c r="D346" s="186" t="s">
        <v>3644</v>
      </c>
      <c r="G346" s="234"/>
      <c r="I346" s="288">
        <v>2563807</v>
      </c>
      <c r="J346" s="294" t="s">
        <v>3829</v>
      </c>
      <c r="K346" s="307">
        <v>5056784922811</v>
      </c>
      <c r="L346" s="313" t="s">
        <v>64</v>
      </c>
      <c r="N346" s="286" t="s">
        <v>94</v>
      </c>
      <c r="O346" s="181" t="s">
        <v>94</v>
      </c>
      <c r="P346" s="181" t="s">
        <v>36</v>
      </c>
      <c r="Q346" s="333"/>
      <c r="R346" s="195" t="s">
        <v>3792</v>
      </c>
    </row>
    <row r="347" spans="1:18" ht="12.75">
      <c r="A347" s="324" t="s">
        <v>28</v>
      </c>
      <c r="B347" s="323">
        <v>46031</v>
      </c>
      <c r="D347" s="186" t="s">
        <v>3637</v>
      </c>
      <c r="G347" s="234"/>
      <c r="I347" s="288">
        <v>2563805</v>
      </c>
      <c r="J347" s="294" t="s">
        <v>3830</v>
      </c>
      <c r="K347" s="307">
        <v>5056784922804</v>
      </c>
      <c r="L347" s="313" t="s">
        <v>64</v>
      </c>
      <c r="N347" s="286" t="s">
        <v>94</v>
      </c>
      <c r="O347" s="181" t="s">
        <v>94</v>
      </c>
      <c r="P347" s="181" t="s">
        <v>36</v>
      </c>
      <c r="Q347" s="333"/>
      <c r="R347" s="195" t="s">
        <v>3792</v>
      </c>
    </row>
    <row r="348" spans="1:18" ht="12.75">
      <c r="A348" s="324" t="s">
        <v>28</v>
      </c>
      <c r="B348" s="323">
        <v>46031</v>
      </c>
      <c r="D348" s="186" t="s">
        <v>3637</v>
      </c>
      <c r="G348" s="234"/>
      <c r="I348" s="288">
        <v>2564302</v>
      </c>
      <c r="J348" s="294" t="s">
        <v>3831</v>
      </c>
      <c r="K348" s="307">
        <v>5056784922798</v>
      </c>
      <c r="L348" s="313" t="s">
        <v>64</v>
      </c>
      <c r="N348" s="286" t="s">
        <v>94</v>
      </c>
      <c r="O348" s="181" t="s">
        <v>94</v>
      </c>
      <c r="P348" s="181" t="s">
        <v>36</v>
      </c>
      <c r="Q348" s="333"/>
      <c r="R348" s="195" t="s">
        <v>3792</v>
      </c>
    </row>
    <row r="349" spans="1:18">
      <c r="A349" s="324" t="s">
        <v>28</v>
      </c>
      <c r="B349" s="323">
        <v>46031</v>
      </c>
      <c r="D349" s="186" t="s">
        <v>3772</v>
      </c>
      <c r="G349" s="234"/>
      <c r="I349" s="288">
        <v>2600303</v>
      </c>
      <c r="J349" s="294" t="s">
        <v>1987</v>
      </c>
      <c r="K349" s="307">
        <v>5056784922781</v>
      </c>
      <c r="L349" s="313" t="s">
        <v>64</v>
      </c>
      <c r="N349" s="286" t="s">
        <v>94</v>
      </c>
      <c r="O349" s="181" t="s">
        <v>94</v>
      </c>
      <c r="P349" s="181" t="s">
        <v>36</v>
      </c>
      <c r="Q349" s="333"/>
      <c r="R349" s="195" t="s">
        <v>3792</v>
      </c>
    </row>
    <row r="350" spans="1:18">
      <c r="A350" s="324" t="s">
        <v>28</v>
      </c>
      <c r="B350" s="323">
        <v>46031</v>
      </c>
      <c r="D350" s="186" t="s">
        <v>3644</v>
      </c>
      <c r="G350" s="234"/>
      <c r="I350" s="288">
        <v>2769201</v>
      </c>
      <c r="J350" s="294" t="s">
        <v>1988</v>
      </c>
      <c r="K350" s="307">
        <v>5056784922903</v>
      </c>
      <c r="L350" s="313" t="s">
        <v>64</v>
      </c>
      <c r="N350" s="286" t="s">
        <v>94</v>
      </c>
      <c r="O350" s="181" t="s">
        <v>94</v>
      </c>
      <c r="P350" s="181" t="s">
        <v>36</v>
      </c>
      <c r="Q350" s="333"/>
      <c r="R350" s="195" t="s">
        <v>3792</v>
      </c>
    </row>
    <row r="351" spans="1:18">
      <c r="A351" s="324" t="s">
        <v>28</v>
      </c>
      <c r="B351" s="323">
        <v>46031</v>
      </c>
      <c r="D351" s="186" t="s">
        <v>3637</v>
      </c>
      <c r="G351" s="234"/>
      <c r="I351" s="288">
        <v>2769202</v>
      </c>
      <c r="J351" s="294" t="s">
        <v>1989</v>
      </c>
      <c r="K351" s="307">
        <v>5056784922910</v>
      </c>
      <c r="L351" s="313" t="s">
        <v>64</v>
      </c>
      <c r="N351" s="286" t="s">
        <v>94</v>
      </c>
      <c r="O351" s="181" t="s">
        <v>94</v>
      </c>
      <c r="P351" s="181" t="s">
        <v>36</v>
      </c>
      <c r="Q351" s="333"/>
      <c r="R351" s="195" t="s">
        <v>3792</v>
      </c>
    </row>
    <row r="352" spans="1:18">
      <c r="A352" s="324" t="s">
        <v>28</v>
      </c>
      <c r="B352" s="323">
        <v>46031</v>
      </c>
      <c r="D352" s="186" t="s">
        <v>3644</v>
      </c>
      <c r="G352" s="234"/>
      <c r="I352" s="288">
        <v>2564402</v>
      </c>
      <c r="J352" s="294" t="s">
        <v>1990</v>
      </c>
      <c r="K352" s="307">
        <v>5056784922712</v>
      </c>
      <c r="L352" s="313" t="s">
        <v>64</v>
      </c>
      <c r="N352" s="286" t="s">
        <v>94</v>
      </c>
      <c r="O352" s="181" t="s">
        <v>94</v>
      </c>
      <c r="P352" s="181" t="s">
        <v>36</v>
      </c>
      <c r="Q352" s="333"/>
      <c r="R352" s="195" t="s">
        <v>3792</v>
      </c>
    </row>
    <row r="353" spans="1:18">
      <c r="A353" s="322" t="s">
        <v>28</v>
      </c>
      <c r="B353" s="323">
        <v>46038</v>
      </c>
      <c r="D353" s="186" t="s">
        <v>3664</v>
      </c>
      <c r="G353" s="234"/>
      <c r="I353" s="288">
        <v>910210</v>
      </c>
      <c r="J353" s="294" t="s">
        <v>1991</v>
      </c>
      <c r="K353" s="307">
        <v>9031100009052</v>
      </c>
      <c r="L353" s="313" t="s">
        <v>41</v>
      </c>
      <c r="N353" s="365" t="s">
        <v>94</v>
      </c>
      <c r="O353" s="228" t="s">
        <v>94</v>
      </c>
      <c r="P353" s="228" t="s">
        <v>36</v>
      </c>
      <c r="Q353" s="333"/>
      <c r="R353" s="195" t="s">
        <v>3792</v>
      </c>
    </row>
    <row r="354" spans="1:18">
      <c r="A354" s="322" t="s">
        <v>28</v>
      </c>
      <c r="B354" s="323">
        <v>46045</v>
      </c>
      <c r="D354" s="186" t="s">
        <v>3644</v>
      </c>
      <c r="G354" s="234"/>
      <c r="I354" s="288">
        <v>1575607</v>
      </c>
      <c r="J354" s="294" t="s">
        <v>1992</v>
      </c>
      <c r="K354" s="307">
        <v>5056784922767</v>
      </c>
      <c r="L354" s="313" t="s">
        <v>64</v>
      </c>
      <c r="N354" s="365" t="s">
        <v>94</v>
      </c>
      <c r="O354" s="228" t="s">
        <v>94</v>
      </c>
      <c r="P354" s="228" t="s">
        <v>36</v>
      </c>
      <c r="Q354" s="333"/>
      <c r="R354" s="195" t="s">
        <v>3792</v>
      </c>
    </row>
    <row r="355" spans="1:18">
      <c r="A355" s="322" t="s">
        <v>28</v>
      </c>
      <c r="B355" s="323">
        <v>46045</v>
      </c>
      <c r="D355" s="186" t="s">
        <v>3637</v>
      </c>
      <c r="G355" s="234"/>
      <c r="I355" s="288">
        <v>1575608</v>
      </c>
      <c r="J355" s="294" t="s">
        <v>1993</v>
      </c>
      <c r="K355" s="307">
        <v>5056784922750</v>
      </c>
      <c r="L355" s="313" t="s">
        <v>64</v>
      </c>
      <c r="N355" s="365" t="s">
        <v>94</v>
      </c>
      <c r="O355" s="228" t="s">
        <v>94</v>
      </c>
      <c r="P355" s="228" t="s">
        <v>36</v>
      </c>
      <c r="Q355" s="333"/>
      <c r="R355" s="195" t="s">
        <v>3792</v>
      </c>
    </row>
    <row r="356" spans="1:18">
      <c r="A356" s="322" t="s">
        <v>28</v>
      </c>
      <c r="B356" s="323">
        <v>46045</v>
      </c>
      <c r="D356" s="186" t="s">
        <v>3624</v>
      </c>
      <c r="G356" s="234"/>
      <c r="I356" s="288">
        <v>2150512</v>
      </c>
      <c r="J356" s="294" t="s">
        <v>1994</v>
      </c>
      <c r="K356" s="307">
        <v>5000112481600</v>
      </c>
      <c r="L356" s="313" t="s">
        <v>3627</v>
      </c>
      <c r="N356" s="365" t="s">
        <v>94</v>
      </c>
      <c r="O356" s="228" t="s">
        <v>94</v>
      </c>
      <c r="P356" s="228" t="s">
        <v>36</v>
      </c>
      <c r="Q356" s="333"/>
      <c r="R356" s="195" t="s">
        <v>3792</v>
      </c>
    </row>
    <row r="357" spans="1:18">
      <c r="A357" s="322" t="s">
        <v>28</v>
      </c>
      <c r="B357" s="323">
        <v>46045</v>
      </c>
      <c r="D357" s="186" t="s">
        <v>3624</v>
      </c>
      <c r="G357" s="234"/>
      <c r="I357" s="288">
        <v>1010106</v>
      </c>
      <c r="J357" s="294" t="s">
        <v>1995</v>
      </c>
      <c r="K357" s="307">
        <v>5000112481587</v>
      </c>
      <c r="L357" s="313" t="s">
        <v>3641</v>
      </c>
      <c r="N357" s="365" t="s">
        <v>94</v>
      </c>
      <c r="O357" s="228" t="s">
        <v>94</v>
      </c>
      <c r="P357" s="228" t="s">
        <v>36</v>
      </c>
      <c r="Q357" s="333"/>
      <c r="R357" s="195" t="s">
        <v>3792</v>
      </c>
    </row>
    <row r="358" spans="1:18">
      <c r="A358" s="322" t="s">
        <v>28</v>
      </c>
      <c r="B358" s="323">
        <v>46045</v>
      </c>
      <c r="D358" s="186" t="s">
        <v>3664</v>
      </c>
      <c r="G358" s="234"/>
      <c r="I358" s="288">
        <v>1007910</v>
      </c>
      <c r="J358" s="294" t="s">
        <v>1996</v>
      </c>
      <c r="K358" s="307">
        <v>5000112481570</v>
      </c>
      <c r="L358" s="313" t="s">
        <v>3641</v>
      </c>
      <c r="N358" s="365" t="s">
        <v>94</v>
      </c>
      <c r="O358" s="228" t="s">
        <v>94</v>
      </c>
      <c r="P358" s="228" t="s">
        <v>36</v>
      </c>
      <c r="Q358" s="333"/>
      <c r="R358" s="195" t="s">
        <v>3792</v>
      </c>
    </row>
    <row r="359" spans="1:18">
      <c r="A359" s="322" t="s">
        <v>28</v>
      </c>
      <c r="B359" s="323">
        <v>46045</v>
      </c>
      <c r="D359" s="186" t="s">
        <v>3664</v>
      </c>
      <c r="G359" s="234"/>
      <c r="I359" s="288">
        <v>1010107</v>
      </c>
      <c r="J359" s="294" t="s">
        <v>1997</v>
      </c>
      <c r="K359" s="307">
        <v>5000112481617</v>
      </c>
      <c r="L359" s="313" t="s">
        <v>3641</v>
      </c>
      <c r="N359" s="365" t="s">
        <v>94</v>
      </c>
      <c r="O359" s="228" t="s">
        <v>94</v>
      </c>
      <c r="P359" s="228" t="s">
        <v>36</v>
      </c>
      <c r="Q359" s="333"/>
      <c r="R359" s="195" t="s">
        <v>3792</v>
      </c>
    </row>
    <row r="360" spans="1:18">
      <c r="A360" s="322" t="s">
        <v>28</v>
      </c>
      <c r="B360" s="323">
        <v>46045</v>
      </c>
      <c r="D360" s="186" t="s">
        <v>3664</v>
      </c>
      <c r="G360" s="234"/>
      <c r="I360" s="288">
        <v>1010108</v>
      </c>
      <c r="J360" s="294" t="s">
        <v>1998</v>
      </c>
      <c r="K360" s="307">
        <v>5000112481594</v>
      </c>
      <c r="L360" s="313" t="s">
        <v>3627</v>
      </c>
      <c r="N360" s="365" t="s">
        <v>94</v>
      </c>
      <c r="O360" s="228" t="s">
        <v>94</v>
      </c>
      <c r="P360" s="228" t="s">
        <v>36</v>
      </c>
      <c r="Q360" s="333"/>
      <c r="R360" s="195" t="s">
        <v>3792</v>
      </c>
    </row>
    <row r="361" spans="1:18">
      <c r="A361" s="324" t="s">
        <v>28</v>
      </c>
      <c r="B361" s="323">
        <v>46045</v>
      </c>
      <c r="D361" s="186" t="s">
        <v>3664</v>
      </c>
      <c r="G361" s="234"/>
      <c r="I361" s="288">
        <v>2150511</v>
      </c>
      <c r="J361" s="294" t="s">
        <v>1999</v>
      </c>
      <c r="K361" s="307">
        <v>5000112479836</v>
      </c>
      <c r="L361" s="313" t="s">
        <v>3627</v>
      </c>
      <c r="N361" s="286" t="s">
        <v>94</v>
      </c>
      <c r="O361" s="181" t="s">
        <v>94</v>
      </c>
      <c r="P361" s="181" t="s">
        <v>36</v>
      </c>
      <c r="Q361" s="333"/>
      <c r="R361" s="195" t="s">
        <v>3792</v>
      </c>
    </row>
    <row r="362" spans="1:18">
      <c r="A362" s="324" t="s">
        <v>28</v>
      </c>
      <c r="B362" s="325">
        <v>46059</v>
      </c>
      <c r="D362" s="186" t="s">
        <v>3644</v>
      </c>
      <c r="G362" s="234"/>
      <c r="I362" s="288">
        <v>2775301</v>
      </c>
      <c r="J362" s="294" t="s">
        <v>2000</v>
      </c>
      <c r="K362" s="307">
        <v>5000112482089</v>
      </c>
      <c r="L362" s="313" t="s">
        <v>112</v>
      </c>
      <c r="N362" s="286" t="s">
        <v>94</v>
      </c>
      <c r="O362" s="181" t="s">
        <v>94</v>
      </c>
      <c r="P362" s="181" t="s">
        <v>36</v>
      </c>
      <c r="Q362" s="333"/>
      <c r="R362" s="195" t="s">
        <v>3792</v>
      </c>
    </row>
    <row r="363" spans="1:18">
      <c r="A363" s="324" t="s">
        <v>28</v>
      </c>
      <c r="B363" s="325">
        <v>46059</v>
      </c>
      <c r="D363" s="186" t="s">
        <v>3637</v>
      </c>
      <c r="G363" s="234"/>
      <c r="I363" s="288">
        <v>2775302</v>
      </c>
      <c r="J363" s="294" t="s">
        <v>2001</v>
      </c>
      <c r="K363" s="307">
        <v>5000112482072</v>
      </c>
      <c r="L363" s="313" t="s">
        <v>112</v>
      </c>
      <c r="N363" s="286" t="s">
        <v>94</v>
      </c>
      <c r="O363" s="181" t="s">
        <v>94</v>
      </c>
      <c r="P363" s="181" t="s">
        <v>36</v>
      </c>
      <c r="Q363" s="333"/>
      <c r="R363" s="195" t="s">
        <v>3792</v>
      </c>
    </row>
    <row r="364" spans="1:18">
      <c r="A364" s="324" t="s">
        <v>28</v>
      </c>
      <c r="B364" s="325">
        <v>46059</v>
      </c>
      <c r="D364" s="186" t="s">
        <v>3624</v>
      </c>
      <c r="G364" s="234"/>
      <c r="I364" s="288">
        <v>2600604</v>
      </c>
      <c r="J364" s="294" t="s">
        <v>2002</v>
      </c>
      <c r="K364" s="307">
        <v>5000112482096</v>
      </c>
      <c r="L364" s="313" t="s">
        <v>3627</v>
      </c>
      <c r="N364" s="286" t="s">
        <v>94</v>
      </c>
      <c r="O364" s="181" t="s">
        <v>94</v>
      </c>
      <c r="P364" s="181" t="s">
        <v>36</v>
      </c>
      <c r="Q364" s="333"/>
      <c r="R364" s="195" t="s">
        <v>3792</v>
      </c>
    </row>
    <row r="365" spans="1:18">
      <c r="A365" s="324" t="s">
        <v>28</v>
      </c>
      <c r="B365" s="325">
        <v>46059</v>
      </c>
      <c r="D365" s="186" t="s">
        <v>3644</v>
      </c>
      <c r="G365" s="234"/>
      <c r="I365" s="288">
        <v>2775401</v>
      </c>
      <c r="J365" s="294" t="s">
        <v>2003</v>
      </c>
      <c r="K365" s="307">
        <v>5000112482119</v>
      </c>
      <c r="L365" s="313" t="s">
        <v>492</v>
      </c>
      <c r="N365" s="286" t="s">
        <v>94</v>
      </c>
      <c r="O365" s="181" t="s">
        <v>94</v>
      </c>
      <c r="P365" s="181" t="s">
        <v>36</v>
      </c>
      <c r="Q365" s="333"/>
      <c r="R365" s="195" t="s">
        <v>3792</v>
      </c>
    </row>
    <row r="366" spans="1:18">
      <c r="A366" s="324" t="s">
        <v>28</v>
      </c>
      <c r="B366" s="325">
        <v>46059</v>
      </c>
      <c r="D366" s="186" t="s">
        <v>3637</v>
      </c>
      <c r="G366" s="234"/>
      <c r="I366" s="288">
        <v>2775402</v>
      </c>
      <c r="J366" s="294" t="s">
        <v>2004</v>
      </c>
      <c r="K366" s="307">
        <v>5000112482102</v>
      </c>
      <c r="L366" s="313" t="s">
        <v>492</v>
      </c>
      <c r="N366" s="286" t="s">
        <v>94</v>
      </c>
      <c r="O366" s="181" t="s">
        <v>94</v>
      </c>
      <c r="P366" s="181" t="s">
        <v>36</v>
      </c>
      <c r="Q366" s="333"/>
      <c r="R366" s="195" t="s">
        <v>3792</v>
      </c>
    </row>
    <row r="367" spans="1:18">
      <c r="A367" s="324" t="s">
        <v>28</v>
      </c>
      <c r="B367" s="325">
        <v>46059</v>
      </c>
      <c r="D367" s="186" t="s">
        <v>3637</v>
      </c>
      <c r="G367" s="234"/>
      <c r="I367" s="288">
        <v>1839523</v>
      </c>
      <c r="J367" s="294" t="s">
        <v>2005</v>
      </c>
      <c r="K367" s="307">
        <v>5000112482133</v>
      </c>
      <c r="L367" s="313" t="s">
        <v>3641</v>
      </c>
      <c r="N367" s="286" t="s">
        <v>94</v>
      </c>
      <c r="O367" s="181" t="s">
        <v>94</v>
      </c>
      <c r="P367" s="181" t="s">
        <v>36</v>
      </c>
      <c r="Q367" s="333"/>
      <c r="R367" s="195" t="s">
        <v>3792</v>
      </c>
    </row>
    <row r="368" spans="1:18">
      <c r="A368" s="324" t="s">
        <v>28</v>
      </c>
      <c r="B368" s="325">
        <v>46059</v>
      </c>
      <c r="D368" s="186" t="s">
        <v>3644</v>
      </c>
      <c r="G368" s="234"/>
      <c r="I368" s="288">
        <v>1839524</v>
      </c>
      <c r="J368" s="294" t="s">
        <v>2006</v>
      </c>
      <c r="K368" s="307">
        <v>5000112482126</v>
      </c>
      <c r="L368" s="313" t="s">
        <v>3641</v>
      </c>
      <c r="N368" s="286" t="s">
        <v>94</v>
      </c>
      <c r="O368" s="181" t="s">
        <v>94</v>
      </c>
      <c r="P368" s="181" t="s">
        <v>36</v>
      </c>
      <c r="Q368" s="333"/>
      <c r="R368" s="195" t="s">
        <v>3792</v>
      </c>
    </row>
    <row r="369" spans="1:18">
      <c r="A369" s="324" t="s">
        <v>28</v>
      </c>
      <c r="B369" s="325">
        <v>46059</v>
      </c>
      <c r="D369" s="186" t="s">
        <v>3637</v>
      </c>
      <c r="G369" s="234"/>
      <c r="I369" s="288">
        <v>2524811</v>
      </c>
      <c r="J369" s="294" t="s">
        <v>2007</v>
      </c>
      <c r="K369" s="307">
        <v>5000112482140</v>
      </c>
      <c r="L369" s="313" t="s">
        <v>3641</v>
      </c>
      <c r="N369" s="286" t="s">
        <v>94</v>
      </c>
      <c r="O369" s="181" t="s">
        <v>94</v>
      </c>
      <c r="P369" s="181" t="s">
        <v>36</v>
      </c>
      <c r="Q369" s="333"/>
      <c r="R369" s="195" t="s">
        <v>3792</v>
      </c>
    </row>
    <row r="370" spans="1:18">
      <c r="A370" s="324" t="s">
        <v>28</v>
      </c>
      <c r="B370" s="325">
        <v>46059</v>
      </c>
      <c r="D370" s="186" t="s">
        <v>3644</v>
      </c>
      <c r="G370" s="234"/>
      <c r="I370" s="288">
        <v>2524812</v>
      </c>
      <c r="J370" s="294" t="s">
        <v>2008</v>
      </c>
      <c r="K370" s="307">
        <v>5000112482157</v>
      </c>
      <c r="L370" s="313" t="s">
        <v>3641</v>
      </c>
      <c r="N370" s="286" t="s">
        <v>94</v>
      </c>
      <c r="O370" s="181" t="s">
        <v>94</v>
      </c>
      <c r="P370" s="181" t="s">
        <v>36</v>
      </c>
      <c r="Q370" s="333"/>
      <c r="R370" s="195" t="s">
        <v>3792</v>
      </c>
    </row>
    <row r="371" spans="1:18">
      <c r="A371" s="324" t="s">
        <v>28</v>
      </c>
      <c r="B371" s="325">
        <v>46059</v>
      </c>
      <c r="D371" s="186" t="s">
        <v>3637</v>
      </c>
      <c r="G371" s="234"/>
      <c r="I371" s="288">
        <v>2524813</v>
      </c>
      <c r="J371" s="294" t="s">
        <v>2009</v>
      </c>
      <c r="K371" s="307">
        <v>5000112482171</v>
      </c>
      <c r="L371" s="313" t="s">
        <v>3641</v>
      </c>
      <c r="N371" s="286" t="s">
        <v>92</v>
      </c>
      <c r="O371" s="181" t="s">
        <v>92</v>
      </c>
      <c r="P371" s="181" t="s">
        <v>102</v>
      </c>
      <c r="Q371" s="333"/>
      <c r="R371" s="195" t="s">
        <v>3792</v>
      </c>
    </row>
    <row r="372" spans="1:18">
      <c r="A372" s="324" t="s">
        <v>28</v>
      </c>
      <c r="B372" s="325">
        <v>46059</v>
      </c>
      <c r="D372" s="186" t="s">
        <v>3644</v>
      </c>
      <c r="G372" s="234"/>
      <c r="I372" s="288">
        <v>2524814</v>
      </c>
      <c r="J372" s="294" t="s">
        <v>2010</v>
      </c>
      <c r="K372" s="307">
        <v>5000112482164</v>
      </c>
      <c r="L372" s="313" t="s">
        <v>3641</v>
      </c>
      <c r="N372" s="286" t="s">
        <v>92</v>
      </c>
      <c r="O372" s="181" t="s">
        <v>92</v>
      </c>
      <c r="P372" s="181" t="s">
        <v>102</v>
      </c>
      <c r="Q372" s="333"/>
      <c r="R372" s="195" t="s">
        <v>3792</v>
      </c>
    </row>
    <row r="373" spans="1:18">
      <c r="A373" s="324" t="s">
        <v>28</v>
      </c>
      <c r="B373" s="325">
        <v>46059</v>
      </c>
      <c r="D373" s="186" t="s">
        <v>3644</v>
      </c>
      <c r="G373" s="234"/>
      <c r="I373" s="288">
        <v>2775501</v>
      </c>
      <c r="J373" s="294" t="s">
        <v>2011</v>
      </c>
      <c r="K373" s="307">
        <v>5000112482201</v>
      </c>
      <c r="L373" s="313" t="s">
        <v>492</v>
      </c>
      <c r="N373" s="286" t="s">
        <v>94</v>
      </c>
      <c r="O373" s="181" t="s">
        <v>94</v>
      </c>
      <c r="P373" s="181" t="s">
        <v>36</v>
      </c>
      <c r="Q373" s="333"/>
      <c r="R373" s="195" t="s">
        <v>3792</v>
      </c>
    </row>
    <row r="374" spans="1:18">
      <c r="A374" s="324" t="s">
        <v>28</v>
      </c>
      <c r="B374" s="325">
        <v>46059</v>
      </c>
      <c r="D374" s="186" t="s">
        <v>3637</v>
      </c>
      <c r="G374" s="234"/>
      <c r="I374" s="288">
        <v>2775502</v>
      </c>
      <c r="J374" s="294" t="s">
        <v>2012</v>
      </c>
      <c r="K374" s="307">
        <v>5000112482195</v>
      </c>
      <c r="L374" s="313" t="s">
        <v>492</v>
      </c>
      <c r="N374" s="286" t="s">
        <v>94</v>
      </c>
      <c r="O374" s="181" t="s">
        <v>94</v>
      </c>
      <c r="P374" s="181" t="s">
        <v>36</v>
      </c>
      <c r="Q374" s="333"/>
      <c r="R374" s="195" t="s">
        <v>3792</v>
      </c>
    </row>
    <row r="375" spans="1:18">
      <c r="A375" s="324" t="s">
        <v>28</v>
      </c>
      <c r="B375" s="325">
        <v>46059</v>
      </c>
      <c r="D375" s="186" t="s">
        <v>3629</v>
      </c>
      <c r="G375" s="234"/>
      <c r="I375" s="288">
        <v>1010202</v>
      </c>
      <c r="J375" s="294" t="s">
        <v>2013</v>
      </c>
      <c r="K375" s="307">
        <v>5000112482188</v>
      </c>
      <c r="L375" s="313" t="s">
        <v>3627</v>
      </c>
      <c r="N375" s="286" t="s">
        <v>94</v>
      </c>
      <c r="O375" s="181" t="s">
        <v>94</v>
      </c>
      <c r="P375" s="181" t="s">
        <v>36</v>
      </c>
      <c r="Q375" s="333"/>
      <c r="R375" s="195" t="s">
        <v>3792</v>
      </c>
    </row>
    <row r="376" spans="1:18">
      <c r="A376" s="324" t="s">
        <v>28</v>
      </c>
      <c r="B376" s="325">
        <v>46066</v>
      </c>
      <c r="D376" s="186" t="s">
        <v>3644</v>
      </c>
      <c r="G376" s="234"/>
      <c r="I376" s="288">
        <v>2783301</v>
      </c>
      <c r="J376" s="294" t="s">
        <v>2014</v>
      </c>
      <c r="K376" s="307">
        <v>5000112482355</v>
      </c>
      <c r="L376" s="313" t="s">
        <v>3627</v>
      </c>
      <c r="N376" s="286" t="s">
        <v>94</v>
      </c>
      <c r="O376" s="181" t="s">
        <v>94</v>
      </c>
      <c r="P376" s="181" t="s">
        <v>36</v>
      </c>
      <c r="Q376" s="333"/>
      <c r="R376" s="195" t="s">
        <v>3792</v>
      </c>
    </row>
    <row r="377" spans="1:18">
      <c r="A377" s="324" t="s">
        <v>28</v>
      </c>
      <c r="B377" s="325">
        <v>46066</v>
      </c>
      <c r="D377" s="186" t="s">
        <v>3637</v>
      </c>
      <c r="G377" s="234"/>
      <c r="I377" s="288">
        <v>2783302</v>
      </c>
      <c r="J377" s="294" t="s">
        <v>2015</v>
      </c>
      <c r="K377" s="307">
        <v>5000112482362</v>
      </c>
      <c r="L377" s="313" t="s">
        <v>3627</v>
      </c>
      <c r="N377" s="286" t="s">
        <v>94</v>
      </c>
      <c r="O377" s="181" t="s">
        <v>94</v>
      </c>
      <c r="P377" s="181" t="s">
        <v>36</v>
      </c>
      <c r="Q377" s="333"/>
      <c r="R377" s="195" t="s">
        <v>3792</v>
      </c>
    </row>
    <row r="378" spans="1:18">
      <c r="A378" s="324" t="s">
        <v>28</v>
      </c>
      <c r="B378" s="325">
        <v>46066</v>
      </c>
      <c r="D378" s="186" t="s">
        <v>3772</v>
      </c>
      <c r="G378" s="234"/>
      <c r="I378" s="288">
        <v>2782801</v>
      </c>
      <c r="J378" s="294" t="s">
        <v>2016</v>
      </c>
      <c r="K378" s="307">
        <v>5000112482379</v>
      </c>
      <c r="L378" s="313" t="s">
        <v>3627</v>
      </c>
      <c r="N378" s="286" t="s">
        <v>94</v>
      </c>
      <c r="O378" s="181" t="s">
        <v>94</v>
      </c>
      <c r="P378" s="181" t="s">
        <v>36</v>
      </c>
      <c r="Q378" s="333"/>
      <c r="R378" s="195" t="s">
        <v>3792</v>
      </c>
    </row>
    <row r="379" spans="1:18">
      <c r="A379" s="324" t="s">
        <v>28</v>
      </c>
      <c r="B379" s="325">
        <v>46066</v>
      </c>
      <c r="D379" s="186" t="s">
        <v>3637</v>
      </c>
      <c r="G379" s="234"/>
      <c r="I379" s="288">
        <v>1582508</v>
      </c>
      <c r="J379" s="294" t="s">
        <v>2017</v>
      </c>
      <c r="K379" s="307">
        <v>5000112482393</v>
      </c>
      <c r="L379" s="313" t="s">
        <v>3641</v>
      </c>
      <c r="N379" s="286" t="s">
        <v>94</v>
      </c>
      <c r="O379" s="181" t="s">
        <v>94</v>
      </c>
      <c r="P379" s="181" t="s">
        <v>36</v>
      </c>
      <c r="Q379" s="333"/>
      <c r="R379" s="195" t="s">
        <v>3792</v>
      </c>
    </row>
    <row r="380" spans="1:18">
      <c r="A380" s="324" t="s">
        <v>28</v>
      </c>
      <c r="B380" s="325">
        <v>46066</v>
      </c>
      <c r="D380" s="186" t="s">
        <v>3644</v>
      </c>
      <c r="G380" s="234"/>
      <c r="I380" s="288">
        <v>1582509</v>
      </c>
      <c r="J380" s="294" t="s">
        <v>2018</v>
      </c>
      <c r="K380" s="307">
        <v>5000112482409</v>
      </c>
      <c r="L380" s="313" t="s">
        <v>3641</v>
      </c>
      <c r="N380" s="286" t="s">
        <v>94</v>
      </c>
      <c r="O380" s="181" t="s">
        <v>94</v>
      </c>
      <c r="P380" s="181" t="s">
        <v>36</v>
      </c>
      <c r="Q380" s="333"/>
      <c r="R380" s="195" t="s">
        <v>3792</v>
      </c>
    </row>
    <row r="381" spans="1:18">
      <c r="A381" s="324" t="s">
        <v>28</v>
      </c>
      <c r="B381" s="325">
        <v>46066</v>
      </c>
      <c r="D381" s="186" t="s">
        <v>3637</v>
      </c>
      <c r="G381" s="234"/>
      <c r="I381" s="418">
        <v>2782901</v>
      </c>
      <c r="J381" s="417" t="s">
        <v>2019</v>
      </c>
      <c r="K381" s="419">
        <v>5000112482348</v>
      </c>
      <c r="L381" s="313" t="s">
        <v>3627</v>
      </c>
      <c r="N381" s="286" t="s">
        <v>94</v>
      </c>
      <c r="O381" s="181" t="s">
        <v>94</v>
      </c>
      <c r="P381" s="181" t="s">
        <v>36</v>
      </c>
      <c r="Q381" s="333" t="s">
        <v>3832</v>
      </c>
      <c r="R381" s="195" t="s">
        <v>3792</v>
      </c>
    </row>
    <row r="382" spans="1:18">
      <c r="A382" s="324" t="s">
        <v>28</v>
      </c>
      <c r="B382" s="325">
        <v>46066</v>
      </c>
      <c r="D382" s="186" t="s">
        <v>3644</v>
      </c>
      <c r="G382" s="234"/>
      <c r="I382" s="418">
        <v>2782902</v>
      </c>
      <c r="J382" s="417" t="s">
        <v>2021</v>
      </c>
      <c r="K382" s="419">
        <v>5000112482331</v>
      </c>
      <c r="L382" s="313" t="s">
        <v>3627</v>
      </c>
      <c r="N382" s="286" t="s">
        <v>94</v>
      </c>
      <c r="O382" s="181" t="s">
        <v>94</v>
      </c>
      <c r="P382" s="181" t="s">
        <v>36</v>
      </c>
      <c r="Q382" s="333" t="s">
        <v>3832</v>
      </c>
      <c r="R382" s="195" t="s">
        <v>3792</v>
      </c>
    </row>
    <row r="383" spans="1:18">
      <c r="A383" s="324" t="s">
        <v>28</v>
      </c>
      <c r="B383" s="325">
        <v>46066</v>
      </c>
      <c r="D383" s="186" t="s">
        <v>3644</v>
      </c>
      <c r="G383" s="234"/>
      <c r="I383" s="288">
        <v>1318218</v>
      </c>
      <c r="J383" s="294" t="s">
        <v>2022</v>
      </c>
      <c r="K383" s="307">
        <v>5000112482423</v>
      </c>
      <c r="L383" s="313" t="s">
        <v>492</v>
      </c>
      <c r="N383" s="286" t="s">
        <v>94</v>
      </c>
      <c r="O383" s="181" t="s">
        <v>94</v>
      </c>
      <c r="P383" s="181" t="s">
        <v>36</v>
      </c>
      <c r="Q383" s="333"/>
      <c r="R383" s="195" t="s">
        <v>3792</v>
      </c>
    </row>
    <row r="384" spans="1:18">
      <c r="A384" s="324" t="s">
        <v>28</v>
      </c>
      <c r="B384" s="325">
        <v>46066</v>
      </c>
      <c r="D384" s="186" t="s">
        <v>3637</v>
      </c>
      <c r="G384" s="234"/>
      <c r="I384" s="288">
        <v>1318219</v>
      </c>
      <c r="J384" s="294" t="s">
        <v>2023</v>
      </c>
      <c r="K384" s="307">
        <v>5000112482416</v>
      </c>
      <c r="L384" s="313" t="s">
        <v>492</v>
      </c>
      <c r="N384" s="286" t="s">
        <v>94</v>
      </c>
      <c r="O384" s="181" t="s">
        <v>94</v>
      </c>
      <c r="P384" s="181" t="s">
        <v>36</v>
      </c>
      <c r="Q384" s="333"/>
      <c r="R384" s="195" t="s">
        <v>3792</v>
      </c>
    </row>
    <row r="385" spans="1:18">
      <c r="A385" s="324" t="s">
        <v>28</v>
      </c>
      <c r="B385" s="325">
        <v>46066</v>
      </c>
      <c r="D385" s="186" t="s">
        <v>3644</v>
      </c>
      <c r="G385" s="234"/>
      <c r="I385" s="288">
        <v>1467711</v>
      </c>
      <c r="J385" s="294" t="s">
        <v>2024</v>
      </c>
      <c r="K385" s="307">
        <v>5000112482430</v>
      </c>
      <c r="L385" s="313" t="s">
        <v>492</v>
      </c>
      <c r="N385" s="286" t="s">
        <v>94</v>
      </c>
      <c r="O385" s="181" t="s">
        <v>94</v>
      </c>
      <c r="P385" s="181" t="s">
        <v>36</v>
      </c>
      <c r="Q385" s="333"/>
      <c r="R385" s="195" t="s">
        <v>3792</v>
      </c>
    </row>
    <row r="386" spans="1:18">
      <c r="A386" s="324" t="s">
        <v>28</v>
      </c>
      <c r="B386" s="325">
        <v>46066</v>
      </c>
      <c r="D386" s="186" t="s">
        <v>3637</v>
      </c>
      <c r="G386" s="234"/>
      <c r="I386" s="288">
        <v>1467712</v>
      </c>
      <c r="J386" s="294" t="s">
        <v>2025</v>
      </c>
      <c r="K386" s="307">
        <v>5000112482447</v>
      </c>
      <c r="L386" s="313" t="s">
        <v>492</v>
      </c>
      <c r="N386" s="286" t="s">
        <v>94</v>
      </c>
      <c r="O386" s="181" t="s">
        <v>94</v>
      </c>
      <c r="P386" s="181" t="s">
        <v>36</v>
      </c>
      <c r="Q386" s="333"/>
      <c r="R386" s="195" t="s">
        <v>3792</v>
      </c>
    </row>
    <row r="387" spans="1:18">
      <c r="A387" s="324" t="s">
        <v>28</v>
      </c>
      <c r="B387" s="325">
        <v>46072</v>
      </c>
      <c r="D387" s="186" t="s">
        <v>3644</v>
      </c>
      <c r="G387" s="234"/>
      <c r="I387" s="288">
        <v>2785001</v>
      </c>
      <c r="J387" s="294" t="s">
        <v>2026</v>
      </c>
      <c r="K387" s="307">
        <v>5000112482546</v>
      </c>
      <c r="L387" s="313" t="s">
        <v>3627</v>
      </c>
      <c r="N387" s="286" t="s">
        <v>94</v>
      </c>
      <c r="O387" s="181" t="s">
        <v>94</v>
      </c>
      <c r="P387" s="181" t="s">
        <v>36</v>
      </c>
      <c r="Q387" s="333"/>
      <c r="R387" s="195" t="s">
        <v>3792</v>
      </c>
    </row>
    <row r="388" spans="1:18">
      <c r="A388" s="324" t="s">
        <v>28</v>
      </c>
      <c r="B388" s="325">
        <v>46080</v>
      </c>
      <c r="D388" s="186" t="s">
        <v>3772</v>
      </c>
      <c r="G388" s="234"/>
      <c r="I388" s="288">
        <v>2203202</v>
      </c>
      <c r="J388" s="294" t="s">
        <v>2027</v>
      </c>
      <c r="K388" s="307">
        <v>9031100009069</v>
      </c>
      <c r="L388" s="313" t="s">
        <v>41</v>
      </c>
      <c r="N388" s="286" t="s">
        <v>94</v>
      </c>
      <c r="O388" s="181" t="s">
        <v>94</v>
      </c>
      <c r="P388" s="181" t="s">
        <v>36</v>
      </c>
      <c r="Q388" s="333"/>
      <c r="R388" s="195" t="s">
        <v>3792</v>
      </c>
    </row>
    <row r="389" spans="1:18">
      <c r="A389" s="324" t="s">
        <v>28</v>
      </c>
      <c r="B389" s="325">
        <v>46080</v>
      </c>
      <c r="D389" s="186" t="s">
        <v>3637</v>
      </c>
      <c r="G389" s="234"/>
      <c r="I389" s="288">
        <v>2787001</v>
      </c>
      <c r="J389" s="294" t="s">
        <v>2028</v>
      </c>
      <c r="K389" s="307">
        <v>5000112482836</v>
      </c>
      <c r="L389" s="313" t="s">
        <v>3627</v>
      </c>
      <c r="N389" s="286" t="s">
        <v>94</v>
      </c>
      <c r="O389" s="181" t="s">
        <v>94</v>
      </c>
      <c r="P389" s="181" t="s">
        <v>36</v>
      </c>
      <c r="Q389" s="333"/>
      <c r="R389" s="195" t="s">
        <v>3792</v>
      </c>
    </row>
    <row r="390" spans="1:18">
      <c r="A390" s="324" t="s">
        <v>28</v>
      </c>
      <c r="B390" s="325">
        <v>46080</v>
      </c>
      <c r="D390" s="186" t="s">
        <v>3644</v>
      </c>
      <c r="G390" s="234"/>
      <c r="I390" s="288">
        <v>2787002</v>
      </c>
      <c r="J390" s="294" t="s">
        <v>2029</v>
      </c>
      <c r="K390" s="307">
        <v>5000112482850</v>
      </c>
      <c r="L390" s="313" t="s">
        <v>3627</v>
      </c>
      <c r="N390" s="286" t="s">
        <v>94</v>
      </c>
      <c r="O390" s="181" t="s">
        <v>94</v>
      </c>
      <c r="P390" s="181" t="s">
        <v>36</v>
      </c>
      <c r="Q390" s="333"/>
      <c r="R390" s="195" t="s">
        <v>3792</v>
      </c>
    </row>
    <row r="391" spans="1:18">
      <c r="A391" s="324" t="s">
        <v>28</v>
      </c>
      <c r="B391" s="325">
        <v>46080</v>
      </c>
      <c r="D391" s="186" t="s">
        <v>3632</v>
      </c>
      <c r="G391" s="234"/>
      <c r="I391" s="288">
        <v>2787101</v>
      </c>
      <c r="J391" s="294" t="s">
        <v>2030</v>
      </c>
      <c r="K391" s="307">
        <v>5000112482843</v>
      </c>
      <c r="L391" s="313" t="s">
        <v>3627</v>
      </c>
      <c r="N391" s="286" t="s">
        <v>94</v>
      </c>
      <c r="O391" s="181" t="s">
        <v>94</v>
      </c>
      <c r="P391" s="181" t="s">
        <v>36</v>
      </c>
      <c r="Q391" s="333"/>
      <c r="R391" s="195" t="s">
        <v>3792</v>
      </c>
    </row>
    <row r="392" spans="1:18">
      <c r="A392" s="324" t="s">
        <v>28</v>
      </c>
      <c r="B392" s="325">
        <v>46080</v>
      </c>
      <c r="D392" s="186" t="s">
        <v>3629</v>
      </c>
      <c r="G392" s="234"/>
      <c r="I392" s="288">
        <v>2787102</v>
      </c>
      <c r="J392" s="294" t="s">
        <v>2031</v>
      </c>
      <c r="K392" s="307">
        <v>5000112482829</v>
      </c>
      <c r="L392" s="313" t="s">
        <v>3627</v>
      </c>
      <c r="N392" s="286" t="s">
        <v>94</v>
      </c>
      <c r="O392" s="181" t="s">
        <v>94</v>
      </c>
      <c r="P392" s="181" t="s">
        <v>36</v>
      </c>
      <c r="Q392" s="333"/>
      <c r="R392" s="195" t="s">
        <v>3792</v>
      </c>
    </row>
    <row r="393" spans="1:18">
      <c r="A393" s="324" t="s">
        <v>28</v>
      </c>
      <c r="B393" s="325">
        <v>46080</v>
      </c>
      <c r="D393" s="186" t="s">
        <v>3624</v>
      </c>
      <c r="G393" s="234"/>
      <c r="I393" s="288">
        <v>2786801</v>
      </c>
      <c r="J393" s="294" t="s">
        <v>2032</v>
      </c>
      <c r="K393" s="307">
        <v>5000112482898</v>
      </c>
      <c r="L393" s="313" t="s">
        <v>3627</v>
      </c>
      <c r="N393" s="286" t="s">
        <v>94</v>
      </c>
      <c r="O393" s="181" t="s">
        <v>94</v>
      </c>
      <c r="P393" s="181" t="s">
        <v>36</v>
      </c>
      <c r="Q393" s="333"/>
      <c r="R393" s="195" t="s">
        <v>3792</v>
      </c>
    </row>
    <row r="394" spans="1:18">
      <c r="A394" s="324" t="s">
        <v>28</v>
      </c>
      <c r="B394" s="325">
        <v>46080</v>
      </c>
      <c r="D394" s="186" t="s">
        <v>3624</v>
      </c>
      <c r="G394" s="234"/>
      <c r="I394" s="288">
        <v>2786901</v>
      </c>
      <c r="J394" s="294" t="s">
        <v>2033</v>
      </c>
      <c r="K394" s="307">
        <v>5000112482881</v>
      </c>
      <c r="L394" s="313" t="s">
        <v>3627</v>
      </c>
      <c r="N394" s="286" t="s">
        <v>94</v>
      </c>
      <c r="O394" s="181" t="s">
        <v>94</v>
      </c>
      <c r="P394" s="181" t="s">
        <v>36</v>
      </c>
      <c r="Q394" s="333"/>
      <c r="R394" s="195" t="s">
        <v>3792</v>
      </c>
    </row>
    <row r="395" spans="1:18">
      <c r="A395" s="324" t="s">
        <v>28</v>
      </c>
      <c r="B395" s="325">
        <v>46080</v>
      </c>
      <c r="D395" s="186" t="s">
        <v>3664</v>
      </c>
      <c r="G395" s="234"/>
      <c r="I395" s="288">
        <v>2786802</v>
      </c>
      <c r="J395" s="294" t="s">
        <v>2034</v>
      </c>
      <c r="K395" s="307">
        <v>5000112482867</v>
      </c>
      <c r="L395" s="313" t="s">
        <v>3627</v>
      </c>
      <c r="N395" s="286" t="s">
        <v>94</v>
      </c>
      <c r="O395" s="181" t="s">
        <v>94</v>
      </c>
      <c r="P395" s="181" t="s">
        <v>36</v>
      </c>
      <c r="Q395" s="333"/>
      <c r="R395" s="195" t="s">
        <v>3792</v>
      </c>
    </row>
    <row r="396" spans="1:18">
      <c r="A396" s="324" t="s">
        <v>28</v>
      </c>
      <c r="B396" s="325">
        <v>46080</v>
      </c>
      <c r="D396" s="186" t="s">
        <v>3664</v>
      </c>
      <c r="G396" s="234"/>
      <c r="I396" s="288">
        <v>2786902</v>
      </c>
      <c r="J396" s="294" t="s">
        <v>2035</v>
      </c>
      <c r="K396" s="307">
        <v>5000112482874</v>
      </c>
      <c r="L396" s="313" t="s">
        <v>3627</v>
      </c>
      <c r="N396" s="286" t="s">
        <v>94</v>
      </c>
      <c r="O396" s="181" t="s">
        <v>94</v>
      </c>
      <c r="P396" s="181" t="s">
        <v>36</v>
      </c>
      <c r="Q396" s="333"/>
      <c r="R396" s="195" t="s">
        <v>3792</v>
      </c>
    </row>
    <row r="397" spans="1:18">
      <c r="A397" s="324" t="s">
        <v>28</v>
      </c>
      <c r="B397" s="325">
        <v>46087</v>
      </c>
      <c r="D397" s="186" t="s">
        <v>3644</v>
      </c>
      <c r="G397" s="234"/>
      <c r="I397" s="288">
        <v>2791301</v>
      </c>
      <c r="J397" s="294" t="s">
        <v>2036</v>
      </c>
      <c r="K397" s="307">
        <v>5000112483178</v>
      </c>
      <c r="L397" s="313" t="s">
        <v>492</v>
      </c>
      <c r="N397" s="286" t="s">
        <v>94</v>
      </c>
      <c r="O397" s="181" t="s">
        <v>94</v>
      </c>
      <c r="P397" s="181" t="s">
        <v>36</v>
      </c>
      <c r="Q397" s="333"/>
      <c r="R397" s="195" t="s">
        <v>3792</v>
      </c>
    </row>
    <row r="398" spans="1:18">
      <c r="A398" s="324" t="s">
        <v>28</v>
      </c>
      <c r="B398" s="325">
        <v>46087</v>
      </c>
      <c r="D398" s="186" t="s">
        <v>3637</v>
      </c>
      <c r="G398" s="234"/>
      <c r="I398" s="288">
        <v>2791302</v>
      </c>
      <c r="J398" s="294" t="s">
        <v>2037</v>
      </c>
      <c r="K398" s="307">
        <v>5000112483185</v>
      </c>
      <c r="L398" s="313" t="s">
        <v>492</v>
      </c>
      <c r="N398" s="286" t="s">
        <v>94</v>
      </c>
      <c r="O398" s="181" t="s">
        <v>94</v>
      </c>
      <c r="P398" s="181" t="s">
        <v>36</v>
      </c>
      <c r="Q398" s="333"/>
      <c r="R398" s="195" t="s">
        <v>3792</v>
      </c>
    </row>
    <row r="399" spans="1:18">
      <c r="A399" s="324" t="s">
        <v>28</v>
      </c>
      <c r="B399" s="325">
        <v>46087</v>
      </c>
      <c r="D399" s="186" t="s">
        <v>3637</v>
      </c>
      <c r="G399" s="234"/>
      <c r="I399" s="288">
        <v>2791401</v>
      </c>
      <c r="J399" s="294" t="s">
        <v>2038</v>
      </c>
      <c r="K399" s="307">
        <v>5000112483284</v>
      </c>
      <c r="L399" s="313" t="s">
        <v>3641</v>
      </c>
      <c r="N399" s="286" t="s">
        <v>94</v>
      </c>
      <c r="O399" s="181" t="s">
        <v>94</v>
      </c>
      <c r="P399" s="181" t="s">
        <v>36</v>
      </c>
      <c r="Q399" s="333"/>
      <c r="R399" s="195" t="s">
        <v>3792</v>
      </c>
    </row>
    <row r="400" spans="1:18">
      <c r="A400" s="324" t="s">
        <v>28</v>
      </c>
      <c r="B400" s="325">
        <v>46087</v>
      </c>
      <c r="D400" s="186" t="s">
        <v>3644</v>
      </c>
      <c r="G400" s="234"/>
      <c r="I400" s="288">
        <v>2791402</v>
      </c>
      <c r="J400" s="294" t="s">
        <v>2039</v>
      </c>
      <c r="K400" s="307">
        <v>5000112483260</v>
      </c>
      <c r="L400" s="313" t="s">
        <v>3641</v>
      </c>
      <c r="N400" s="286" t="s">
        <v>94</v>
      </c>
      <c r="O400" s="181" t="s">
        <v>94</v>
      </c>
      <c r="P400" s="181" t="s">
        <v>36</v>
      </c>
      <c r="Q400" s="333"/>
      <c r="R400" s="195" t="s">
        <v>3792</v>
      </c>
    </row>
    <row r="401" spans="1:18">
      <c r="A401" s="324" t="s">
        <v>28</v>
      </c>
      <c r="B401" s="325">
        <v>46094</v>
      </c>
      <c r="D401" s="186" t="s">
        <v>3772</v>
      </c>
      <c r="G401" s="234"/>
      <c r="I401" s="288">
        <v>2792401</v>
      </c>
      <c r="J401" s="294" t="s">
        <v>2040</v>
      </c>
      <c r="K401" s="307">
        <v>5000112483437</v>
      </c>
      <c r="L401" s="313" t="s">
        <v>492</v>
      </c>
      <c r="N401" s="286" t="s">
        <v>94</v>
      </c>
      <c r="O401" s="181" t="s">
        <v>94</v>
      </c>
      <c r="P401" s="181" t="s">
        <v>36</v>
      </c>
      <c r="Q401" s="333"/>
      <c r="R401" s="195" t="s">
        <v>3792</v>
      </c>
    </row>
    <row r="402" spans="1:18">
      <c r="A402" s="324" t="s">
        <v>28</v>
      </c>
      <c r="B402" s="325">
        <v>46094</v>
      </c>
      <c r="D402" s="186" t="s">
        <v>3632</v>
      </c>
      <c r="G402" s="234"/>
      <c r="I402" s="288">
        <v>2793002</v>
      </c>
      <c r="J402" s="294" t="s">
        <v>2041</v>
      </c>
      <c r="K402" s="307">
        <v>5000112483406</v>
      </c>
      <c r="L402" s="313" t="s">
        <v>3641</v>
      </c>
      <c r="N402" s="286" t="s">
        <v>94</v>
      </c>
      <c r="O402" s="181" t="s">
        <v>94</v>
      </c>
      <c r="P402" s="181" t="s">
        <v>36</v>
      </c>
      <c r="Q402" s="333"/>
      <c r="R402" s="195" t="s">
        <v>3792</v>
      </c>
    </row>
    <row r="403" spans="1:18">
      <c r="A403" s="324" t="s">
        <v>28</v>
      </c>
      <c r="B403" s="325">
        <v>46094</v>
      </c>
      <c r="D403" s="186" t="s">
        <v>3629</v>
      </c>
      <c r="G403" s="234"/>
      <c r="I403" s="288">
        <v>2793001</v>
      </c>
      <c r="J403" s="294" t="s">
        <v>2042</v>
      </c>
      <c r="K403" s="307">
        <v>5000112483390</v>
      </c>
      <c r="L403" s="313" t="s">
        <v>3641</v>
      </c>
      <c r="N403" s="286" t="s">
        <v>94</v>
      </c>
      <c r="O403" s="181" t="s">
        <v>94</v>
      </c>
      <c r="P403" s="181" t="s">
        <v>36</v>
      </c>
      <c r="Q403" s="333"/>
      <c r="R403" s="195" t="s">
        <v>3792</v>
      </c>
    </row>
    <row r="404" spans="1:18">
      <c r="A404" s="324" t="s">
        <v>28</v>
      </c>
      <c r="B404" s="325">
        <v>46108</v>
      </c>
      <c r="D404" s="186" t="s">
        <v>3833</v>
      </c>
      <c r="G404" s="234"/>
      <c r="I404" s="288">
        <v>2797301</v>
      </c>
      <c r="J404" s="294" t="s">
        <v>2043</v>
      </c>
      <c r="K404" s="307">
        <v>5000112483628</v>
      </c>
      <c r="L404" s="313" t="s">
        <v>3627</v>
      </c>
      <c r="N404" s="286" t="s">
        <v>94</v>
      </c>
      <c r="O404" s="181" t="s">
        <v>94</v>
      </c>
      <c r="P404" s="181" t="s">
        <v>36</v>
      </c>
      <c r="Q404" s="333"/>
      <c r="R404" s="195" t="s">
        <v>3792</v>
      </c>
    </row>
    <row r="405" spans="1:18">
      <c r="A405" s="324" t="s">
        <v>28</v>
      </c>
      <c r="B405" s="325">
        <v>46108</v>
      </c>
      <c r="D405" s="186" t="s">
        <v>3637</v>
      </c>
      <c r="G405" s="234"/>
      <c r="I405" s="288">
        <v>2797302</v>
      </c>
      <c r="J405" s="294" t="s">
        <v>2044</v>
      </c>
      <c r="K405" s="307">
        <v>5000112483635</v>
      </c>
      <c r="L405" s="313" t="s">
        <v>3627</v>
      </c>
      <c r="N405" s="286" t="s">
        <v>94</v>
      </c>
      <c r="O405" s="181" t="s">
        <v>94</v>
      </c>
      <c r="P405" s="181" t="s">
        <v>36</v>
      </c>
      <c r="Q405" s="333"/>
      <c r="R405" s="195" t="s">
        <v>3792</v>
      </c>
    </row>
    <row r="406" spans="1:18">
      <c r="A406" s="324" t="s">
        <v>28</v>
      </c>
      <c r="B406" s="325">
        <v>46108</v>
      </c>
      <c r="D406" s="186" t="s">
        <v>3637</v>
      </c>
      <c r="G406" s="234"/>
      <c r="I406" s="288">
        <v>2797401</v>
      </c>
      <c r="J406" s="294" t="s">
        <v>2045</v>
      </c>
      <c r="K406" s="307">
        <v>5000112483604</v>
      </c>
      <c r="L406" s="313" t="s">
        <v>103</v>
      </c>
      <c r="N406" s="286" t="s">
        <v>94</v>
      </c>
      <c r="O406" s="181" t="s">
        <v>94</v>
      </c>
      <c r="P406" s="181" t="s">
        <v>36</v>
      </c>
      <c r="Q406" s="333"/>
      <c r="R406" s="195" t="s">
        <v>3792</v>
      </c>
    </row>
    <row r="407" spans="1:18">
      <c r="A407" s="324" t="s">
        <v>28</v>
      </c>
      <c r="B407" s="325">
        <v>46108</v>
      </c>
      <c r="D407" s="186" t="s">
        <v>3833</v>
      </c>
      <c r="G407" s="234"/>
      <c r="I407" s="288">
        <v>2797402</v>
      </c>
      <c r="J407" s="294" t="s">
        <v>2046</v>
      </c>
      <c r="K407" s="307">
        <v>5000112483598</v>
      </c>
      <c r="L407" s="313" t="s">
        <v>103</v>
      </c>
      <c r="N407" s="286" t="s">
        <v>94</v>
      </c>
      <c r="O407" s="181" t="s">
        <v>94</v>
      </c>
      <c r="P407" s="181" t="s">
        <v>36</v>
      </c>
      <c r="Q407" s="333"/>
      <c r="R407" s="195" t="s">
        <v>3792</v>
      </c>
    </row>
    <row r="408" spans="1:18">
      <c r="A408" s="324" t="s">
        <v>28</v>
      </c>
      <c r="B408" s="325">
        <v>46108</v>
      </c>
      <c r="D408" s="186" t="s">
        <v>3637</v>
      </c>
      <c r="G408" s="234"/>
      <c r="I408" s="288">
        <v>2797501</v>
      </c>
      <c r="J408" s="294" t="s">
        <v>2047</v>
      </c>
      <c r="K408" s="307">
        <v>5000112483611</v>
      </c>
      <c r="L408" s="313" t="s">
        <v>69</v>
      </c>
      <c r="N408" s="286" t="s">
        <v>94</v>
      </c>
      <c r="O408" s="181" t="s">
        <v>94</v>
      </c>
      <c r="P408" s="181" t="s">
        <v>36</v>
      </c>
      <c r="Q408" s="333"/>
      <c r="R408" s="195" t="s">
        <v>3792</v>
      </c>
    </row>
    <row r="409" spans="1:18">
      <c r="A409" s="324" t="s">
        <v>28</v>
      </c>
      <c r="B409" s="325">
        <v>46108</v>
      </c>
      <c r="D409" s="186" t="s">
        <v>3833</v>
      </c>
      <c r="G409" s="234"/>
      <c r="I409" s="288">
        <v>2797502</v>
      </c>
      <c r="J409" s="294" t="s">
        <v>2048</v>
      </c>
      <c r="K409" s="307">
        <v>5000112483574</v>
      </c>
      <c r="L409" s="313" t="s">
        <v>69</v>
      </c>
      <c r="N409" s="286" t="s">
        <v>94</v>
      </c>
      <c r="O409" s="181" t="s">
        <v>94</v>
      </c>
      <c r="P409" s="181" t="s">
        <v>36</v>
      </c>
      <c r="Q409" s="333"/>
      <c r="R409" s="195" t="s">
        <v>3792</v>
      </c>
    </row>
    <row r="410" spans="1:18">
      <c r="A410" s="324" t="s">
        <v>28</v>
      </c>
      <c r="B410" s="325">
        <v>46108</v>
      </c>
      <c r="D410" s="186" t="s">
        <v>3629</v>
      </c>
      <c r="G410" s="234"/>
      <c r="I410" s="288">
        <v>2797601</v>
      </c>
      <c r="J410" s="294" t="s">
        <v>2049</v>
      </c>
      <c r="K410" s="307">
        <v>5000112483581</v>
      </c>
      <c r="L410" s="313" t="s">
        <v>3627</v>
      </c>
      <c r="N410" s="286" t="s">
        <v>94</v>
      </c>
      <c r="O410" s="181" t="s">
        <v>94</v>
      </c>
      <c r="P410" s="181" t="s">
        <v>36</v>
      </c>
      <c r="Q410" s="333"/>
      <c r="R410" s="195" t="s">
        <v>3792</v>
      </c>
    </row>
    <row r="411" spans="1:18">
      <c r="A411" s="324" t="s">
        <v>28</v>
      </c>
      <c r="B411" s="325">
        <v>46122</v>
      </c>
      <c r="D411" s="186" t="s">
        <v>3624</v>
      </c>
      <c r="G411" s="234"/>
      <c r="I411" s="288">
        <v>2799801</v>
      </c>
      <c r="J411" s="294" t="s">
        <v>2050</v>
      </c>
      <c r="K411" s="307">
        <v>5000112483956</v>
      </c>
      <c r="L411" s="313" t="s">
        <v>3627</v>
      </c>
      <c r="N411" s="286" t="s">
        <v>94</v>
      </c>
      <c r="O411" s="181" t="s">
        <v>94</v>
      </c>
      <c r="P411" s="181" t="s">
        <v>36</v>
      </c>
      <c r="Q411" s="333"/>
      <c r="R411" s="195" t="s">
        <v>3792</v>
      </c>
    </row>
    <row r="412" spans="1:18">
      <c r="A412" s="324" t="s">
        <v>28</v>
      </c>
      <c r="B412" s="325">
        <v>46122</v>
      </c>
      <c r="D412" s="186" t="s">
        <v>3772</v>
      </c>
      <c r="G412" s="234"/>
      <c r="I412" s="288">
        <v>2799901</v>
      </c>
      <c r="J412" s="294" t="s">
        <v>2051</v>
      </c>
      <c r="K412" s="307">
        <v>5000112483963</v>
      </c>
      <c r="L412" s="313" t="s">
        <v>492</v>
      </c>
      <c r="N412" s="286" t="s">
        <v>94</v>
      </c>
      <c r="O412" s="181" t="s">
        <v>94</v>
      </c>
      <c r="P412" s="181" t="s">
        <v>36</v>
      </c>
      <c r="Q412" s="333"/>
      <c r="R412" s="195" t="s">
        <v>3792</v>
      </c>
    </row>
    <row r="413" spans="1:18">
      <c r="A413" s="324" t="s">
        <v>28</v>
      </c>
      <c r="B413" s="325">
        <v>46122</v>
      </c>
      <c r="D413" s="186" t="s">
        <v>3637</v>
      </c>
      <c r="G413" s="234"/>
      <c r="I413" s="288">
        <v>2801201</v>
      </c>
      <c r="J413" s="294" t="s">
        <v>2052</v>
      </c>
      <c r="K413" s="307">
        <v>5000112484311</v>
      </c>
      <c r="L413" s="313" t="s">
        <v>3627</v>
      </c>
      <c r="N413" s="286" t="s">
        <v>94</v>
      </c>
      <c r="O413" s="181" t="s">
        <v>94</v>
      </c>
      <c r="P413" s="181" t="s">
        <v>36</v>
      </c>
      <c r="Q413" s="333"/>
      <c r="R413" s="195" t="s">
        <v>3792</v>
      </c>
    </row>
    <row r="414" spans="1:18">
      <c r="A414" s="324" t="s">
        <v>28</v>
      </c>
      <c r="B414" s="325">
        <v>46122</v>
      </c>
      <c r="D414" s="186" t="s">
        <v>3833</v>
      </c>
      <c r="G414" s="234"/>
      <c r="I414" s="288">
        <v>2801202</v>
      </c>
      <c r="J414" s="294" t="s">
        <v>2053</v>
      </c>
      <c r="K414" s="307">
        <v>5000112484328</v>
      </c>
      <c r="L414" s="313" t="s">
        <v>3627</v>
      </c>
      <c r="N414" s="286" t="s">
        <v>94</v>
      </c>
      <c r="O414" s="181" t="s">
        <v>94</v>
      </c>
      <c r="P414" s="181" t="s">
        <v>36</v>
      </c>
      <c r="Q414" s="333"/>
      <c r="R414" s="195" t="s">
        <v>3792</v>
      </c>
    </row>
    <row r="415" spans="1:18">
      <c r="A415" s="324" t="s">
        <v>28</v>
      </c>
      <c r="B415" s="325">
        <v>46122</v>
      </c>
      <c r="D415" s="186" t="s">
        <v>3637</v>
      </c>
      <c r="G415" s="234"/>
      <c r="I415" s="288">
        <v>2801301</v>
      </c>
      <c r="J415" s="294" t="s">
        <v>2054</v>
      </c>
      <c r="K415" s="307">
        <v>5000112484335</v>
      </c>
      <c r="L415" s="313" t="s">
        <v>86</v>
      </c>
      <c r="N415" s="286" t="s">
        <v>94</v>
      </c>
      <c r="O415" s="181" t="s">
        <v>94</v>
      </c>
      <c r="P415" s="181" t="s">
        <v>36</v>
      </c>
      <c r="Q415" s="333"/>
      <c r="R415" s="195" t="s">
        <v>3792</v>
      </c>
    </row>
    <row r="416" spans="1:18">
      <c r="A416" s="324" t="s">
        <v>28</v>
      </c>
      <c r="B416" s="325">
        <v>46129</v>
      </c>
      <c r="D416" s="186" t="s">
        <v>3637</v>
      </c>
      <c r="G416" s="234"/>
      <c r="I416" s="288">
        <v>2801401</v>
      </c>
      <c r="J416" s="294" t="s">
        <v>2055</v>
      </c>
      <c r="K416" s="307">
        <v>5000112482348</v>
      </c>
      <c r="L416" s="313" t="s">
        <v>3627</v>
      </c>
      <c r="N416" s="286" t="s">
        <v>94</v>
      </c>
      <c r="O416" s="181" t="s">
        <v>94</v>
      </c>
      <c r="P416" s="181" t="s">
        <v>36</v>
      </c>
      <c r="Q416" s="333"/>
      <c r="R416" s="195" t="s">
        <v>3792</v>
      </c>
    </row>
    <row r="417" spans="1:18">
      <c r="A417" s="324" t="s">
        <v>28</v>
      </c>
      <c r="B417" s="325">
        <v>46129</v>
      </c>
      <c r="D417" s="186" t="s">
        <v>3833</v>
      </c>
      <c r="G417" s="234"/>
      <c r="I417" s="288">
        <v>2801402</v>
      </c>
      <c r="J417" s="294" t="s">
        <v>2056</v>
      </c>
      <c r="K417" s="307">
        <v>5000112482331</v>
      </c>
      <c r="L417" s="313" t="s">
        <v>3627</v>
      </c>
      <c r="N417" s="286" t="s">
        <v>94</v>
      </c>
      <c r="O417" s="181" t="s">
        <v>94</v>
      </c>
      <c r="P417" s="181" t="s">
        <v>36</v>
      </c>
      <c r="Q417" s="333"/>
      <c r="R417" s="195" t="s">
        <v>3792</v>
      </c>
    </row>
    <row r="418" spans="1:18">
      <c r="A418" s="324" t="s">
        <v>28</v>
      </c>
      <c r="B418" s="325">
        <v>46129</v>
      </c>
      <c r="D418" s="186" t="s">
        <v>3833</v>
      </c>
      <c r="G418" s="234"/>
      <c r="I418" s="288">
        <v>2802001</v>
      </c>
      <c r="J418" s="294" t="s">
        <v>2057</v>
      </c>
      <c r="K418" s="307">
        <v>5000112484601</v>
      </c>
      <c r="L418" s="313" t="s">
        <v>86</v>
      </c>
      <c r="N418" s="286" t="s">
        <v>94</v>
      </c>
      <c r="O418" s="181" t="s">
        <v>94</v>
      </c>
      <c r="P418" s="181" t="s">
        <v>36</v>
      </c>
      <c r="Q418" s="333"/>
      <c r="R418" s="195" t="s">
        <v>3792</v>
      </c>
    </row>
    <row r="419" spans="1:18">
      <c r="A419" s="324" t="s">
        <v>28</v>
      </c>
      <c r="B419" s="325">
        <v>46136</v>
      </c>
      <c r="D419" s="186" t="s">
        <v>3637</v>
      </c>
      <c r="G419" s="234"/>
      <c r="I419" s="288">
        <v>2804401</v>
      </c>
      <c r="J419" s="294" t="s">
        <v>2059</v>
      </c>
      <c r="K419" s="307">
        <v>5000112484687</v>
      </c>
      <c r="L419" s="313" t="s">
        <v>3627</v>
      </c>
      <c r="N419" s="286" t="s">
        <v>94</v>
      </c>
      <c r="O419" s="181" t="s">
        <v>94</v>
      </c>
      <c r="P419" s="181" t="s">
        <v>36</v>
      </c>
      <c r="Q419" s="333"/>
      <c r="R419" s="195" t="s">
        <v>3792</v>
      </c>
    </row>
    <row r="420" spans="1:18">
      <c r="A420" s="324" t="s">
        <v>28</v>
      </c>
      <c r="B420" s="325">
        <v>46136</v>
      </c>
      <c r="D420" s="186" t="s">
        <v>3833</v>
      </c>
      <c r="G420" s="234"/>
      <c r="I420" s="288">
        <v>2804402</v>
      </c>
      <c r="J420" s="294" t="s">
        <v>2060</v>
      </c>
      <c r="K420" s="307">
        <v>5000112484670</v>
      </c>
      <c r="L420" s="313" t="s">
        <v>3627</v>
      </c>
      <c r="N420" s="286" t="s">
        <v>94</v>
      </c>
      <c r="O420" s="181" t="s">
        <v>94</v>
      </c>
      <c r="P420" s="181" t="s">
        <v>36</v>
      </c>
      <c r="Q420" s="333"/>
      <c r="R420" s="195" t="s">
        <v>3792</v>
      </c>
    </row>
    <row r="421" spans="1:18">
      <c r="A421" s="324" t="s">
        <v>28</v>
      </c>
      <c r="B421" s="325">
        <v>46136</v>
      </c>
      <c r="D421" s="186" t="s">
        <v>3629</v>
      </c>
      <c r="G421" s="234"/>
      <c r="I421" s="288">
        <v>2804501</v>
      </c>
      <c r="J421" s="294" t="s">
        <v>2061</v>
      </c>
      <c r="K421" s="307">
        <v>5000112484649</v>
      </c>
      <c r="L421" s="313" t="s">
        <v>3627</v>
      </c>
      <c r="N421" s="286" t="s">
        <v>94</v>
      </c>
      <c r="O421" s="181" t="s">
        <v>94</v>
      </c>
      <c r="P421" s="181" t="s">
        <v>36</v>
      </c>
      <c r="Q421" s="333"/>
      <c r="R421" s="195" t="s">
        <v>3792</v>
      </c>
    </row>
    <row r="422" spans="1:18">
      <c r="A422" s="324" t="s">
        <v>28</v>
      </c>
      <c r="B422" s="325">
        <v>46136</v>
      </c>
      <c r="D422" s="186" t="s">
        <v>3632</v>
      </c>
      <c r="G422" s="234"/>
      <c r="I422" s="288">
        <v>2804502</v>
      </c>
      <c r="J422" s="294" t="s">
        <v>2062</v>
      </c>
      <c r="K422" s="307">
        <v>5000112484632</v>
      </c>
      <c r="L422" s="313" t="s">
        <v>3627</v>
      </c>
      <c r="N422" s="286" t="s">
        <v>94</v>
      </c>
      <c r="O422" s="181" t="s">
        <v>94</v>
      </c>
      <c r="P422" s="181" t="s">
        <v>36</v>
      </c>
      <c r="Q422" s="333"/>
      <c r="R422" s="195" t="s">
        <v>3792</v>
      </c>
    </row>
    <row r="423" spans="1:18">
      <c r="A423" s="324" t="s">
        <v>28</v>
      </c>
      <c r="B423" s="325">
        <v>46136</v>
      </c>
      <c r="D423" s="186" t="s">
        <v>3664</v>
      </c>
      <c r="G423" s="234"/>
      <c r="I423" s="288">
        <v>2137709</v>
      </c>
      <c r="J423" s="294" t="s">
        <v>2063</v>
      </c>
      <c r="K423" s="307">
        <v>5000112484656</v>
      </c>
      <c r="L423" s="313" t="s">
        <v>3641</v>
      </c>
      <c r="N423" s="286" t="s">
        <v>94</v>
      </c>
      <c r="O423" s="181" t="s">
        <v>94</v>
      </c>
      <c r="P423" s="181" t="s">
        <v>36</v>
      </c>
      <c r="Q423" s="333"/>
      <c r="R423" s="195" t="s">
        <v>3792</v>
      </c>
    </row>
    <row r="424" spans="1:18">
      <c r="A424" s="324" t="s">
        <v>28</v>
      </c>
      <c r="B424" s="325">
        <v>46136</v>
      </c>
      <c r="D424" s="186" t="s">
        <v>3664</v>
      </c>
      <c r="G424" s="234"/>
      <c r="I424" s="288">
        <v>2516202</v>
      </c>
      <c r="J424" s="294" t="s">
        <v>2064</v>
      </c>
      <c r="K424" s="307">
        <v>5000112484663</v>
      </c>
      <c r="L424" s="313" t="s">
        <v>3641</v>
      </c>
      <c r="N424" s="286" t="s">
        <v>94</v>
      </c>
      <c r="O424" s="181" t="s">
        <v>94</v>
      </c>
      <c r="P424" s="181" t="s">
        <v>36</v>
      </c>
      <c r="Q424" s="333"/>
      <c r="R424" s="195" t="s">
        <v>3792</v>
      </c>
    </row>
    <row r="425" spans="1:18">
      <c r="A425" s="324" t="s">
        <v>28</v>
      </c>
      <c r="B425" s="325">
        <v>46142</v>
      </c>
      <c r="D425" s="186" t="s">
        <v>3637</v>
      </c>
      <c r="G425" s="234"/>
      <c r="I425" s="288">
        <v>2826801</v>
      </c>
      <c r="J425" s="294" t="s">
        <v>2065</v>
      </c>
      <c r="K425" s="307">
        <v>5000112485035</v>
      </c>
      <c r="L425" s="313" t="s">
        <v>3641</v>
      </c>
      <c r="N425" s="286" t="s">
        <v>94</v>
      </c>
      <c r="O425" s="181" t="s">
        <v>94</v>
      </c>
      <c r="P425" s="181" t="s">
        <v>36</v>
      </c>
      <c r="Q425" s="333"/>
      <c r="R425" s="195" t="s">
        <v>3792</v>
      </c>
    </row>
    <row r="426" spans="1:18">
      <c r="A426" s="324" t="s">
        <v>28</v>
      </c>
      <c r="B426" s="325">
        <v>46142</v>
      </c>
      <c r="D426" s="186" t="s">
        <v>3833</v>
      </c>
      <c r="G426" s="234"/>
      <c r="I426" s="288">
        <v>2826802</v>
      </c>
      <c r="J426" s="294" t="s">
        <v>2066</v>
      </c>
      <c r="K426" s="307">
        <v>5000112485042</v>
      </c>
      <c r="L426" s="313" t="s">
        <v>3641</v>
      </c>
      <c r="N426" s="286" t="s">
        <v>94</v>
      </c>
      <c r="O426" s="181" t="s">
        <v>94</v>
      </c>
      <c r="P426" s="181" t="s">
        <v>36</v>
      </c>
      <c r="Q426" s="333"/>
      <c r="R426" s="195" t="s">
        <v>3792</v>
      </c>
    </row>
    <row r="427" spans="1:18">
      <c r="A427" s="324" t="s">
        <v>28</v>
      </c>
      <c r="B427" s="325">
        <v>46142</v>
      </c>
      <c r="D427" s="186" t="s">
        <v>3629</v>
      </c>
      <c r="G427" s="234"/>
      <c r="I427" s="288">
        <v>2826902</v>
      </c>
      <c r="J427" s="294" t="s">
        <v>2067</v>
      </c>
      <c r="K427" s="307">
        <v>5000112485059</v>
      </c>
      <c r="L427" s="313" t="s">
        <v>3641</v>
      </c>
      <c r="N427" s="286" t="s">
        <v>94</v>
      </c>
      <c r="O427" s="181" t="s">
        <v>94</v>
      </c>
      <c r="P427" s="181" t="s">
        <v>36</v>
      </c>
      <c r="Q427" s="333"/>
      <c r="R427" s="195" t="s">
        <v>3792</v>
      </c>
    </row>
    <row r="428" spans="1:18">
      <c r="A428" s="324" t="s">
        <v>28</v>
      </c>
      <c r="B428" s="325">
        <v>46142</v>
      </c>
      <c r="D428" s="186" t="s">
        <v>3632</v>
      </c>
      <c r="G428" s="234"/>
      <c r="I428" s="288">
        <v>2826901</v>
      </c>
      <c r="J428" s="294" t="s">
        <v>2068</v>
      </c>
      <c r="K428" s="307">
        <v>5000112485028</v>
      </c>
      <c r="L428" s="313" t="s">
        <v>3641</v>
      </c>
      <c r="N428" s="286" t="s">
        <v>94</v>
      </c>
      <c r="O428" s="181" t="s">
        <v>94</v>
      </c>
      <c r="P428" s="181" t="s">
        <v>36</v>
      </c>
      <c r="Q428" s="333"/>
      <c r="R428" s="195" t="s">
        <v>3792</v>
      </c>
    </row>
    <row r="429" spans="1:18">
      <c r="A429" s="324" t="s">
        <v>28</v>
      </c>
      <c r="B429" s="325">
        <v>46142</v>
      </c>
      <c r="D429" s="186" t="s">
        <v>3833</v>
      </c>
      <c r="G429" s="234"/>
      <c r="I429" s="288">
        <v>2827001</v>
      </c>
      <c r="J429" s="294" t="s">
        <v>2069</v>
      </c>
      <c r="K429" s="307">
        <v>5000112485066</v>
      </c>
      <c r="L429" s="313" t="s">
        <v>3627</v>
      </c>
      <c r="N429" s="286" t="s">
        <v>94</v>
      </c>
      <c r="O429" s="181" t="s">
        <v>94</v>
      </c>
      <c r="P429" s="181" t="s">
        <v>36</v>
      </c>
      <c r="Q429" s="333"/>
      <c r="R429" s="195" t="s">
        <v>3792</v>
      </c>
    </row>
    <row r="430" spans="1:18">
      <c r="A430" s="324" t="s">
        <v>28</v>
      </c>
      <c r="B430" s="325">
        <v>46142</v>
      </c>
      <c r="D430" s="186" t="s">
        <v>3637</v>
      </c>
      <c r="G430" s="234"/>
      <c r="I430" s="288">
        <v>2827002</v>
      </c>
      <c r="J430" s="294" t="s">
        <v>2070</v>
      </c>
      <c r="K430" s="307">
        <v>5000112485073</v>
      </c>
      <c r="L430" s="313" t="s">
        <v>3627</v>
      </c>
      <c r="N430" s="286" t="s">
        <v>94</v>
      </c>
      <c r="O430" s="181" t="s">
        <v>94</v>
      </c>
      <c r="P430" s="181" t="s">
        <v>36</v>
      </c>
      <c r="Q430" s="333"/>
      <c r="R430" s="195" t="s">
        <v>3792</v>
      </c>
    </row>
    <row r="431" spans="1:18">
      <c r="A431" s="324" t="s">
        <v>28</v>
      </c>
      <c r="B431" s="325">
        <v>46150</v>
      </c>
      <c r="D431" s="186" t="s">
        <v>3637</v>
      </c>
      <c r="G431" s="234"/>
      <c r="I431" s="288">
        <v>2828101</v>
      </c>
      <c r="J431" s="294" t="s">
        <v>2071</v>
      </c>
      <c r="K431" s="307">
        <v>5000112485172</v>
      </c>
      <c r="L431" s="313" t="s">
        <v>3627</v>
      </c>
      <c r="N431" s="286" t="s">
        <v>94</v>
      </c>
      <c r="O431" s="181" t="s">
        <v>94</v>
      </c>
      <c r="P431" s="181" t="s">
        <v>36</v>
      </c>
      <c r="Q431" s="333"/>
      <c r="R431" s="195" t="s">
        <v>3792</v>
      </c>
    </row>
    <row r="432" spans="1:18">
      <c r="A432" s="324" t="s">
        <v>28</v>
      </c>
      <c r="B432" s="325">
        <v>46150</v>
      </c>
      <c r="D432" s="186" t="s">
        <v>3833</v>
      </c>
      <c r="G432" s="234"/>
      <c r="I432" s="288">
        <v>2828102</v>
      </c>
      <c r="J432" s="294" t="s">
        <v>2072</v>
      </c>
      <c r="K432" s="307">
        <v>5000112485189</v>
      </c>
      <c r="L432" s="313" t="s">
        <v>3627</v>
      </c>
      <c r="N432" s="286" t="s">
        <v>94</v>
      </c>
      <c r="O432" s="181" t="s">
        <v>94</v>
      </c>
      <c r="P432" s="181" t="s">
        <v>36</v>
      </c>
      <c r="Q432" s="333"/>
      <c r="R432" s="195" t="s">
        <v>3792</v>
      </c>
    </row>
    <row r="433" spans="1:18">
      <c r="A433" s="324" t="s">
        <v>28</v>
      </c>
      <c r="B433" s="325">
        <v>46150</v>
      </c>
      <c r="D433" s="186" t="s">
        <v>3637</v>
      </c>
      <c r="G433" s="234"/>
      <c r="I433" s="288">
        <v>2828103</v>
      </c>
      <c r="J433" s="294" t="s">
        <v>2073</v>
      </c>
      <c r="K433" s="307">
        <v>5000112485158</v>
      </c>
      <c r="L433" s="313" t="s">
        <v>3627</v>
      </c>
      <c r="N433" s="286" t="s">
        <v>94</v>
      </c>
      <c r="O433" s="181" t="s">
        <v>94</v>
      </c>
      <c r="P433" s="181" t="s">
        <v>36</v>
      </c>
      <c r="Q433" s="333"/>
      <c r="R433" s="195" t="s">
        <v>3792</v>
      </c>
    </row>
    <row r="434" spans="1:18">
      <c r="A434" s="324" t="s">
        <v>28</v>
      </c>
      <c r="B434" s="325">
        <v>46150</v>
      </c>
      <c r="D434" s="186" t="s">
        <v>3833</v>
      </c>
      <c r="G434" s="234"/>
      <c r="I434" s="288">
        <v>2828104</v>
      </c>
      <c r="J434" s="294" t="s">
        <v>2074</v>
      </c>
      <c r="K434" s="307">
        <v>5000112485165</v>
      </c>
      <c r="L434" s="313" t="s">
        <v>3627</v>
      </c>
      <c r="N434" s="286" t="s">
        <v>94</v>
      </c>
      <c r="O434" s="181" t="s">
        <v>94</v>
      </c>
      <c r="P434" s="181" t="s">
        <v>36</v>
      </c>
      <c r="Q434" s="333"/>
      <c r="R434" s="195" t="s">
        <v>3792</v>
      </c>
    </row>
    <row r="435" spans="1:18">
      <c r="A435" s="324" t="s">
        <v>28</v>
      </c>
      <c r="B435" s="323">
        <v>46157</v>
      </c>
      <c r="D435" s="186" t="s">
        <v>3629</v>
      </c>
      <c r="G435" s="234"/>
      <c r="I435" s="288">
        <v>2829301</v>
      </c>
      <c r="J435" s="294" t="s">
        <v>2075</v>
      </c>
      <c r="K435" s="307">
        <v>5000112485271</v>
      </c>
      <c r="L435" s="313" t="s">
        <v>3641</v>
      </c>
      <c r="N435" s="286" t="s">
        <v>94</v>
      </c>
      <c r="O435" s="181" t="s">
        <v>94</v>
      </c>
      <c r="P435" s="181" t="s">
        <v>36</v>
      </c>
      <c r="Q435" s="333"/>
      <c r="R435" s="195" t="s">
        <v>3792</v>
      </c>
    </row>
    <row r="436" spans="1:18">
      <c r="A436" s="324" t="s">
        <v>28</v>
      </c>
      <c r="B436" s="323">
        <v>46157</v>
      </c>
      <c r="D436" s="186" t="s">
        <v>3632</v>
      </c>
      <c r="G436" s="234"/>
      <c r="I436" s="288">
        <v>2829302</v>
      </c>
      <c r="J436" s="294" t="s">
        <v>2076</v>
      </c>
      <c r="K436" s="307">
        <v>5000112485288</v>
      </c>
      <c r="L436" s="313" t="s">
        <v>3641</v>
      </c>
      <c r="N436" s="286" t="s">
        <v>94</v>
      </c>
      <c r="O436" s="181" t="s">
        <v>94</v>
      </c>
      <c r="P436" s="181" t="s">
        <v>36</v>
      </c>
      <c r="Q436" s="333"/>
      <c r="R436" s="195" t="s">
        <v>3792</v>
      </c>
    </row>
    <row r="437" spans="1:18">
      <c r="A437" s="324" t="s">
        <v>28</v>
      </c>
      <c r="B437" s="323">
        <v>46157</v>
      </c>
      <c r="D437" s="186" t="s">
        <v>3629</v>
      </c>
      <c r="G437" s="234"/>
      <c r="I437" s="288">
        <v>2829501</v>
      </c>
      <c r="J437" s="294" t="s">
        <v>2077</v>
      </c>
      <c r="K437" s="307">
        <v>5000112485295</v>
      </c>
      <c r="L437" s="313" t="s">
        <v>3627</v>
      </c>
      <c r="N437" s="286" t="s">
        <v>94</v>
      </c>
      <c r="O437" s="181" t="s">
        <v>94</v>
      </c>
      <c r="P437" s="181" t="s">
        <v>36</v>
      </c>
      <c r="Q437" s="333"/>
      <c r="R437" s="195" t="s">
        <v>3792</v>
      </c>
    </row>
    <row r="438" spans="1:18">
      <c r="A438" s="324" t="s">
        <v>28</v>
      </c>
      <c r="B438" s="323">
        <v>46157</v>
      </c>
      <c r="D438" s="186" t="s">
        <v>3833</v>
      </c>
      <c r="G438" s="234"/>
      <c r="I438" s="288">
        <v>2829401</v>
      </c>
      <c r="J438" s="294" t="s">
        <v>2078</v>
      </c>
      <c r="K438" s="307">
        <v>5000112485349</v>
      </c>
      <c r="L438" s="313" t="s">
        <v>3627</v>
      </c>
      <c r="N438" s="286" t="s">
        <v>94</v>
      </c>
      <c r="O438" s="181" t="s">
        <v>94</v>
      </c>
      <c r="P438" s="181" t="s">
        <v>36</v>
      </c>
      <c r="Q438" s="333"/>
      <c r="R438" s="195" t="s">
        <v>3792</v>
      </c>
    </row>
    <row r="439" spans="1:18">
      <c r="A439" s="324" t="s">
        <v>28</v>
      </c>
      <c r="B439" s="323">
        <v>46157</v>
      </c>
      <c r="D439" s="186" t="s">
        <v>3629</v>
      </c>
      <c r="G439" s="234"/>
      <c r="I439" s="288">
        <v>2829602</v>
      </c>
      <c r="J439" s="294" t="s">
        <v>2079</v>
      </c>
      <c r="K439" s="307">
        <v>5000112485400</v>
      </c>
      <c r="L439" s="313" t="s">
        <v>3627</v>
      </c>
      <c r="N439" s="286" t="s">
        <v>94</v>
      </c>
      <c r="O439" s="181" t="s">
        <v>94</v>
      </c>
      <c r="P439" s="181" t="s">
        <v>36</v>
      </c>
      <c r="Q439" s="333"/>
      <c r="R439" s="195" t="s">
        <v>3792</v>
      </c>
    </row>
    <row r="440" spans="1:18">
      <c r="A440" s="324" t="s">
        <v>28</v>
      </c>
      <c r="B440" s="323">
        <v>46157</v>
      </c>
      <c r="D440" s="186" t="s">
        <v>3632</v>
      </c>
      <c r="G440" s="234"/>
      <c r="I440" s="288">
        <v>2829601</v>
      </c>
      <c r="J440" s="294" t="s">
        <v>2080</v>
      </c>
      <c r="K440" s="307">
        <v>5000112485394</v>
      </c>
      <c r="L440" s="313" t="s">
        <v>3627</v>
      </c>
      <c r="N440" s="286" t="s">
        <v>94</v>
      </c>
      <c r="O440" s="181" t="s">
        <v>94</v>
      </c>
      <c r="P440" s="181" t="s">
        <v>36</v>
      </c>
      <c r="Q440" s="333"/>
      <c r="R440" s="195" t="s">
        <v>3792</v>
      </c>
    </row>
    <row r="441" spans="1:18">
      <c r="A441" s="324" t="s">
        <v>28</v>
      </c>
      <c r="B441" s="323">
        <v>46164</v>
      </c>
      <c r="D441" s="186" t="s">
        <v>3833</v>
      </c>
      <c r="G441" s="234"/>
      <c r="I441" s="288">
        <v>2830601</v>
      </c>
      <c r="J441" s="294" t="s">
        <v>2081</v>
      </c>
      <c r="K441" s="307" t="str">
        <f>"9031100009137"</f>
        <v>9031100009137</v>
      </c>
      <c r="L441" s="313" t="s">
        <v>41</v>
      </c>
      <c r="N441" s="286" t="s">
        <v>94</v>
      </c>
      <c r="O441" s="181" t="s">
        <v>94</v>
      </c>
      <c r="P441" s="181" t="s">
        <v>36</v>
      </c>
      <c r="Q441" s="333"/>
      <c r="R441" s="195" t="s">
        <v>3792</v>
      </c>
    </row>
    <row r="442" spans="1:18">
      <c r="A442" s="324" t="s">
        <v>28</v>
      </c>
      <c r="B442" s="323">
        <v>46164</v>
      </c>
      <c r="D442" s="186" t="s">
        <v>3637</v>
      </c>
      <c r="G442" s="234"/>
      <c r="I442" s="288">
        <v>2830602</v>
      </c>
      <c r="J442" s="294" t="s">
        <v>2082</v>
      </c>
      <c r="K442" s="307" t="e">
        <f>#REF!</f>
        <v>#REF!</v>
      </c>
      <c r="L442" s="313" t="s">
        <v>41</v>
      </c>
      <c r="N442" s="286" t="s">
        <v>94</v>
      </c>
      <c r="O442" s="181" t="s">
        <v>94</v>
      </c>
      <c r="P442" s="181" t="s">
        <v>36</v>
      </c>
      <c r="Q442" s="333"/>
      <c r="R442" s="195" t="s">
        <v>3792</v>
      </c>
    </row>
    <row r="443" spans="1:18">
      <c r="A443" s="324" t="s">
        <v>28</v>
      </c>
      <c r="B443" s="323">
        <v>46164</v>
      </c>
      <c r="D443" s="186" t="s">
        <v>3629</v>
      </c>
      <c r="G443" s="234"/>
      <c r="I443" s="288">
        <v>2831501</v>
      </c>
      <c r="J443" s="294" t="s">
        <v>3834</v>
      </c>
      <c r="K443" s="307">
        <v>5000112485530</v>
      </c>
      <c r="L443" s="313" t="s">
        <v>3627</v>
      </c>
      <c r="N443" s="286" t="s">
        <v>94</v>
      </c>
      <c r="O443" s="181" t="s">
        <v>94</v>
      </c>
      <c r="P443" s="181" t="s">
        <v>36</v>
      </c>
      <c r="Q443" s="333"/>
      <c r="R443" s="195" t="s">
        <v>3792</v>
      </c>
    </row>
    <row r="444" spans="1:18">
      <c r="A444" s="324" t="s">
        <v>28</v>
      </c>
      <c r="B444" s="323">
        <v>46164</v>
      </c>
      <c r="D444" s="186" t="s">
        <v>3632</v>
      </c>
      <c r="G444" s="234"/>
      <c r="I444" s="288">
        <v>2831502</v>
      </c>
      <c r="J444" s="294" t="s">
        <v>3835</v>
      </c>
      <c r="K444" s="307">
        <v>5000112485547</v>
      </c>
      <c r="L444" s="313" t="s">
        <v>3627</v>
      </c>
      <c r="N444" s="286" t="s">
        <v>94</v>
      </c>
      <c r="O444" s="181" t="s">
        <v>94</v>
      </c>
      <c r="P444" s="181" t="s">
        <v>36</v>
      </c>
      <c r="Q444" s="333"/>
      <c r="R444" s="195" t="s">
        <v>3792</v>
      </c>
    </row>
    <row r="445" spans="1:18">
      <c r="A445" s="324" t="s">
        <v>28</v>
      </c>
      <c r="B445" s="323">
        <v>46164</v>
      </c>
      <c r="D445" s="186" t="s">
        <v>3637</v>
      </c>
      <c r="G445" s="234"/>
      <c r="I445" s="288">
        <v>2831601</v>
      </c>
      <c r="J445" s="294" t="s">
        <v>3836</v>
      </c>
      <c r="K445" s="307">
        <v>5000112485516</v>
      </c>
      <c r="L445" s="313" t="s">
        <v>3627</v>
      </c>
      <c r="N445" s="286" t="s">
        <v>94</v>
      </c>
      <c r="O445" s="181" t="s">
        <v>94</v>
      </c>
      <c r="P445" s="181" t="s">
        <v>36</v>
      </c>
      <c r="Q445" s="333"/>
      <c r="R445" s="195" t="s">
        <v>3792</v>
      </c>
    </row>
    <row r="446" spans="1:18">
      <c r="A446" s="324" t="s">
        <v>28</v>
      </c>
      <c r="B446" s="323">
        <v>46164</v>
      </c>
      <c r="D446" s="186" t="s">
        <v>3833</v>
      </c>
      <c r="G446" s="234"/>
      <c r="I446" s="288">
        <v>2831602</v>
      </c>
      <c r="J446" s="294" t="s">
        <v>3837</v>
      </c>
      <c r="K446" s="307">
        <v>5000112485523</v>
      </c>
      <c r="L446" s="313" t="s">
        <v>3627</v>
      </c>
      <c r="N446" s="286" t="s">
        <v>94</v>
      </c>
      <c r="O446" s="181" t="s">
        <v>94</v>
      </c>
      <c r="P446" s="181" t="s">
        <v>36</v>
      </c>
      <c r="Q446" s="333"/>
      <c r="R446" s="195" t="s">
        <v>3792</v>
      </c>
    </row>
    <row r="447" spans="1:18">
      <c r="A447" s="324" t="s">
        <v>28</v>
      </c>
      <c r="B447" s="323">
        <v>46164</v>
      </c>
      <c r="D447" s="186" t="s">
        <v>3629</v>
      </c>
      <c r="G447" s="234"/>
      <c r="I447" s="288">
        <v>2831503</v>
      </c>
      <c r="J447" s="294" t="s">
        <v>2087</v>
      </c>
      <c r="K447" s="307">
        <v>5000112485301</v>
      </c>
      <c r="L447" s="313" t="s">
        <v>3627</v>
      </c>
      <c r="N447" s="286" t="s">
        <v>94</v>
      </c>
      <c r="O447" s="181" t="s">
        <v>94</v>
      </c>
      <c r="P447" s="181" t="s">
        <v>36</v>
      </c>
      <c r="Q447" s="333"/>
      <c r="R447" s="195" t="s">
        <v>3792</v>
      </c>
    </row>
    <row r="448" spans="1:18">
      <c r="A448" s="324" t="s">
        <v>28</v>
      </c>
      <c r="B448" s="323">
        <v>46164</v>
      </c>
      <c r="D448" s="186" t="s">
        <v>3632</v>
      </c>
      <c r="G448" s="234"/>
      <c r="I448" s="288">
        <v>2831504</v>
      </c>
      <c r="J448" s="294" t="s">
        <v>2088</v>
      </c>
      <c r="K448" s="307">
        <v>5000112485318</v>
      </c>
      <c r="L448" s="313" t="s">
        <v>3627</v>
      </c>
      <c r="N448" s="286" t="s">
        <v>94</v>
      </c>
      <c r="O448" s="181" t="s">
        <v>94</v>
      </c>
      <c r="P448" s="181" t="s">
        <v>36</v>
      </c>
      <c r="Q448" s="333"/>
      <c r="R448" s="195" t="s">
        <v>3792</v>
      </c>
    </row>
    <row r="449" spans="1:18">
      <c r="A449" s="324" t="s">
        <v>28</v>
      </c>
      <c r="B449" s="323">
        <v>46164</v>
      </c>
      <c r="D449" s="186" t="s">
        <v>3637</v>
      </c>
      <c r="G449" s="234"/>
      <c r="I449" s="288">
        <v>2831603</v>
      </c>
      <c r="J449" s="294" t="s">
        <v>2089</v>
      </c>
      <c r="K449" s="307">
        <v>5000112485325</v>
      </c>
      <c r="L449" s="313" t="s">
        <v>3627</v>
      </c>
      <c r="N449" s="286" t="s">
        <v>94</v>
      </c>
      <c r="O449" s="181" t="s">
        <v>94</v>
      </c>
      <c r="P449" s="181" t="s">
        <v>36</v>
      </c>
      <c r="Q449" s="333"/>
      <c r="R449" s="195" t="s">
        <v>3792</v>
      </c>
    </row>
    <row r="450" spans="1:18">
      <c r="A450" s="324" t="s">
        <v>28</v>
      </c>
      <c r="B450" s="323">
        <v>46164</v>
      </c>
      <c r="D450" s="186" t="s">
        <v>3833</v>
      </c>
      <c r="G450" s="234"/>
      <c r="I450" s="288">
        <v>2831604</v>
      </c>
      <c r="J450" s="294" t="s">
        <v>2090</v>
      </c>
      <c r="K450" s="307">
        <v>5000112485332</v>
      </c>
      <c r="L450" s="313" t="s">
        <v>3627</v>
      </c>
      <c r="N450" s="286" t="s">
        <v>94</v>
      </c>
      <c r="O450" s="181" t="s">
        <v>94</v>
      </c>
      <c r="P450" s="181" t="s">
        <v>36</v>
      </c>
      <c r="Q450" s="333"/>
      <c r="R450" s="195" t="s">
        <v>3792</v>
      </c>
    </row>
    <row r="451" spans="1:18">
      <c r="A451" s="324" t="s">
        <v>28</v>
      </c>
      <c r="B451" s="323">
        <v>46171</v>
      </c>
      <c r="D451" s="186" t="s">
        <v>3833</v>
      </c>
      <c r="G451" s="234"/>
      <c r="I451" s="288">
        <v>2832501</v>
      </c>
      <c r="J451" s="294" t="s">
        <v>2091</v>
      </c>
      <c r="K451" s="307">
        <v>5000112485592</v>
      </c>
      <c r="L451" s="313" t="s">
        <v>3627</v>
      </c>
      <c r="N451" s="286" t="s">
        <v>94</v>
      </c>
      <c r="O451" s="181" t="s">
        <v>94</v>
      </c>
      <c r="P451" s="181" t="s">
        <v>36</v>
      </c>
      <c r="Q451" s="333"/>
      <c r="R451" s="195" t="s">
        <v>3792</v>
      </c>
    </row>
    <row r="452" spans="1:18">
      <c r="A452" s="324" t="s">
        <v>28</v>
      </c>
      <c r="B452" s="323">
        <v>46171</v>
      </c>
      <c r="D452" s="186" t="s">
        <v>3629</v>
      </c>
      <c r="G452" s="234"/>
      <c r="I452" s="288">
        <v>1874007</v>
      </c>
      <c r="J452" s="294" t="s">
        <v>2092</v>
      </c>
      <c r="K452" s="307">
        <v>5000112485608</v>
      </c>
      <c r="L452" s="313" t="s">
        <v>3641</v>
      </c>
      <c r="N452" s="286" t="s">
        <v>94</v>
      </c>
      <c r="O452" s="181" t="s">
        <v>94</v>
      </c>
      <c r="P452" s="181" t="s">
        <v>36</v>
      </c>
      <c r="Q452" s="333"/>
      <c r="R452" s="195" t="s">
        <v>3792</v>
      </c>
    </row>
    <row r="453" spans="1:18">
      <c r="A453" s="433" t="s">
        <v>28</v>
      </c>
      <c r="B453" s="323">
        <v>46185</v>
      </c>
      <c r="D453" s="186" t="s">
        <v>3629</v>
      </c>
      <c r="G453" s="234"/>
      <c r="I453" s="288">
        <v>2836401</v>
      </c>
      <c r="J453" s="294" t="s">
        <v>2093</v>
      </c>
      <c r="K453" s="307">
        <v>9031100009151</v>
      </c>
      <c r="L453" s="313" t="s">
        <v>41</v>
      </c>
      <c r="N453" s="427" t="s">
        <v>94</v>
      </c>
      <c r="O453" s="428" t="s">
        <v>94</v>
      </c>
      <c r="P453" s="428" t="s">
        <v>36</v>
      </c>
      <c r="Q453" s="333"/>
      <c r="R453" s="195" t="s">
        <v>3792</v>
      </c>
    </row>
    <row r="454" spans="1:18">
      <c r="A454" s="433" t="s">
        <v>28</v>
      </c>
      <c r="B454" s="323">
        <v>46185</v>
      </c>
      <c r="D454" s="186" t="s">
        <v>3624</v>
      </c>
      <c r="G454" s="234"/>
      <c r="I454" s="288">
        <v>2925501</v>
      </c>
      <c r="J454" s="294" t="s">
        <v>2094</v>
      </c>
      <c r="K454" s="307">
        <v>5000112485943</v>
      </c>
      <c r="L454" s="313" t="s">
        <v>3627</v>
      </c>
      <c r="N454" s="427" t="s">
        <v>94</v>
      </c>
      <c r="O454" s="428" t="s">
        <v>94</v>
      </c>
      <c r="P454" s="428" t="s">
        <v>36</v>
      </c>
      <c r="Q454" s="333"/>
      <c r="R454" s="195" t="s">
        <v>3792</v>
      </c>
    </row>
    <row r="455" spans="1:18">
      <c r="A455" s="433" t="s">
        <v>28</v>
      </c>
      <c r="B455" s="323">
        <v>46185</v>
      </c>
      <c r="D455" s="186" t="s">
        <v>3664</v>
      </c>
      <c r="G455" s="234"/>
      <c r="I455" s="288">
        <v>2600605</v>
      </c>
      <c r="J455" s="294" t="s">
        <v>2095</v>
      </c>
      <c r="K455" s="307">
        <v>5000112485950</v>
      </c>
      <c r="L455" s="313" t="s">
        <v>3627</v>
      </c>
      <c r="N455" s="427" t="s">
        <v>94</v>
      </c>
      <c r="O455" s="428" t="s">
        <v>94</v>
      </c>
      <c r="P455" s="428" t="s">
        <v>36</v>
      </c>
      <c r="Q455" s="333"/>
      <c r="R455" s="195" t="s">
        <v>3792</v>
      </c>
    </row>
    <row r="456" spans="1:18">
      <c r="A456" s="426" t="s">
        <v>1014</v>
      </c>
      <c r="B456" s="323">
        <v>46203</v>
      </c>
      <c r="D456" s="186" t="s">
        <v>3629</v>
      </c>
      <c r="G456" s="234"/>
      <c r="I456" s="425">
        <v>2931101</v>
      </c>
      <c r="J456" s="165" t="s">
        <v>2096</v>
      </c>
      <c r="K456" s="448">
        <v>5000112486063</v>
      </c>
      <c r="L456" s="313" t="s">
        <v>3627</v>
      </c>
      <c r="N456" s="427" t="s">
        <v>92</v>
      </c>
      <c r="O456" s="428" t="s">
        <v>92</v>
      </c>
      <c r="P456" s="428" t="s">
        <v>102</v>
      </c>
      <c r="Q456" s="333"/>
      <c r="R456" s="195" t="s">
        <v>3792</v>
      </c>
    </row>
    <row r="457" spans="1:18">
      <c r="A457" s="426" t="s">
        <v>1014</v>
      </c>
      <c r="B457" s="323">
        <v>46203</v>
      </c>
      <c r="D457" s="186" t="s">
        <v>3629</v>
      </c>
      <c r="G457" s="234"/>
      <c r="I457" s="425">
        <v>2930701</v>
      </c>
      <c r="J457" s="165" t="s">
        <v>2097</v>
      </c>
      <c r="K457" s="448">
        <v>9031100009076</v>
      </c>
      <c r="L457" s="313" t="s">
        <v>41</v>
      </c>
      <c r="N457" s="427" t="s">
        <v>3592</v>
      </c>
      <c r="O457" s="428" t="s">
        <v>92</v>
      </c>
      <c r="P457" s="428" t="s">
        <v>102</v>
      </c>
      <c r="Q457" s="333"/>
      <c r="R457" s="195" t="s">
        <v>3792</v>
      </c>
    </row>
  </sheetData>
  <autoFilter ref="A1:Q306" xr:uid="{41EEF1E6-3C36-433D-91E1-4D7A523B5063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70F8-8D44-4EAD-B53E-8954F48912FE}">
  <dimension ref="B1:P38"/>
  <sheetViews>
    <sheetView topLeftCell="A2" workbookViewId="0">
      <selection activeCell="B17" sqref="B17"/>
    </sheetView>
  </sheetViews>
  <sheetFormatPr defaultRowHeight="12"/>
  <cols>
    <col min="1" max="1" width="2.140625" style="179" customWidth="1"/>
    <col min="2" max="3" width="9.140625" style="179"/>
    <col min="4" max="4" width="14.5703125" style="179" bestFit="1" customWidth="1"/>
    <col min="5" max="5" width="4.140625" style="179" customWidth="1"/>
    <col min="6" max="6" width="9.140625" style="179"/>
    <col min="7" max="7" width="44" style="179" bestFit="1" customWidth="1"/>
    <col min="8" max="8" width="9.140625" style="179"/>
    <col min="9" max="12" width="12.140625" style="179" bestFit="1" customWidth="1"/>
    <col min="13" max="13" width="12.140625" style="179" customWidth="1"/>
    <col min="14" max="15" width="9.140625" style="179"/>
    <col min="16" max="16" width="29.42578125" style="179" customWidth="1"/>
    <col min="17" max="16384" width="9.140625" style="179"/>
  </cols>
  <sheetData>
    <row r="1" spans="2:16" ht="12.75" thickBot="1">
      <c r="B1" s="180" t="s">
        <v>0</v>
      </c>
      <c r="F1" s="262" t="s">
        <v>2</v>
      </c>
      <c r="H1" s="181"/>
      <c r="I1" s="181"/>
      <c r="J1" s="181"/>
      <c r="K1" s="181"/>
      <c r="L1" s="181"/>
      <c r="M1" s="181"/>
      <c r="N1" s="181"/>
      <c r="O1" s="181"/>
      <c r="P1" s="181"/>
    </row>
    <row r="2" spans="2:16" s="372" customFormat="1" ht="36">
      <c r="B2" s="370" t="s">
        <v>3</v>
      </c>
      <c r="C2" s="371" t="s">
        <v>4</v>
      </c>
      <c r="D2" s="370" t="s">
        <v>5</v>
      </c>
      <c r="F2" s="370" t="s">
        <v>7</v>
      </c>
      <c r="G2" s="373" t="s">
        <v>8</v>
      </c>
      <c r="H2" s="374" t="s">
        <v>10</v>
      </c>
      <c r="I2" s="375" t="s">
        <v>1047</v>
      </c>
      <c r="J2" s="375" t="s">
        <v>1048</v>
      </c>
      <c r="K2" s="376" t="s">
        <v>18</v>
      </c>
      <c r="L2" s="375" t="s">
        <v>19</v>
      </c>
      <c r="M2" s="383" t="s">
        <v>6</v>
      </c>
      <c r="N2" s="383" t="s">
        <v>3838</v>
      </c>
      <c r="O2" s="383" t="s">
        <v>3839</v>
      </c>
      <c r="P2" s="385" t="s">
        <v>20</v>
      </c>
    </row>
    <row r="3" spans="2:16" s="372" customFormat="1" ht="12.75" thickBot="1">
      <c r="B3" s="377"/>
      <c r="C3" s="378"/>
      <c r="D3" s="378"/>
      <c r="F3" s="377"/>
      <c r="G3" s="378"/>
      <c r="H3" s="378" t="s">
        <v>21</v>
      </c>
      <c r="I3" s="379" t="s">
        <v>26</v>
      </c>
      <c r="J3" s="379" t="s">
        <v>26</v>
      </c>
      <c r="K3" s="379" t="s">
        <v>26</v>
      </c>
      <c r="L3" s="379" t="s">
        <v>26</v>
      </c>
      <c r="M3" s="379"/>
      <c r="N3" s="379"/>
      <c r="O3" s="379"/>
      <c r="P3" s="380"/>
    </row>
    <row r="4" spans="2:16">
      <c r="B4" s="293" t="s">
        <v>47</v>
      </c>
      <c r="C4" s="381" t="s">
        <v>28</v>
      </c>
      <c r="D4" s="384">
        <v>46108</v>
      </c>
      <c r="F4" s="403">
        <v>2661818</v>
      </c>
      <c r="G4" s="404" t="s">
        <v>3603</v>
      </c>
      <c r="H4" s="381" t="s">
        <v>31</v>
      </c>
      <c r="I4" s="382" t="s">
        <v>33</v>
      </c>
      <c r="J4" s="382" t="s">
        <v>94</v>
      </c>
      <c r="K4" s="382" t="s">
        <v>94</v>
      </c>
      <c r="L4" s="382" t="s">
        <v>36</v>
      </c>
      <c r="M4" s="382" t="s">
        <v>57</v>
      </c>
      <c r="N4" s="382">
        <v>330</v>
      </c>
      <c r="O4" s="382" t="s">
        <v>3840</v>
      </c>
      <c r="P4" s="254" t="s">
        <v>3826</v>
      </c>
    </row>
    <row r="5" spans="2:16">
      <c r="B5" s="293" t="s">
        <v>47</v>
      </c>
      <c r="C5" s="381" t="s">
        <v>28</v>
      </c>
      <c r="D5" s="384">
        <v>46108</v>
      </c>
      <c r="F5" s="405">
        <v>2661819</v>
      </c>
      <c r="G5" s="406" t="s">
        <v>3605</v>
      </c>
      <c r="H5" s="381" t="s">
        <v>31</v>
      </c>
      <c r="I5" s="382" t="s">
        <v>33</v>
      </c>
      <c r="J5" s="382" t="s">
        <v>94</v>
      </c>
      <c r="K5" s="382" t="s">
        <v>94</v>
      </c>
      <c r="L5" s="382" t="s">
        <v>36</v>
      </c>
      <c r="M5" s="382" t="s">
        <v>57</v>
      </c>
      <c r="N5" s="382">
        <v>330</v>
      </c>
      <c r="O5" s="382" t="s">
        <v>3840</v>
      </c>
      <c r="P5" s="254" t="s">
        <v>3826</v>
      </c>
    </row>
    <row r="6" spans="2:16">
      <c r="B6" s="293" t="s">
        <v>47</v>
      </c>
      <c r="C6" s="381" t="s">
        <v>28</v>
      </c>
      <c r="D6" s="384">
        <v>46108</v>
      </c>
      <c r="F6" s="405">
        <v>2661820</v>
      </c>
      <c r="G6" s="406" t="s">
        <v>3606</v>
      </c>
      <c r="H6" s="381" t="s">
        <v>31</v>
      </c>
      <c r="I6" s="382" t="s">
        <v>33</v>
      </c>
      <c r="J6" s="382" t="s">
        <v>94</v>
      </c>
      <c r="K6" s="382" t="s">
        <v>94</v>
      </c>
      <c r="L6" s="382" t="s">
        <v>36</v>
      </c>
      <c r="M6" s="382" t="s">
        <v>57</v>
      </c>
      <c r="N6" s="382">
        <v>330</v>
      </c>
      <c r="O6" s="382" t="s">
        <v>3840</v>
      </c>
      <c r="P6" s="254" t="s">
        <v>3826</v>
      </c>
    </row>
    <row r="7" spans="2:16">
      <c r="B7" s="293" t="s">
        <v>47</v>
      </c>
      <c r="C7" s="381" t="s">
        <v>28</v>
      </c>
      <c r="D7" s="384">
        <v>46108</v>
      </c>
      <c r="F7" s="405">
        <v>2661821</v>
      </c>
      <c r="G7" s="406" t="s">
        <v>3607</v>
      </c>
      <c r="H7" s="381" t="s">
        <v>31</v>
      </c>
      <c r="I7" s="382" t="s">
        <v>33</v>
      </c>
      <c r="J7" s="382" t="s">
        <v>94</v>
      </c>
      <c r="K7" s="382" t="s">
        <v>94</v>
      </c>
      <c r="L7" s="382" t="s">
        <v>36</v>
      </c>
      <c r="M7" s="382" t="s">
        <v>57</v>
      </c>
      <c r="N7" s="382">
        <v>330</v>
      </c>
      <c r="O7" s="382" t="s">
        <v>3840</v>
      </c>
      <c r="P7" s="254" t="s">
        <v>3826</v>
      </c>
    </row>
    <row r="8" spans="2:16">
      <c r="B8" s="293" t="s">
        <v>47</v>
      </c>
      <c r="C8" s="381" t="s">
        <v>28</v>
      </c>
      <c r="D8" s="384">
        <v>46108</v>
      </c>
      <c r="F8" s="405">
        <v>609298</v>
      </c>
      <c r="G8" s="406" t="s">
        <v>3608</v>
      </c>
      <c r="H8" s="381" t="s">
        <v>31</v>
      </c>
      <c r="I8" s="382" t="s">
        <v>33</v>
      </c>
      <c r="J8" s="382" t="s">
        <v>94</v>
      </c>
      <c r="K8" s="382" t="s">
        <v>94</v>
      </c>
      <c r="L8" s="382" t="s">
        <v>36</v>
      </c>
      <c r="M8" s="382" t="s">
        <v>3841</v>
      </c>
      <c r="N8" s="382">
        <v>330</v>
      </c>
      <c r="O8" s="382" t="s">
        <v>3840</v>
      </c>
      <c r="P8" s="254" t="s">
        <v>3826</v>
      </c>
    </row>
    <row r="9" spans="2:16">
      <c r="B9" s="293" t="s">
        <v>47</v>
      </c>
      <c r="C9" s="381" t="s">
        <v>28</v>
      </c>
      <c r="D9" s="384">
        <v>46108</v>
      </c>
      <c r="F9" s="405">
        <v>609299</v>
      </c>
      <c r="G9" s="406" t="s">
        <v>3609</v>
      </c>
      <c r="H9" s="381" t="s">
        <v>31</v>
      </c>
      <c r="I9" s="382" t="s">
        <v>33</v>
      </c>
      <c r="J9" s="382" t="s">
        <v>94</v>
      </c>
      <c r="K9" s="382" t="s">
        <v>94</v>
      </c>
      <c r="L9" s="382" t="s">
        <v>36</v>
      </c>
      <c r="M9" s="382" t="s">
        <v>3841</v>
      </c>
      <c r="N9" s="382">
        <v>330</v>
      </c>
      <c r="O9" s="382" t="s">
        <v>3840</v>
      </c>
      <c r="P9" s="254" t="s">
        <v>3826</v>
      </c>
    </row>
    <row r="10" spans="2:16">
      <c r="B10" s="293" t="s">
        <v>47</v>
      </c>
      <c r="C10" s="381" t="s">
        <v>28</v>
      </c>
      <c r="D10" s="384">
        <v>46108</v>
      </c>
      <c r="F10" s="405">
        <v>225057</v>
      </c>
      <c r="G10" s="406" t="s">
        <v>3610</v>
      </c>
      <c r="H10" s="381" t="s">
        <v>31</v>
      </c>
      <c r="I10" s="382" t="s">
        <v>33</v>
      </c>
      <c r="J10" s="382" t="s">
        <v>94</v>
      </c>
      <c r="K10" s="382" t="s">
        <v>94</v>
      </c>
      <c r="L10" s="382" t="s">
        <v>36</v>
      </c>
      <c r="M10" s="382" t="s">
        <v>3841</v>
      </c>
      <c r="N10" s="382">
        <v>330</v>
      </c>
      <c r="O10" s="382" t="s">
        <v>3840</v>
      </c>
      <c r="P10" s="254" t="s">
        <v>3826</v>
      </c>
    </row>
    <row r="11" spans="2:16" ht="12.75" thickBot="1">
      <c r="B11" s="391" t="s">
        <v>47</v>
      </c>
      <c r="C11" s="394" t="s">
        <v>28</v>
      </c>
      <c r="D11" s="392">
        <v>46108</v>
      </c>
      <c r="E11" s="393"/>
      <c r="F11" s="407">
        <v>225058</v>
      </c>
      <c r="G11" s="408" t="s">
        <v>3611</v>
      </c>
      <c r="H11" s="394" t="s">
        <v>31</v>
      </c>
      <c r="I11" s="395" t="s">
        <v>33</v>
      </c>
      <c r="J11" s="395" t="s">
        <v>94</v>
      </c>
      <c r="K11" s="395" t="s">
        <v>94</v>
      </c>
      <c r="L11" s="395" t="s">
        <v>36</v>
      </c>
      <c r="M11" s="395" t="s">
        <v>3841</v>
      </c>
      <c r="N11" s="395">
        <v>330</v>
      </c>
      <c r="O11" s="395" t="s">
        <v>3840</v>
      </c>
      <c r="P11" s="396" t="s">
        <v>3826</v>
      </c>
    </row>
    <row r="12" spans="2:16">
      <c r="B12" s="386" t="s">
        <v>47</v>
      </c>
      <c r="C12" s="388" t="s">
        <v>28</v>
      </c>
      <c r="D12" s="387">
        <v>46108</v>
      </c>
      <c r="F12" s="412">
        <v>256560</v>
      </c>
      <c r="G12" s="409" t="s">
        <v>3612</v>
      </c>
      <c r="H12" s="381" t="s">
        <v>31</v>
      </c>
      <c r="I12" s="382" t="s">
        <v>33</v>
      </c>
      <c r="J12" s="389" t="s">
        <v>94</v>
      </c>
      <c r="K12" s="389" t="s">
        <v>94</v>
      </c>
      <c r="L12" s="389" t="s">
        <v>36</v>
      </c>
      <c r="M12" s="389" t="s">
        <v>57</v>
      </c>
      <c r="N12" s="382">
        <v>500</v>
      </c>
      <c r="O12" s="382" t="s">
        <v>3842</v>
      </c>
      <c r="P12" s="390" t="s">
        <v>3826</v>
      </c>
    </row>
    <row r="13" spans="2:16" ht="12.75" thickBot="1">
      <c r="B13" s="391" t="s">
        <v>47</v>
      </c>
      <c r="C13" s="394" t="s">
        <v>28</v>
      </c>
      <c r="D13" s="392">
        <v>46108</v>
      </c>
      <c r="E13" s="393"/>
      <c r="F13" s="413">
        <v>225266</v>
      </c>
      <c r="G13" s="410" t="s">
        <v>3613</v>
      </c>
      <c r="H13" s="394" t="s">
        <v>31</v>
      </c>
      <c r="I13" s="395" t="s">
        <v>33</v>
      </c>
      <c r="J13" s="395" t="s">
        <v>94</v>
      </c>
      <c r="K13" s="395" t="s">
        <v>94</v>
      </c>
      <c r="L13" s="395" t="s">
        <v>36</v>
      </c>
      <c r="M13" s="395" t="s">
        <v>3841</v>
      </c>
      <c r="N13" s="395">
        <v>500</v>
      </c>
      <c r="O13" s="395" t="s">
        <v>3842</v>
      </c>
      <c r="P13" s="396" t="s">
        <v>3826</v>
      </c>
    </row>
    <row r="14" spans="2:16">
      <c r="B14" s="386" t="s">
        <v>47</v>
      </c>
      <c r="C14" s="388" t="s">
        <v>28</v>
      </c>
      <c r="D14" s="387">
        <v>46108</v>
      </c>
      <c r="F14" s="412">
        <v>2798301</v>
      </c>
      <c r="G14" s="409" t="s">
        <v>3614</v>
      </c>
      <c r="H14" s="388" t="s">
        <v>31</v>
      </c>
      <c r="I14" s="389" t="s">
        <v>33</v>
      </c>
      <c r="J14" s="389" t="s">
        <v>94</v>
      </c>
      <c r="K14" s="389" t="s">
        <v>94</v>
      </c>
      <c r="L14" s="389" t="s">
        <v>36</v>
      </c>
      <c r="M14" s="389" t="s">
        <v>57</v>
      </c>
      <c r="N14" s="389">
        <v>1500</v>
      </c>
      <c r="O14" s="389" t="s">
        <v>3842</v>
      </c>
      <c r="P14" s="390" t="s">
        <v>3826</v>
      </c>
    </row>
    <row r="15" spans="2:16">
      <c r="B15" s="293" t="s">
        <v>47</v>
      </c>
      <c r="C15" s="388" t="s">
        <v>28</v>
      </c>
      <c r="D15" s="384">
        <v>46108</v>
      </c>
      <c r="F15" s="414">
        <v>298173</v>
      </c>
      <c r="G15" s="411" t="s">
        <v>3615</v>
      </c>
      <c r="H15" s="381" t="s">
        <v>31</v>
      </c>
      <c r="I15" s="382" t="s">
        <v>33</v>
      </c>
      <c r="J15" s="382" t="s">
        <v>94</v>
      </c>
      <c r="K15" s="382" t="s">
        <v>94</v>
      </c>
      <c r="L15" s="382" t="s">
        <v>36</v>
      </c>
      <c r="M15" s="382" t="s">
        <v>3841</v>
      </c>
      <c r="N15" s="382">
        <v>1500</v>
      </c>
      <c r="O15" s="382" t="s">
        <v>3842</v>
      </c>
      <c r="P15" s="254" t="s">
        <v>3826</v>
      </c>
    </row>
    <row r="16" spans="2:16">
      <c r="B16" s="293" t="s">
        <v>47</v>
      </c>
      <c r="C16" s="388" t="s">
        <v>28</v>
      </c>
      <c r="D16" s="384">
        <v>46108</v>
      </c>
      <c r="F16" s="414">
        <v>2798302</v>
      </c>
      <c r="G16" s="411" t="s">
        <v>3616</v>
      </c>
      <c r="H16" s="381" t="s">
        <v>31</v>
      </c>
      <c r="I16" s="382" t="s">
        <v>33</v>
      </c>
      <c r="J16" s="382" t="s">
        <v>94</v>
      </c>
      <c r="K16" s="382" t="s">
        <v>94</v>
      </c>
      <c r="L16" s="382" t="s">
        <v>36</v>
      </c>
      <c r="M16" s="382" t="s">
        <v>57</v>
      </c>
      <c r="N16" s="382">
        <v>1500</v>
      </c>
      <c r="O16" s="382" t="s">
        <v>3842</v>
      </c>
      <c r="P16" s="254" t="s">
        <v>3826</v>
      </c>
    </row>
    <row r="17" spans="2:16">
      <c r="B17" s="293" t="s">
        <v>47</v>
      </c>
      <c r="C17" s="388" t="s">
        <v>28</v>
      </c>
      <c r="D17" s="384">
        <v>46108</v>
      </c>
      <c r="F17" s="414">
        <v>298174</v>
      </c>
      <c r="G17" s="411" t="s">
        <v>3617</v>
      </c>
      <c r="H17" s="381" t="s">
        <v>31</v>
      </c>
      <c r="I17" s="382" t="s">
        <v>33</v>
      </c>
      <c r="J17" s="382" t="s">
        <v>94</v>
      </c>
      <c r="K17" s="382" t="s">
        <v>94</v>
      </c>
      <c r="L17" s="382" t="s">
        <v>36</v>
      </c>
      <c r="M17" s="382" t="s">
        <v>3841</v>
      </c>
      <c r="N17" s="382">
        <v>1500</v>
      </c>
      <c r="O17" s="382" t="s">
        <v>3842</v>
      </c>
      <c r="P17" s="254" t="s">
        <v>3826</v>
      </c>
    </row>
    <row r="38" spans="10:10">
      <c r="J38" s="400"/>
    </row>
  </sheetData>
  <autoFilter ref="B2:P3" xr:uid="{FBD470F8-8D44-4EAD-B53E-8954F48912FE}"/>
  <conditionalFormatting sqref="B3:B17">
    <cfRule type="beginsWith" dxfId="2" priority="1" operator="beginsWith" text="Abtausch">
      <formula>LEFT(B3,8)="Abtausch"</formula>
    </cfRule>
    <cfRule type="beginsWith" dxfId="1" priority="2" operator="beginsWith" text="Auslistung">
      <formula>LEFT(B3,10)="Auslistung"</formula>
    </cfRule>
    <cfRule type="beginsWith" dxfId="0" priority="3" operator="beginsWith" text="Listung">
      <formula>LEFT(B3,7)="Listung"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4BDC0458DC74FBF66A8B32C3B8CB4" ma:contentTypeVersion="6" ma:contentTypeDescription="Create a new document." ma:contentTypeScope="" ma:versionID="c5fb4e0c9dc7a09f8cea69ce3034ffb0">
  <xsd:schema xmlns:xsd="http://www.w3.org/2001/XMLSchema" xmlns:xs="http://www.w3.org/2001/XMLSchema" xmlns:p="http://schemas.microsoft.com/office/2006/metadata/properties" xmlns:ns2="335d2794-f278-4613-8311-76637b66aff3" xmlns:ns3="fd2a4aec-7f0e-41be-a35f-d75b240cca63" targetNamespace="http://schemas.microsoft.com/office/2006/metadata/properties" ma:root="true" ma:fieldsID="ae1221d533f93f9e4c78322a48c9c2a1" ns2:_="" ns3:_="">
    <xsd:import namespace="335d2794-f278-4613-8311-76637b66aff3"/>
    <xsd:import namespace="fd2a4aec-7f0e-41be-a35f-d75b240cca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5d2794-f278-4613-8311-76637b66af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4aec-7f0e-41be-a35f-d75b240cca6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C59F07-2E18-4D9F-A1FB-8CDB6AF96E28}"/>
</file>

<file path=customXml/itemProps2.xml><?xml version="1.0" encoding="utf-8"?>
<ds:datastoreItem xmlns:ds="http://schemas.openxmlformats.org/officeDocument/2006/customXml" ds:itemID="{1D902ABB-2CFA-4C2F-A7FB-C95E4097FD65}"/>
</file>

<file path=customXml/itemProps3.xml><?xml version="1.0" encoding="utf-8"?>
<ds:datastoreItem xmlns:ds="http://schemas.openxmlformats.org/officeDocument/2006/customXml" ds:itemID="{CD108821-17FC-47CE-87AE-9F79BC5AB4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CCHellenic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</dc:creator>
  <cp:keywords/>
  <dc:description/>
  <cp:lastModifiedBy>Amir Abu Gabal</cp:lastModifiedBy>
  <cp:revision/>
  <dcterms:created xsi:type="dcterms:W3CDTF">2014-10-09T09:14:55Z</dcterms:created>
  <dcterms:modified xsi:type="dcterms:W3CDTF">2026-07-06T15:01:38Z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0x0101008FF4BDC0458DC74FBF66A8B32C3B8CB4</vt:lpwstr>
  </property>
</Properties>
</file>